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wolf/Development/py/4 applied/ml/Recommender_systems/"/>
    </mc:Choice>
  </mc:AlternateContent>
  <xr:revisionPtr revIDLastSave="0" documentId="13_ncr:1_{63F6B589-7B94-8E49-AB76-583C4916D8CA}" xr6:coauthVersionLast="45" xr6:coauthVersionMax="45" xr10:uidLastSave="{00000000-0000-0000-0000-000000000000}"/>
  <bookViews>
    <workbookView xWindow="860" yWindow="460" windowWidth="24680" windowHeight="15000" xr2:uid="{3572A32B-CBC4-114A-BF1A-2B03B1EED310}"/>
  </bookViews>
  <sheets>
    <sheet name="full set" sheetId="20" r:id="rId1"/>
    <sheet name="wolf" sheetId="1" r:id="rId2"/>
    <sheet name="michi" sheetId="2" r:id="rId3"/>
    <sheet name="Tanja" sheetId="4" r:id="rId4"/>
    <sheet name="Dmitry" sheetId="5" r:id="rId5"/>
    <sheet name="olka_dorn" sheetId="6" r:id="rId6"/>
    <sheet name="11ea-aaef" sheetId="7" r:id="rId7"/>
    <sheet name="Manuel" sheetId="8" r:id="rId8"/>
    <sheet name="Stefan Gallistl" sheetId="9" r:id="rId9"/>
    <sheet name="Manuel Gapp" sheetId="10" r:id="rId10"/>
    <sheet name="Edwin gruber" sheetId="11" r:id="rId11"/>
    <sheet name="Kanyildiz Muhammedmehdi" sheetId="12" r:id="rId12"/>
    <sheet name="Carlos Rodriguez" sheetId="13" r:id="rId13"/>
    <sheet name="Manuel Plech" sheetId="14" r:id="rId14"/>
    <sheet name="Matthias Rosskopf" sheetId="15" r:id="rId15"/>
    <sheet name="Marvin Sonntag" sheetId="16" r:id="rId16"/>
    <sheet name="Michael S." sheetId="17" r:id="rId17"/>
    <sheet name="Carla Columna" sheetId="18" r:id="rId18"/>
    <sheet name="Ale" sheetId="19" r:id="rId19"/>
    <sheet name="Roman Bambersky" sheetId="21" r:id="rId20"/>
    <sheet name="Christoph Burger" sheetId="22" r:id="rId21"/>
    <sheet name="Michael Stoeckmayr" sheetId="23" r:id="rId22"/>
    <sheet name="Kathrin Walker" sheetId="24" r:id="rId23"/>
  </sheets>
  <definedNames>
    <definedName name="_xlnm._FilterDatabase" localSheetId="6" hidden="1">'11ea-aaef'!$E$1:$E$59</definedName>
  </definedNames>
  <calcPr calcId="191029"/>
  <pivotCaches>
    <pivotCache cacheId="0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" i="20" l="1"/>
  <c r="V3" i="20"/>
  <c r="V1255" i="20"/>
  <c r="V1254" i="20"/>
  <c r="V1253" i="20"/>
  <c r="V1252" i="20"/>
  <c r="V1251" i="20"/>
  <c r="V1250" i="20"/>
  <c r="V1249" i="20"/>
  <c r="V1248" i="20"/>
  <c r="V1247" i="20"/>
  <c r="V1246" i="20"/>
  <c r="V1245" i="20"/>
  <c r="V1244" i="20"/>
  <c r="V1243" i="20"/>
  <c r="V1242" i="20"/>
  <c r="V1241" i="20"/>
  <c r="V1240" i="20"/>
  <c r="V1239" i="20"/>
  <c r="V1238" i="20"/>
  <c r="V1237" i="20"/>
  <c r="V1236" i="20"/>
  <c r="V1235" i="20"/>
  <c r="V1234" i="20"/>
  <c r="V1233" i="20"/>
  <c r="V1232" i="20"/>
  <c r="V1231" i="20"/>
  <c r="V1230" i="20"/>
  <c r="V1229" i="20"/>
  <c r="V1228" i="20"/>
  <c r="V1227" i="20"/>
  <c r="V1226" i="20"/>
  <c r="V1225" i="20"/>
  <c r="V1224" i="20"/>
  <c r="V1223" i="20"/>
  <c r="V1222" i="20"/>
  <c r="V1221" i="20"/>
  <c r="V1220" i="20"/>
  <c r="V1219" i="20"/>
  <c r="V1218" i="20"/>
  <c r="V1217" i="20"/>
  <c r="V1216" i="20"/>
  <c r="V1215" i="20"/>
  <c r="V1214" i="20"/>
  <c r="V1213" i="20"/>
  <c r="V1212" i="20"/>
  <c r="V1211" i="20"/>
  <c r="V1210" i="20"/>
  <c r="V1209" i="20"/>
  <c r="V1208" i="20"/>
  <c r="V1207" i="20"/>
  <c r="V1206" i="20"/>
  <c r="V1205" i="20"/>
  <c r="V1204" i="20"/>
  <c r="V1203" i="20"/>
  <c r="V1202" i="20"/>
  <c r="V1201" i="20"/>
  <c r="V1200" i="20"/>
  <c r="V1199" i="20"/>
  <c r="V1198" i="20"/>
  <c r="V1197" i="20"/>
  <c r="V1196" i="20"/>
  <c r="V1195" i="20"/>
  <c r="V1194" i="20"/>
  <c r="V1193" i="20"/>
  <c r="V1192" i="20"/>
  <c r="V1191" i="20"/>
  <c r="V1190" i="20"/>
  <c r="V1189" i="20"/>
  <c r="V1188" i="20"/>
  <c r="V1187" i="20"/>
  <c r="V1186" i="20"/>
  <c r="V1185" i="20"/>
  <c r="V1184" i="20"/>
  <c r="V1183" i="20"/>
  <c r="V1182" i="20"/>
  <c r="V1181" i="20"/>
  <c r="V1180" i="20"/>
  <c r="V1179" i="20"/>
  <c r="V1178" i="20"/>
  <c r="V1177" i="20"/>
  <c r="V1176" i="20"/>
  <c r="V1175" i="20"/>
  <c r="V1174" i="20"/>
  <c r="V1173" i="20"/>
  <c r="V1172" i="20"/>
  <c r="V1171" i="20"/>
  <c r="V1170" i="20"/>
  <c r="V1169" i="20"/>
  <c r="V1168" i="20"/>
  <c r="V1167" i="20"/>
  <c r="V1166" i="20"/>
  <c r="V1165" i="20"/>
  <c r="V1164" i="20"/>
  <c r="V1163" i="20"/>
  <c r="V1162" i="20"/>
  <c r="V1161" i="20"/>
  <c r="V1160" i="20"/>
  <c r="V1159" i="20"/>
  <c r="V1158" i="20"/>
  <c r="V1157" i="20"/>
  <c r="V1156" i="20"/>
  <c r="V1155" i="20"/>
  <c r="V1154" i="20"/>
  <c r="V1153" i="20"/>
  <c r="V1152" i="20"/>
  <c r="V1151" i="20"/>
  <c r="V1150" i="20"/>
  <c r="V1149" i="20"/>
  <c r="V1148" i="20"/>
  <c r="V1147" i="20"/>
  <c r="V1146" i="20"/>
  <c r="V1145" i="20"/>
  <c r="V1144" i="20"/>
  <c r="V1143" i="20"/>
  <c r="V1142" i="20"/>
  <c r="V1141" i="20"/>
  <c r="V1140" i="20"/>
  <c r="V1139" i="20"/>
  <c r="V1138" i="20"/>
  <c r="V1137" i="20"/>
  <c r="V1136" i="20"/>
  <c r="V1135" i="20"/>
  <c r="V1134" i="20"/>
  <c r="V1133" i="20"/>
  <c r="V1132" i="20"/>
  <c r="V1131" i="20"/>
  <c r="V1130" i="20"/>
  <c r="V1129" i="20"/>
  <c r="V1128" i="20"/>
  <c r="V1127" i="20"/>
  <c r="V1126" i="20"/>
  <c r="V1125" i="20"/>
  <c r="V1124" i="20"/>
  <c r="V1123" i="20"/>
  <c r="V1122" i="20"/>
  <c r="V1121" i="20"/>
  <c r="V1120" i="20"/>
  <c r="V1119" i="20"/>
  <c r="V1118" i="20"/>
  <c r="V1117" i="20"/>
  <c r="V1116" i="20"/>
  <c r="V1115" i="20"/>
  <c r="V1114" i="20"/>
  <c r="V1113" i="20"/>
  <c r="V1112" i="20"/>
  <c r="V1111" i="20"/>
  <c r="V1110" i="20"/>
  <c r="V1109" i="20"/>
  <c r="V1108" i="20"/>
  <c r="V1107" i="20"/>
  <c r="V1106" i="20"/>
  <c r="V1105" i="20"/>
  <c r="V1104" i="20"/>
  <c r="V1103" i="20"/>
  <c r="V1102" i="20"/>
  <c r="V1101" i="20"/>
  <c r="V1100" i="20"/>
  <c r="V1099" i="20"/>
  <c r="V1098" i="20"/>
  <c r="V1097" i="20"/>
  <c r="V1096" i="20"/>
  <c r="V1095" i="20"/>
  <c r="V1094" i="20"/>
  <c r="V1093" i="20"/>
  <c r="V1092" i="20"/>
  <c r="V1091" i="20"/>
  <c r="V1090" i="20"/>
  <c r="V1089" i="20"/>
  <c r="V1088" i="20"/>
  <c r="V1087" i="20"/>
  <c r="V1086" i="20"/>
  <c r="V1085" i="20"/>
  <c r="V1084" i="20"/>
  <c r="V1083" i="20"/>
  <c r="V1082" i="20"/>
  <c r="V1081" i="20"/>
  <c r="V1080" i="20"/>
  <c r="V1079" i="20"/>
  <c r="V1078" i="20"/>
  <c r="V1077" i="20"/>
  <c r="V1076" i="20"/>
  <c r="V1075" i="20"/>
  <c r="V1074" i="20"/>
  <c r="V1073" i="20"/>
  <c r="V1072" i="20"/>
  <c r="V1071" i="20"/>
  <c r="V1070" i="20"/>
  <c r="V1069" i="20"/>
  <c r="V1068" i="20"/>
  <c r="V1067" i="20"/>
  <c r="V1066" i="20"/>
  <c r="V1065" i="20"/>
  <c r="V1064" i="20"/>
  <c r="V1063" i="20"/>
  <c r="V1062" i="20"/>
  <c r="V1061" i="20"/>
  <c r="V1060" i="20"/>
  <c r="V1059" i="20"/>
  <c r="V1058" i="20"/>
  <c r="V1057" i="20"/>
  <c r="V1056" i="20"/>
  <c r="V1055" i="20"/>
  <c r="V1054" i="20"/>
  <c r="V1053" i="20"/>
  <c r="V1052" i="20"/>
  <c r="V1051" i="20"/>
  <c r="V1050" i="20"/>
  <c r="V1049" i="20"/>
  <c r="V1048" i="20"/>
  <c r="V1047" i="20"/>
  <c r="V1046" i="20"/>
  <c r="V1045" i="20"/>
  <c r="V1044" i="20"/>
  <c r="V1043" i="20"/>
  <c r="V1042" i="20"/>
  <c r="V1041" i="20"/>
  <c r="V1040" i="20"/>
  <c r="V1039" i="20"/>
  <c r="V1038" i="20"/>
  <c r="V1037" i="20"/>
  <c r="V1036" i="20"/>
  <c r="V1035" i="20"/>
  <c r="V1034" i="20"/>
  <c r="V1033" i="20"/>
  <c r="V1032" i="20"/>
  <c r="V1031" i="20"/>
  <c r="V1030" i="20"/>
  <c r="V1029" i="20"/>
  <c r="V1028" i="20"/>
  <c r="V1027" i="20"/>
  <c r="V1026" i="20"/>
  <c r="V1025" i="20"/>
  <c r="V1024" i="20"/>
  <c r="V1023" i="20"/>
  <c r="V1022" i="20"/>
  <c r="V1021" i="20"/>
  <c r="V1020" i="20"/>
  <c r="V1019" i="20"/>
  <c r="V1018" i="20"/>
  <c r="V1017" i="20"/>
  <c r="V1016" i="20"/>
  <c r="V1015" i="20"/>
  <c r="V1014" i="20"/>
  <c r="V1013" i="20"/>
  <c r="V1012" i="20"/>
  <c r="V1011" i="20"/>
  <c r="V1010" i="20"/>
  <c r="V1009" i="20"/>
  <c r="V1008" i="20"/>
  <c r="V1007" i="20"/>
  <c r="V1006" i="20"/>
  <c r="V1005" i="20"/>
  <c r="V1004" i="20"/>
  <c r="V1003" i="20"/>
  <c r="V1002" i="20"/>
  <c r="V1001" i="20"/>
  <c r="V1000" i="20"/>
  <c r="V999" i="20"/>
  <c r="V998" i="20"/>
  <c r="V997" i="20"/>
  <c r="V996" i="20"/>
  <c r="V995" i="20"/>
  <c r="V994" i="20"/>
  <c r="V993" i="20"/>
  <c r="V992" i="20"/>
  <c r="V991" i="20"/>
  <c r="V990" i="20"/>
  <c r="V989" i="20"/>
  <c r="V988" i="20"/>
  <c r="V987" i="20"/>
  <c r="V986" i="20"/>
  <c r="V985" i="20"/>
  <c r="V984" i="20"/>
  <c r="V983" i="20"/>
  <c r="V982" i="20"/>
  <c r="V981" i="20"/>
  <c r="V980" i="20"/>
  <c r="V979" i="20"/>
  <c r="V978" i="20"/>
  <c r="V977" i="20"/>
  <c r="V976" i="20"/>
  <c r="V975" i="20"/>
  <c r="V974" i="20"/>
  <c r="V973" i="20"/>
  <c r="V972" i="20"/>
  <c r="V971" i="20"/>
  <c r="V970" i="20"/>
  <c r="V969" i="20"/>
  <c r="V968" i="20"/>
  <c r="V967" i="20"/>
  <c r="V966" i="20"/>
  <c r="V965" i="20"/>
  <c r="V964" i="20"/>
  <c r="V963" i="20"/>
  <c r="V962" i="20"/>
  <c r="V961" i="20"/>
  <c r="V960" i="20"/>
  <c r="V959" i="20"/>
  <c r="V958" i="20"/>
  <c r="V957" i="20"/>
  <c r="V956" i="20"/>
  <c r="V955" i="20"/>
  <c r="V954" i="20"/>
  <c r="V953" i="20"/>
  <c r="V952" i="20"/>
  <c r="V951" i="20"/>
  <c r="V950" i="20"/>
  <c r="V949" i="20"/>
  <c r="V948" i="20"/>
  <c r="V947" i="20"/>
  <c r="V946" i="20"/>
  <c r="V945" i="20"/>
  <c r="V944" i="20"/>
  <c r="V943" i="20"/>
  <c r="V942" i="20"/>
  <c r="V941" i="20"/>
  <c r="V940" i="20"/>
  <c r="V939" i="20"/>
  <c r="V938" i="20"/>
  <c r="V937" i="20"/>
  <c r="V936" i="20"/>
  <c r="V935" i="20"/>
  <c r="V934" i="20"/>
  <c r="V933" i="20"/>
  <c r="V932" i="20"/>
  <c r="V931" i="20"/>
  <c r="V930" i="20"/>
  <c r="V929" i="20"/>
  <c r="V928" i="20"/>
  <c r="V927" i="20"/>
  <c r="V926" i="20"/>
  <c r="V925" i="20"/>
  <c r="V924" i="20"/>
  <c r="V923" i="20"/>
  <c r="V922" i="20"/>
  <c r="V921" i="20"/>
  <c r="V920" i="20"/>
  <c r="V919" i="20"/>
  <c r="V918" i="20"/>
  <c r="V917" i="20"/>
  <c r="V916" i="20"/>
  <c r="V915" i="20"/>
  <c r="V914" i="20"/>
  <c r="V913" i="20"/>
  <c r="V912" i="20"/>
  <c r="V911" i="20"/>
  <c r="V910" i="20"/>
  <c r="V909" i="20"/>
  <c r="V908" i="20"/>
  <c r="V907" i="20"/>
  <c r="V906" i="20"/>
  <c r="V905" i="20"/>
  <c r="V904" i="20"/>
  <c r="V903" i="20"/>
  <c r="V902" i="20"/>
  <c r="V901" i="20"/>
  <c r="V900" i="20"/>
  <c r="V899" i="20"/>
  <c r="V898" i="20"/>
  <c r="V897" i="20"/>
  <c r="V896" i="20"/>
  <c r="V895" i="20"/>
  <c r="V894" i="20"/>
  <c r="V893" i="20"/>
  <c r="V892" i="20"/>
  <c r="V891" i="20"/>
  <c r="V890" i="20"/>
  <c r="V889" i="20"/>
  <c r="V888" i="20"/>
  <c r="V887" i="20"/>
  <c r="V886" i="20"/>
  <c r="V885" i="20"/>
  <c r="V884" i="20"/>
  <c r="V883" i="20"/>
  <c r="V882" i="20"/>
  <c r="V881" i="20"/>
  <c r="V880" i="20"/>
  <c r="V879" i="20"/>
  <c r="V878" i="20"/>
  <c r="V877" i="20"/>
  <c r="V876" i="20"/>
  <c r="V875" i="20"/>
  <c r="V874" i="20"/>
  <c r="V873" i="20"/>
  <c r="V872" i="20"/>
  <c r="V871" i="20"/>
  <c r="V870" i="20"/>
  <c r="V869" i="20"/>
  <c r="V868" i="20"/>
  <c r="V867" i="20"/>
  <c r="V866" i="20"/>
  <c r="V865" i="20"/>
  <c r="V864" i="20"/>
  <c r="V863" i="20"/>
  <c r="V862" i="20"/>
  <c r="V861" i="20"/>
  <c r="V860" i="20"/>
  <c r="V859" i="20"/>
  <c r="V858" i="20"/>
  <c r="V857" i="20"/>
  <c r="V856" i="20"/>
  <c r="V855" i="20"/>
  <c r="V854" i="20"/>
  <c r="V853" i="20"/>
  <c r="V852" i="20"/>
  <c r="V851" i="20"/>
  <c r="V850" i="20"/>
  <c r="V849" i="20"/>
  <c r="V848" i="20"/>
  <c r="V847" i="20"/>
  <c r="V846" i="20"/>
  <c r="V845" i="20"/>
  <c r="V844" i="20"/>
  <c r="V843" i="20"/>
  <c r="V842" i="20"/>
  <c r="V841" i="20"/>
  <c r="V840" i="20"/>
  <c r="V839" i="20"/>
  <c r="V838" i="20"/>
  <c r="V837" i="20"/>
  <c r="V836" i="20"/>
  <c r="V835" i="20"/>
  <c r="V834" i="20"/>
  <c r="V833" i="20"/>
  <c r="V832" i="20"/>
  <c r="V831" i="20"/>
  <c r="V830" i="20"/>
  <c r="V829" i="20"/>
  <c r="V828" i="20"/>
  <c r="V827" i="20"/>
  <c r="V826" i="20"/>
  <c r="V825" i="20"/>
  <c r="V824" i="20"/>
  <c r="V823" i="20"/>
  <c r="V822" i="20"/>
  <c r="V821" i="20"/>
  <c r="V820" i="20"/>
  <c r="V819" i="20"/>
  <c r="V818" i="20"/>
  <c r="V817" i="20"/>
  <c r="V816" i="20"/>
  <c r="V815" i="20"/>
  <c r="V814" i="20"/>
  <c r="V813" i="20"/>
  <c r="V812" i="20"/>
  <c r="V811" i="20"/>
  <c r="V810" i="20"/>
  <c r="V809" i="20"/>
  <c r="V808" i="20"/>
  <c r="V807" i="20"/>
  <c r="V806" i="20"/>
  <c r="V805" i="20"/>
  <c r="V804" i="20"/>
  <c r="V803" i="20"/>
  <c r="V802" i="20"/>
  <c r="V801" i="20"/>
  <c r="V800" i="20"/>
  <c r="V799" i="20"/>
  <c r="V798" i="20"/>
  <c r="V797" i="20"/>
  <c r="V796" i="20"/>
  <c r="V795" i="20"/>
  <c r="V794" i="20"/>
  <c r="V793" i="20"/>
  <c r="V792" i="20"/>
  <c r="V791" i="20"/>
  <c r="V790" i="20"/>
  <c r="V789" i="20"/>
  <c r="V788" i="20"/>
  <c r="V787" i="20"/>
  <c r="V786" i="20"/>
  <c r="V785" i="20"/>
  <c r="V784" i="20"/>
  <c r="V783" i="20"/>
  <c r="V782" i="20"/>
  <c r="V781" i="20"/>
  <c r="V780" i="20"/>
  <c r="V779" i="20"/>
  <c r="V778" i="20"/>
  <c r="V777" i="20"/>
  <c r="V776" i="20"/>
  <c r="V775" i="20"/>
  <c r="V774" i="20"/>
  <c r="V773" i="20"/>
  <c r="V772" i="20"/>
  <c r="V771" i="20"/>
  <c r="V770" i="20"/>
  <c r="V769" i="20"/>
  <c r="V768" i="20"/>
  <c r="V767" i="20"/>
  <c r="V766" i="20"/>
  <c r="V765" i="20"/>
  <c r="V764" i="20"/>
  <c r="V763" i="20"/>
  <c r="V762" i="20"/>
  <c r="V761" i="20"/>
  <c r="V760" i="20"/>
  <c r="V759" i="20"/>
  <c r="V758" i="20"/>
  <c r="V757" i="20"/>
  <c r="V756" i="20"/>
  <c r="V755" i="20"/>
  <c r="V754" i="20"/>
  <c r="V753" i="20"/>
  <c r="V752" i="20"/>
  <c r="V751" i="20"/>
  <c r="V750" i="20"/>
  <c r="V749" i="20"/>
  <c r="V748" i="20"/>
  <c r="V747" i="20"/>
  <c r="V746" i="20"/>
  <c r="V745" i="20"/>
  <c r="V744" i="20"/>
  <c r="V743" i="20"/>
  <c r="V742" i="20"/>
  <c r="V741" i="20"/>
  <c r="V740" i="20"/>
  <c r="V739" i="20"/>
  <c r="V738" i="20"/>
  <c r="V737" i="20"/>
  <c r="V736" i="20"/>
  <c r="V735" i="20"/>
  <c r="V734" i="20"/>
  <c r="V733" i="20"/>
  <c r="V732" i="20"/>
  <c r="V731" i="20"/>
  <c r="V730" i="20"/>
  <c r="V729" i="20"/>
  <c r="V728" i="20"/>
  <c r="V727" i="20"/>
  <c r="V726" i="20"/>
  <c r="V725" i="20"/>
  <c r="V724" i="20"/>
  <c r="V723" i="20"/>
  <c r="V722" i="20"/>
  <c r="V721" i="20"/>
  <c r="V720" i="20"/>
  <c r="V719" i="20"/>
  <c r="V718" i="20"/>
  <c r="V717" i="20"/>
  <c r="V716" i="20"/>
  <c r="V715" i="20"/>
  <c r="V714" i="20"/>
  <c r="V713" i="20"/>
  <c r="V712" i="20"/>
  <c r="V711" i="20"/>
  <c r="V710" i="20"/>
  <c r="V709" i="20"/>
  <c r="V708" i="20"/>
  <c r="V707" i="20"/>
  <c r="V706" i="20"/>
  <c r="V705" i="20"/>
  <c r="V704" i="20"/>
  <c r="V703" i="20"/>
  <c r="V702" i="20"/>
  <c r="V701" i="20"/>
  <c r="V700" i="20"/>
  <c r="V699" i="20"/>
  <c r="V698" i="20"/>
  <c r="V697" i="20"/>
  <c r="V696" i="20"/>
  <c r="V695" i="20"/>
  <c r="V694" i="20"/>
  <c r="V693" i="20"/>
  <c r="V692" i="20"/>
  <c r="V691" i="20"/>
  <c r="V690" i="20"/>
  <c r="V689" i="20"/>
  <c r="V688" i="20"/>
  <c r="V687" i="20"/>
  <c r="V686" i="20"/>
  <c r="V685" i="20"/>
  <c r="V684" i="20"/>
  <c r="V683" i="20"/>
  <c r="V682" i="20"/>
  <c r="V681" i="20"/>
  <c r="V680" i="20"/>
  <c r="V679" i="20"/>
  <c r="V678" i="20"/>
  <c r="V677" i="20"/>
  <c r="V676" i="20"/>
  <c r="V675" i="20"/>
  <c r="V674" i="20"/>
  <c r="V673" i="20"/>
  <c r="V672" i="20"/>
  <c r="V671" i="20"/>
  <c r="V670" i="20"/>
  <c r="V669" i="20"/>
  <c r="V668" i="20"/>
  <c r="V667" i="20"/>
  <c r="V666" i="20"/>
  <c r="V665" i="20"/>
  <c r="V664" i="20"/>
  <c r="V663" i="20"/>
  <c r="V662" i="20"/>
  <c r="V661" i="20"/>
  <c r="V660" i="20"/>
  <c r="V659" i="20"/>
  <c r="V658" i="20"/>
  <c r="V657" i="20"/>
  <c r="V656" i="20"/>
  <c r="V655" i="20"/>
  <c r="V654" i="20"/>
  <c r="V653" i="20"/>
  <c r="V652" i="20"/>
  <c r="V651" i="20"/>
  <c r="V650" i="20"/>
  <c r="V649" i="20"/>
  <c r="V648" i="20"/>
  <c r="V647" i="20"/>
  <c r="V646" i="20"/>
  <c r="V645" i="20"/>
  <c r="V644" i="20"/>
  <c r="V643" i="20"/>
  <c r="V642" i="20"/>
  <c r="V641" i="20"/>
  <c r="V640" i="20"/>
  <c r="V639" i="20"/>
  <c r="V638" i="20"/>
  <c r="V637" i="20"/>
  <c r="V636" i="20"/>
  <c r="V635" i="20"/>
  <c r="V634" i="20"/>
  <c r="V633" i="20"/>
  <c r="V632" i="20"/>
  <c r="V631" i="20"/>
  <c r="V630" i="20"/>
  <c r="V629" i="20"/>
  <c r="V628" i="20"/>
  <c r="V627" i="20"/>
  <c r="V626" i="20"/>
  <c r="V625" i="20"/>
  <c r="V624" i="20"/>
  <c r="V623" i="20"/>
  <c r="V622" i="20"/>
  <c r="V621" i="20"/>
  <c r="V620" i="20"/>
  <c r="V619" i="20"/>
  <c r="V618" i="20"/>
  <c r="V617" i="20"/>
  <c r="V616" i="20"/>
  <c r="V615" i="20"/>
  <c r="V614" i="20"/>
  <c r="V613" i="20"/>
  <c r="V612" i="20"/>
  <c r="V611" i="20"/>
  <c r="V610" i="20"/>
  <c r="V609" i="20"/>
  <c r="V608" i="20"/>
  <c r="V607" i="20"/>
  <c r="V606" i="20"/>
  <c r="V605" i="20"/>
  <c r="V604" i="20"/>
  <c r="V603" i="20"/>
  <c r="V602" i="20"/>
  <c r="V601" i="20"/>
  <c r="V600" i="20"/>
  <c r="V599" i="20"/>
  <c r="V598" i="20"/>
  <c r="V597" i="20"/>
  <c r="V596" i="20"/>
  <c r="V595" i="20"/>
  <c r="V594" i="20"/>
  <c r="V593" i="20"/>
  <c r="V592" i="20"/>
  <c r="V591" i="20"/>
  <c r="V590" i="20"/>
  <c r="V589" i="20"/>
  <c r="V588" i="20"/>
  <c r="V587" i="20"/>
  <c r="V586" i="20"/>
  <c r="V585" i="20"/>
  <c r="V584" i="20"/>
  <c r="V583" i="20"/>
  <c r="V582" i="20"/>
  <c r="V581" i="20"/>
  <c r="V580" i="20"/>
  <c r="V579" i="20"/>
  <c r="V578" i="20"/>
  <c r="V577" i="20"/>
  <c r="V576" i="20"/>
  <c r="V575" i="20"/>
  <c r="V574" i="20"/>
  <c r="V573" i="20"/>
  <c r="V572" i="20"/>
  <c r="V571" i="20"/>
  <c r="V570" i="20"/>
  <c r="V569" i="20"/>
  <c r="V568" i="20"/>
  <c r="V567" i="20"/>
  <c r="V566" i="20"/>
  <c r="V565" i="20"/>
  <c r="V564" i="20"/>
  <c r="V563" i="20"/>
  <c r="V562" i="20"/>
  <c r="V561" i="20"/>
  <c r="V560" i="20"/>
  <c r="V559" i="20"/>
  <c r="V558" i="20"/>
  <c r="V557" i="20"/>
  <c r="V556" i="20"/>
  <c r="V555" i="20"/>
  <c r="V554" i="20"/>
  <c r="V553" i="20"/>
  <c r="V552" i="20"/>
  <c r="V551" i="20"/>
  <c r="V550" i="20"/>
  <c r="V549" i="20"/>
  <c r="V548" i="20"/>
  <c r="V547" i="20"/>
  <c r="V546" i="20"/>
  <c r="V545" i="20"/>
  <c r="V544" i="20"/>
  <c r="V543" i="20"/>
  <c r="V542" i="20"/>
  <c r="V541" i="20"/>
  <c r="V540" i="20"/>
  <c r="V539" i="20"/>
  <c r="V538" i="20"/>
  <c r="V537" i="20"/>
  <c r="V536" i="20"/>
  <c r="V535" i="20"/>
  <c r="V534" i="20"/>
  <c r="V533" i="20"/>
  <c r="V532" i="20"/>
  <c r="V531" i="20"/>
  <c r="V530" i="20"/>
  <c r="V529" i="20"/>
  <c r="V528" i="20"/>
  <c r="V527" i="20"/>
  <c r="V526" i="20"/>
  <c r="V525" i="20"/>
  <c r="V524" i="20"/>
  <c r="V523" i="20"/>
  <c r="V522" i="20"/>
  <c r="V521" i="20"/>
  <c r="V520" i="20"/>
  <c r="V519" i="20"/>
  <c r="V518" i="20"/>
  <c r="V517" i="20"/>
  <c r="V516" i="20"/>
  <c r="V515" i="20"/>
  <c r="V514" i="20"/>
  <c r="V513" i="20"/>
  <c r="V512" i="20"/>
  <c r="V511" i="20"/>
  <c r="V510" i="20"/>
  <c r="V509" i="20"/>
  <c r="V508" i="20"/>
  <c r="V507" i="20"/>
  <c r="V506" i="20"/>
  <c r="V505" i="20"/>
  <c r="V504" i="20"/>
  <c r="V503" i="20"/>
  <c r="V502" i="20"/>
  <c r="V501" i="20"/>
  <c r="V500" i="20"/>
  <c r="V499" i="20"/>
  <c r="V498" i="20"/>
  <c r="V497" i="20"/>
  <c r="V496" i="20"/>
  <c r="V495" i="20"/>
  <c r="V494" i="20"/>
  <c r="V493" i="20"/>
  <c r="V492" i="20"/>
  <c r="V491" i="20"/>
  <c r="V490" i="20"/>
  <c r="V489" i="20"/>
  <c r="V488" i="20"/>
  <c r="V487" i="20"/>
  <c r="V486" i="20"/>
  <c r="V485" i="20"/>
  <c r="V484" i="20"/>
  <c r="V483" i="20"/>
  <c r="V482" i="20"/>
  <c r="V481" i="20"/>
  <c r="V480" i="20"/>
  <c r="V479" i="20"/>
  <c r="V478" i="20"/>
  <c r="V477" i="20"/>
  <c r="V476" i="20"/>
  <c r="V475" i="20"/>
  <c r="V474" i="20"/>
  <c r="V473" i="20"/>
  <c r="V472" i="20"/>
  <c r="V471" i="20"/>
  <c r="V470" i="20"/>
  <c r="V469" i="20"/>
  <c r="V468" i="20"/>
  <c r="V467" i="20"/>
  <c r="V466" i="20"/>
  <c r="V465" i="20"/>
  <c r="V464" i="20"/>
  <c r="V463" i="20"/>
  <c r="V462" i="20"/>
  <c r="V461" i="20"/>
  <c r="V460" i="20"/>
  <c r="V459" i="20"/>
  <c r="V458" i="20"/>
  <c r="V457" i="20"/>
  <c r="V456" i="20"/>
  <c r="V455" i="20"/>
  <c r="V454" i="20"/>
  <c r="V453" i="20"/>
  <c r="V452" i="20"/>
  <c r="V451" i="20"/>
  <c r="V450" i="20"/>
  <c r="V449" i="20"/>
  <c r="V448" i="20"/>
  <c r="V447" i="20"/>
  <c r="V446" i="20"/>
  <c r="V445" i="20"/>
  <c r="V444" i="20"/>
  <c r="V443" i="20"/>
  <c r="V442" i="20"/>
  <c r="V441" i="20"/>
  <c r="V440" i="20"/>
  <c r="V439" i="20"/>
  <c r="V438" i="20"/>
  <c r="V437" i="20"/>
  <c r="V436" i="20"/>
  <c r="V435" i="20"/>
  <c r="V434" i="20"/>
  <c r="V433" i="20"/>
  <c r="V432" i="20"/>
  <c r="V431" i="20"/>
  <c r="V430" i="20"/>
  <c r="V429" i="20"/>
  <c r="V428" i="20"/>
  <c r="V427" i="20"/>
  <c r="V426" i="20"/>
  <c r="V425" i="20"/>
  <c r="V424" i="20"/>
  <c r="V423" i="20"/>
  <c r="V422" i="20"/>
  <c r="V421" i="20"/>
  <c r="V420" i="20"/>
  <c r="V419" i="20"/>
  <c r="V418" i="20"/>
  <c r="V417" i="20"/>
  <c r="V416" i="20"/>
  <c r="V415" i="20"/>
  <c r="V414" i="20"/>
  <c r="V413" i="20"/>
  <c r="V412" i="20"/>
  <c r="V411" i="20"/>
  <c r="V410" i="20"/>
  <c r="V409" i="20"/>
  <c r="V408" i="20"/>
  <c r="V407" i="20"/>
  <c r="V406" i="20"/>
  <c r="V405" i="20"/>
  <c r="V404" i="20"/>
  <c r="V403" i="20"/>
  <c r="V402" i="20"/>
  <c r="V401" i="20"/>
  <c r="V400" i="20"/>
  <c r="V399" i="20"/>
  <c r="V398" i="20"/>
  <c r="V397" i="20"/>
  <c r="V396" i="20"/>
  <c r="V395" i="20"/>
  <c r="V394" i="20"/>
  <c r="V393" i="20"/>
  <c r="V392" i="20"/>
  <c r="V391" i="20"/>
  <c r="V390" i="20"/>
  <c r="V389" i="20"/>
  <c r="V388" i="20"/>
  <c r="V387" i="20"/>
  <c r="V386" i="20"/>
  <c r="V385" i="20"/>
  <c r="V384" i="20"/>
  <c r="V383" i="20"/>
  <c r="V382" i="20"/>
  <c r="V381" i="20"/>
  <c r="V380" i="20"/>
  <c r="V379" i="20"/>
  <c r="V378" i="20"/>
  <c r="V377" i="20"/>
  <c r="V376" i="20"/>
  <c r="V375" i="20"/>
  <c r="V374" i="20"/>
  <c r="V373" i="20"/>
  <c r="V372" i="20"/>
  <c r="V371" i="20"/>
  <c r="V370" i="20"/>
  <c r="V369" i="20"/>
  <c r="V368" i="20"/>
  <c r="V367" i="20"/>
  <c r="V366" i="20"/>
  <c r="V365" i="20"/>
  <c r="V364" i="20"/>
  <c r="V363" i="20"/>
  <c r="V362" i="20"/>
  <c r="V361" i="20"/>
  <c r="V360" i="20"/>
  <c r="V359" i="20"/>
  <c r="V358" i="20"/>
  <c r="V357" i="20"/>
  <c r="V356" i="20"/>
  <c r="V355" i="20"/>
  <c r="V354" i="20"/>
  <c r="V353" i="20"/>
  <c r="V352" i="20"/>
  <c r="V351" i="20"/>
  <c r="V350" i="20"/>
  <c r="V349" i="20"/>
  <c r="V348" i="20"/>
  <c r="V347" i="20"/>
  <c r="V346" i="20"/>
  <c r="V345" i="20"/>
  <c r="V344" i="20"/>
  <c r="V343" i="20"/>
  <c r="V342" i="20"/>
  <c r="V341" i="20"/>
  <c r="V340" i="20"/>
  <c r="V339" i="20"/>
  <c r="V338" i="20"/>
  <c r="V337" i="20"/>
  <c r="V336" i="20"/>
  <c r="V335" i="20"/>
  <c r="V334" i="20"/>
  <c r="V333" i="20"/>
  <c r="V332" i="20"/>
  <c r="V331" i="20"/>
  <c r="V330" i="20"/>
  <c r="V329" i="20"/>
  <c r="V328" i="20"/>
  <c r="V327" i="20"/>
  <c r="V326" i="20"/>
  <c r="V325" i="20"/>
  <c r="V324" i="20"/>
  <c r="V323" i="20"/>
  <c r="V322" i="20"/>
  <c r="V321" i="20"/>
  <c r="V320" i="20"/>
  <c r="V319" i="20"/>
  <c r="V318" i="20"/>
  <c r="V317" i="20"/>
  <c r="V316" i="20"/>
  <c r="V315" i="20"/>
  <c r="V314" i="20"/>
  <c r="V313" i="20"/>
  <c r="V312" i="20"/>
  <c r="V311" i="20"/>
  <c r="V310" i="20"/>
  <c r="V309" i="20"/>
  <c r="V308" i="20"/>
  <c r="V307" i="20"/>
  <c r="V306" i="20"/>
  <c r="V305" i="20"/>
  <c r="V304" i="20"/>
  <c r="V303" i="20"/>
  <c r="V302" i="20"/>
  <c r="V301" i="20"/>
  <c r="V300" i="20"/>
  <c r="V299" i="20"/>
  <c r="V298" i="20"/>
  <c r="V297" i="20"/>
  <c r="V296" i="20"/>
  <c r="V295" i="20"/>
  <c r="V294" i="20"/>
  <c r="V293" i="20"/>
  <c r="V292" i="20"/>
  <c r="V291" i="20"/>
  <c r="V290" i="20"/>
  <c r="V289" i="20"/>
  <c r="V288" i="20"/>
  <c r="V287" i="20"/>
  <c r="V286" i="20"/>
  <c r="V285" i="20"/>
  <c r="V284" i="20"/>
  <c r="V283" i="20"/>
  <c r="V282" i="20"/>
  <c r="V281" i="20"/>
  <c r="V280" i="20"/>
  <c r="V279" i="20"/>
  <c r="V278" i="20"/>
  <c r="V277" i="20"/>
  <c r="V276" i="20"/>
  <c r="V275" i="20"/>
  <c r="V274" i="20"/>
  <c r="V273" i="20"/>
  <c r="V272" i="20"/>
  <c r="V271" i="20"/>
  <c r="V270" i="20"/>
  <c r="V269" i="20"/>
  <c r="V268" i="20"/>
  <c r="V267" i="20"/>
  <c r="V266" i="20"/>
  <c r="V265" i="20"/>
  <c r="V264" i="20"/>
  <c r="V263" i="20"/>
  <c r="V262" i="20"/>
  <c r="V261" i="20"/>
  <c r="V260" i="20"/>
  <c r="V259" i="20"/>
  <c r="V258" i="20"/>
  <c r="V257" i="20"/>
  <c r="V256" i="20"/>
  <c r="V255" i="20"/>
  <c r="V254" i="20"/>
  <c r="V253" i="20"/>
  <c r="V252" i="20"/>
  <c r="V251" i="20"/>
  <c r="V250" i="20"/>
  <c r="V249" i="20"/>
  <c r="V248" i="20"/>
  <c r="V247" i="20"/>
  <c r="V246" i="20"/>
  <c r="V245" i="20"/>
  <c r="V244" i="20"/>
  <c r="V243" i="20"/>
  <c r="V242" i="20"/>
  <c r="V241" i="20"/>
  <c r="V240" i="20"/>
  <c r="V239" i="20"/>
  <c r="V238" i="20"/>
  <c r="V237" i="20"/>
  <c r="V236" i="20"/>
  <c r="V235" i="20"/>
  <c r="V234" i="20"/>
  <c r="V233" i="20"/>
  <c r="V232" i="20"/>
  <c r="V231" i="20"/>
  <c r="V230" i="20"/>
  <c r="V229" i="20"/>
  <c r="V228" i="20"/>
  <c r="V227" i="20"/>
  <c r="V226" i="20"/>
  <c r="V225" i="20"/>
  <c r="V224" i="20"/>
  <c r="V223" i="20"/>
  <c r="V222" i="20"/>
  <c r="V221" i="20"/>
  <c r="V220" i="20"/>
  <c r="V219" i="20"/>
  <c r="V218" i="20"/>
  <c r="V217" i="20"/>
  <c r="V216" i="20"/>
  <c r="V215" i="20"/>
  <c r="V214" i="20"/>
  <c r="V213" i="20"/>
  <c r="V212" i="20"/>
  <c r="V211" i="20"/>
  <c r="V210" i="20"/>
  <c r="V209" i="20"/>
  <c r="V208" i="20"/>
  <c r="V207" i="20"/>
  <c r="V206" i="20"/>
  <c r="V205" i="20"/>
  <c r="V204" i="20"/>
  <c r="V203" i="20"/>
  <c r="V202" i="20"/>
  <c r="V201" i="20"/>
  <c r="V200" i="20"/>
  <c r="V199" i="20"/>
  <c r="V198" i="20"/>
  <c r="V197" i="20"/>
  <c r="V196" i="20"/>
  <c r="V195" i="20"/>
  <c r="V194" i="20"/>
  <c r="V193" i="20"/>
  <c r="V192" i="20"/>
  <c r="V191" i="20"/>
  <c r="V190" i="20"/>
  <c r="V189" i="20"/>
  <c r="V188" i="20"/>
  <c r="V187" i="20"/>
  <c r="V186" i="20"/>
  <c r="V185" i="20"/>
  <c r="V184" i="20"/>
  <c r="V183" i="20"/>
  <c r="V182" i="20"/>
  <c r="V181" i="20"/>
  <c r="V180" i="20"/>
  <c r="V179" i="20"/>
  <c r="V178" i="20"/>
  <c r="V177" i="20"/>
  <c r="V176" i="20"/>
  <c r="V175" i="20"/>
  <c r="V174" i="20"/>
  <c r="V173" i="20"/>
  <c r="V172" i="20"/>
  <c r="V171" i="20"/>
  <c r="V170" i="20"/>
  <c r="V169" i="20"/>
  <c r="V168" i="20"/>
  <c r="V167" i="20"/>
  <c r="V166" i="20"/>
  <c r="V165" i="20"/>
  <c r="V164" i="20"/>
  <c r="V163" i="20"/>
  <c r="V162" i="20"/>
  <c r="V161" i="20"/>
  <c r="V160" i="20"/>
  <c r="V159" i="20"/>
  <c r="V158" i="20"/>
  <c r="V157" i="20"/>
  <c r="V156" i="20"/>
  <c r="V155" i="20"/>
  <c r="V154" i="20"/>
  <c r="V153" i="20"/>
  <c r="V152" i="20"/>
  <c r="V151" i="20"/>
  <c r="V150" i="20"/>
  <c r="V149" i="20"/>
  <c r="V148" i="20"/>
  <c r="V147" i="20"/>
  <c r="V146" i="20"/>
  <c r="V145" i="20"/>
  <c r="V144" i="20"/>
  <c r="V143" i="20"/>
  <c r="V142" i="20"/>
  <c r="V141" i="20"/>
  <c r="V140" i="20"/>
  <c r="V139" i="20"/>
  <c r="V138" i="20"/>
  <c r="V137" i="20"/>
  <c r="V136" i="20"/>
  <c r="V135" i="20"/>
  <c r="V134" i="20"/>
  <c r="V133" i="20"/>
  <c r="V132" i="20"/>
  <c r="V131" i="20"/>
  <c r="V130" i="20"/>
  <c r="V129" i="20"/>
  <c r="V128" i="20"/>
  <c r="V127" i="20"/>
  <c r="V126" i="20"/>
  <c r="V125" i="20"/>
  <c r="V124" i="20"/>
  <c r="V123" i="20"/>
  <c r="V122" i="20"/>
  <c r="V121" i="20"/>
  <c r="V120" i="20"/>
  <c r="V119" i="20"/>
  <c r="V118" i="20"/>
  <c r="V117" i="20"/>
  <c r="V116" i="20"/>
  <c r="V115" i="20"/>
  <c r="V114" i="20"/>
  <c r="V113" i="20"/>
  <c r="V112" i="20"/>
  <c r="V111" i="20"/>
  <c r="V110" i="20"/>
  <c r="V109" i="20"/>
  <c r="V108" i="20"/>
  <c r="V107" i="20"/>
  <c r="V106" i="20"/>
  <c r="V105" i="20"/>
  <c r="V104" i="20"/>
  <c r="V103" i="20"/>
  <c r="V102" i="20"/>
  <c r="V101" i="20"/>
  <c r="V100" i="20"/>
  <c r="V99" i="20"/>
  <c r="V98" i="20"/>
  <c r="V97" i="20"/>
  <c r="V96" i="20"/>
  <c r="V95" i="20"/>
  <c r="V94" i="20"/>
  <c r="V93" i="20"/>
  <c r="V92" i="20"/>
  <c r="V91" i="20"/>
  <c r="V90" i="20"/>
  <c r="V89" i="20"/>
  <c r="V88" i="20"/>
  <c r="V87" i="20"/>
  <c r="V86" i="20"/>
  <c r="V85" i="20"/>
  <c r="V84" i="20"/>
  <c r="V83" i="20"/>
  <c r="V82" i="20"/>
  <c r="V81" i="20"/>
  <c r="V80" i="20"/>
  <c r="V79" i="20"/>
  <c r="V78" i="20"/>
  <c r="V77" i="20"/>
  <c r="V76" i="20"/>
  <c r="V75" i="20"/>
  <c r="V74" i="20"/>
  <c r="V73" i="20"/>
  <c r="V72" i="20"/>
  <c r="V71" i="20"/>
  <c r="V70" i="20"/>
  <c r="V69" i="20"/>
  <c r="V68" i="20"/>
  <c r="V67" i="20"/>
  <c r="V66" i="20"/>
  <c r="V65" i="20"/>
  <c r="V64" i="20"/>
  <c r="V63" i="20"/>
  <c r="V62" i="20"/>
  <c r="V61" i="20"/>
  <c r="V60" i="20"/>
  <c r="V59" i="20"/>
  <c r="V58" i="20"/>
  <c r="V57" i="20"/>
  <c r="V56" i="20"/>
  <c r="V55" i="20"/>
  <c r="V54" i="20"/>
  <c r="V53" i="20"/>
  <c r="V52" i="20"/>
  <c r="V51" i="20"/>
  <c r="V50" i="20"/>
  <c r="V49" i="20"/>
  <c r="V48" i="20"/>
  <c r="V47" i="20"/>
  <c r="V46" i="20"/>
  <c r="V45" i="20"/>
  <c r="V44" i="20"/>
  <c r="V43" i="20"/>
  <c r="V42" i="20"/>
  <c r="V41" i="20"/>
  <c r="V40" i="20"/>
  <c r="V39" i="20"/>
  <c r="V38" i="20"/>
  <c r="V37" i="20"/>
  <c r="V36" i="20"/>
  <c r="V35" i="20"/>
  <c r="V34" i="20"/>
  <c r="V33" i="20"/>
  <c r="V32" i="20"/>
  <c r="V31" i="20"/>
  <c r="V30" i="20"/>
  <c r="V29" i="20"/>
  <c r="V28" i="20"/>
  <c r="V27" i="20"/>
  <c r="V26" i="20"/>
  <c r="V25" i="20"/>
  <c r="V24" i="20"/>
  <c r="V23" i="20"/>
  <c r="V22" i="20"/>
  <c r="V21" i="20"/>
  <c r="V20" i="20"/>
  <c r="V19" i="20"/>
  <c r="V18" i="20"/>
  <c r="V17" i="20"/>
  <c r="V16" i="20"/>
  <c r="V15" i="20"/>
  <c r="V14" i="20"/>
  <c r="V13" i="20"/>
  <c r="V12" i="20"/>
  <c r="V11" i="20"/>
  <c r="V10" i="20"/>
  <c r="V9" i="20"/>
  <c r="V8" i="20"/>
  <c r="V7" i="20"/>
  <c r="V6" i="20"/>
  <c r="V5" i="20"/>
  <c r="V4" i="20"/>
  <c r="W1255" i="20" l="1"/>
  <c r="U1255" i="20"/>
  <c r="W1254" i="20"/>
  <c r="U1254" i="20"/>
  <c r="W1253" i="20"/>
  <c r="U1253" i="20"/>
  <c r="W1252" i="20"/>
  <c r="U1252" i="20"/>
  <c r="W1251" i="20"/>
  <c r="U1251" i="20"/>
  <c r="W1250" i="20"/>
  <c r="U1250" i="20"/>
  <c r="W1249" i="20"/>
  <c r="U1249" i="20"/>
  <c r="W1248" i="20"/>
  <c r="U1248" i="20"/>
  <c r="W1247" i="20"/>
  <c r="U1247" i="20"/>
  <c r="W1246" i="20"/>
  <c r="U1246" i="20"/>
  <c r="W1245" i="20"/>
  <c r="U1245" i="20"/>
  <c r="W1244" i="20"/>
  <c r="U1244" i="20"/>
  <c r="W1243" i="20"/>
  <c r="U1243" i="20"/>
  <c r="W1242" i="20"/>
  <c r="U1242" i="20"/>
  <c r="W1241" i="20"/>
  <c r="U1241" i="20"/>
  <c r="W1240" i="20"/>
  <c r="U1240" i="20"/>
  <c r="W1239" i="20"/>
  <c r="U1239" i="20"/>
  <c r="W1238" i="20"/>
  <c r="U1238" i="20"/>
  <c r="W1237" i="20"/>
  <c r="U1237" i="20"/>
  <c r="W1236" i="20"/>
  <c r="U1236" i="20"/>
  <c r="W1235" i="20"/>
  <c r="U1235" i="20"/>
  <c r="W1234" i="20"/>
  <c r="U1234" i="20"/>
  <c r="W1233" i="20"/>
  <c r="U1233" i="20"/>
  <c r="W1232" i="20"/>
  <c r="U1232" i="20"/>
  <c r="W1231" i="20"/>
  <c r="U1231" i="20"/>
  <c r="W1230" i="20"/>
  <c r="U1230" i="20"/>
  <c r="W1229" i="20"/>
  <c r="U1229" i="20"/>
  <c r="W1228" i="20"/>
  <c r="U1228" i="20"/>
  <c r="W1227" i="20"/>
  <c r="U1227" i="20"/>
  <c r="W1226" i="20"/>
  <c r="U1226" i="20"/>
  <c r="W1225" i="20"/>
  <c r="U1225" i="20"/>
  <c r="W1224" i="20"/>
  <c r="U1224" i="20"/>
  <c r="W1223" i="20"/>
  <c r="U1223" i="20"/>
  <c r="W1222" i="20"/>
  <c r="U1222" i="20"/>
  <c r="W1221" i="20"/>
  <c r="U1221" i="20"/>
  <c r="W1220" i="20"/>
  <c r="U1220" i="20"/>
  <c r="W1219" i="20"/>
  <c r="U1219" i="20"/>
  <c r="W1218" i="20"/>
  <c r="U1218" i="20"/>
  <c r="W1217" i="20"/>
  <c r="U1217" i="20"/>
  <c r="W1216" i="20"/>
  <c r="U1216" i="20"/>
  <c r="W1215" i="20"/>
  <c r="U1215" i="20"/>
  <c r="W1214" i="20"/>
  <c r="U1214" i="20"/>
  <c r="W1213" i="20"/>
  <c r="U1213" i="20"/>
  <c r="W1212" i="20"/>
  <c r="U1212" i="20"/>
  <c r="W1211" i="20"/>
  <c r="U1211" i="20"/>
  <c r="W1210" i="20"/>
  <c r="U1210" i="20"/>
  <c r="W1209" i="20"/>
  <c r="U1209" i="20"/>
  <c r="W1208" i="20"/>
  <c r="U1208" i="20"/>
  <c r="W1207" i="20"/>
  <c r="U1207" i="20"/>
  <c r="W1206" i="20"/>
  <c r="U1206" i="20"/>
  <c r="W1205" i="20"/>
  <c r="U1205" i="20"/>
  <c r="W1204" i="20"/>
  <c r="U1204" i="20"/>
  <c r="W1203" i="20"/>
  <c r="U1203" i="20"/>
  <c r="W1202" i="20"/>
  <c r="U1202" i="20"/>
  <c r="W1201" i="20"/>
  <c r="U1201" i="20"/>
  <c r="W1200" i="20"/>
  <c r="U1200" i="20"/>
  <c r="W1199" i="20"/>
  <c r="U1199" i="20"/>
  <c r="W1198" i="20"/>
  <c r="U1198" i="20"/>
  <c r="W1197" i="20"/>
  <c r="U1197" i="20"/>
  <c r="W1196" i="20"/>
  <c r="U1196" i="20"/>
  <c r="W1195" i="20"/>
  <c r="U1195" i="20"/>
  <c r="W1194" i="20"/>
  <c r="U1194" i="20"/>
  <c r="W1193" i="20"/>
  <c r="U1193" i="20"/>
  <c r="W1192" i="20"/>
  <c r="U1192" i="20"/>
  <c r="W1191" i="20"/>
  <c r="U1191" i="20"/>
  <c r="W1190" i="20"/>
  <c r="U1190" i="20"/>
  <c r="W1189" i="20"/>
  <c r="U1189" i="20"/>
  <c r="W1188" i="20"/>
  <c r="U1188" i="20"/>
  <c r="W1187" i="20"/>
  <c r="U1187" i="20"/>
  <c r="W1186" i="20"/>
  <c r="U1186" i="20"/>
  <c r="W1185" i="20"/>
  <c r="U1185" i="20"/>
  <c r="W1184" i="20"/>
  <c r="U1184" i="20"/>
  <c r="W1183" i="20"/>
  <c r="U1183" i="20"/>
  <c r="W1182" i="20"/>
  <c r="U1182" i="20"/>
  <c r="W1181" i="20"/>
  <c r="U1181" i="20"/>
  <c r="W1180" i="20"/>
  <c r="U1180" i="20"/>
  <c r="W1179" i="20"/>
  <c r="U1179" i="20"/>
  <c r="W1178" i="20"/>
  <c r="U1178" i="20"/>
  <c r="W1177" i="20"/>
  <c r="U1177" i="20"/>
  <c r="W1176" i="20"/>
  <c r="U1176" i="20"/>
  <c r="W1175" i="20"/>
  <c r="U1175" i="20"/>
  <c r="W1174" i="20"/>
  <c r="U1174" i="20"/>
  <c r="W1173" i="20"/>
  <c r="U1173" i="20"/>
  <c r="W1172" i="20"/>
  <c r="U1172" i="20"/>
  <c r="W1171" i="20"/>
  <c r="U1171" i="20"/>
  <c r="W1170" i="20"/>
  <c r="U1170" i="20"/>
  <c r="W1169" i="20"/>
  <c r="U1169" i="20"/>
  <c r="W1168" i="20"/>
  <c r="U1168" i="20"/>
  <c r="W1167" i="20"/>
  <c r="U1167" i="20"/>
  <c r="W1166" i="20"/>
  <c r="U1166" i="20"/>
  <c r="W1165" i="20"/>
  <c r="U1165" i="20"/>
  <c r="W1164" i="20"/>
  <c r="U1164" i="20"/>
  <c r="W1163" i="20"/>
  <c r="U1163" i="20"/>
  <c r="W1162" i="20"/>
  <c r="U1162" i="20"/>
  <c r="W1161" i="20"/>
  <c r="U1161" i="20"/>
  <c r="W1160" i="20"/>
  <c r="U1160" i="20"/>
  <c r="W1159" i="20"/>
  <c r="U1159" i="20"/>
  <c r="W1158" i="20"/>
  <c r="U1158" i="20"/>
  <c r="W1157" i="20"/>
  <c r="U1157" i="20"/>
  <c r="W1156" i="20"/>
  <c r="U1156" i="20"/>
  <c r="W1155" i="20"/>
  <c r="U1155" i="20"/>
  <c r="W1154" i="20"/>
  <c r="U1154" i="20"/>
  <c r="W1153" i="20"/>
  <c r="U1153" i="20"/>
  <c r="W1152" i="20"/>
  <c r="U1152" i="20"/>
  <c r="W1151" i="20"/>
  <c r="U1151" i="20"/>
  <c r="W1150" i="20"/>
  <c r="U1150" i="20"/>
  <c r="W1149" i="20"/>
  <c r="U1149" i="20"/>
  <c r="W1148" i="20"/>
  <c r="U1148" i="20"/>
  <c r="W1147" i="20"/>
  <c r="U1147" i="20"/>
  <c r="W1146" i="20"/>
  <c r="U1146" i="20"/>
  <c r="W1145" i="20"/>
  <c r="U1145" i="20"/>
  <c r="W1144" i="20"/>
  <c r="U1144" i="20"/>
  <c r="W1143" i="20"/>
  <c r="U1143" i="20"/>
  <c r="W1142" i="20"/>
  <c r="U1142" i="20"/>
  <c r="W1141" i="20"/>
  <c r="U1141" i="20"/>
  <c r="W1140" i="20"/>
  <c r="U1140" i="20"/>
  <c r="W1139" i="20"/>
  <c r="U1139" i="20"/>
  <c r="W1138" i="20"/>
  <c r="U1138" i="20"/>
  <c r="W1137" i="20"/>
  <c r="U1137" i="20"/>
  <c r="W1136" i="20"/>
  <c r="U1136" i="20"/>
  <c r="W1135" i="20"/>
  <c r="U1135" i="20"/>
  <c r="W1134" i="20"/>
  <c r="U1134" i="20"/>
  <c r="W1133" i="20"/>
  <c r="U1133" i="20"/>
  <c r="W1132" i="20"/>
  <c r="U1132" i="20"/>
  <c r="W1131" i="20"/>
  <c r="U1131" i="20"/>
  <c r="W1130" i="20"/>
  <c r="U1130" i="20"/>
  <c r="W1129" i="20"/>
  <c r="U1129" i="20"/>
  <c r="W1128" i="20"/>
  <c r="U1128" i="20"/>
  <c r="W1127" i="20"/>
  <c r="U1127" i="20"/>
  <c r="W1126" i="20"/>
  <c r="U1126" i="20"/>
  <c r="W1125" i="20"/>
  <c r="U1125" i="20"/>
  <c r="W1124" i="20"/>
  <c r="U1124" i="20"/>
  <c r="W1123" i="20"/>
  <c r="U1123" i="20"/>
  <c r="W1122" i="20"/>
  <c r="U1122" i="20"/>
  <c r="W1121" i="20"/>
  <c r="U1121" i="20"/>
  <c r="W1120" i="20"/>
  <c r="U1120" i="20"/>
  <c r="W1119" i="20"/>
  <c r="U1119" i="20"/>
  <c r="W1118" i="20"/>
  <c r="U1118" i="20"/>
  <c r="W1117" i="20"/>
  <c r="U1117" i="20"/>
  <c r="W1116" i="20"/>
  <c r="U1116" i="20"/>
  <c r="W1115" i="20"/>
  <c r="U1115" i="20"/>
  <c r="W1114" i="20"/>
  <c r="U1114" i="20"/>
  <c r="W1113" i="20"/>
  <c r="U1113" i="20"/>
  <c r="W1112" i="20"/>
  <c r="U1112" i="20"/>
  <c r="W1111" i="20"/>
  <c r="U1111" i="20"/>
  <c r="W1110" i="20"/>
  <c r="U1110" i="20"/>
  <c r="W1109" i="20"/>
  <c r="U1109" i="20"/>
  <c r="W1108" i="20"/>
  <c r="U1108" i="20"/>
  <c r="W1107" i="20"/>
  <c r="U1107" i="20"/>
  <c r="W1106" i="20"/>
  <c r="U1106" i="20"/>
  <c r="W1105" i="20"/>
  <c r="U1105" i="20"/>
  <c r="W1104" i="20"/>
  <c r="U1104" i="20"/>
  <c r="W1103" i="20"/>
  <c r="U1103" i="20"/>
  <c r="W1102" i="20"/>
  <c r="U1102" i="20"/>
  <c r="W1101" i="20"/>
  <c r="U1101" i="20"/>
  <c r="W1100" i="20"/>
  <c r="U1100" i="20"/>
  <c r="W1099" i="20"/>
  <c r="U1099" i="20"/>
  <c r="W1098" i="20"/>
  <c r="U1098" i="20"/>
  <c r="W1097" i="20"/>
  <c r="U1097" i="20"/>
  <c r="W1096" i="20"/>
  <c r="U1096" i="20"/>
  <c r="W1095" i="20"/>
  <c r="U1095" i="20"/>
  <c r="W1094" i="20"/>
  <c r="U1094" i="20"/>
  <c r="W1093" i="20"/>
  <c r="U1093" i="20"/>
  <c r="W1092" i="20"/>
  <c r="U1092" i="20"/>
  <c r="W1091" i="20"/>
  <c r="U1091" i="20"/>
  <c r="W1090" i="20"/>
  <c r="U1090" i="20"/>
  <c r="W1089" i="20"/>
  <c r="U1089" i="20"/>
  <c r="W1088" i="20"/>
  <c r="U1088" i="20"/>
  <c r="W1087" i="20"/>
  <c r="U1087" i="20"/>
  <c r="W1086" i="20"/>
  <c r="U1086" i="20"/>
  <c r="W1085" i="20"/>
  <c r="U1085" i="20"/>
  <c r="W1084" i="20"/>
  <c r="U1084" i="20"/>
  <c r="W1083" i="20"/>
  <c r="U1083" i="20"/>
  <c r="W1082" i="20"/>
  <c r="U1082" i="20"/>
  <c r="W1081" i="20"/>
  <c r="U1081" i="20"/>
  <c r="W1080" i="20"/>
  <c r="U1080" i="20"/>
  <c r="W1079" i="20"/>
  <c r="U1079" i="20"/>
  <c r="W1078" i="20"/>
  <c r="U1078" i="20"/>
  <c r="W1077" i="20"/>
  <c r="U1077" i="20"/>
  <c r="W1076" i="20"/>
  <c r="U1076" i="20"/>
  <c r="W1075" i="20"/>
  <c r="U1075" i="20"/>
  <c r="W1074" i="20"/>
  <c r="U1074" i="20"/>
  <c r="W1073" i="20"/>
  <c r="U1073" i="20"/>
  <c r="W1072" i="20"/>
  <c r="U1072" i="20"/>
  <c r="W1071" i="20"/>
  <c r="U1071" i="20"/>
  <c r="W1070" i="20"/>
  <c r="U1070" i="20"/>
  <c r="W1069" i="20"/>
  <c r="U1069" i="20"/>
  <c r="W1068" i="20"/>
  <c r="U1068" i="20"/>
  <c r="W1067" i="20"/>
  <c r="U1067" i="20"/>
  <c r="W1066" i="20"/>
  <c r="U1066" i="20"/>
  <c r="W1065" i="20"/>
  <c r="U1065" i="20"/>
  <c r="W1064" i="20"/>
  <c r="U1064" i="20"/>
  <c r="W1063" i="20"/>
  <c r="U1063" i="20"/>
  <c r="W1062" i="20"/>
  <c r="U1062" i="20"/>
  <c r="W1061" i="20"/>
  <c r="U1061" i="20"/>
  <c r="W1060" i="20"/>
  <c r="U1060" i="20"/>
  <c r="W1059" i="20"/>
  <c r="U1059" i="20"/>
  <c r="W1058" i="20"/>
  <c r="U1058" i="20"/>
  <c r="W1057" i="20"/>
  <c r="U1057" i="20"/>
  <c r="W1056" i="20"/>
  <c r="U1056" i="20"/>
  <c r="W1055" i="20"/>
  <c r="U1055" i="20"/>
  <c r="W1054" i="20"/>
  <c r="U1054" i="20"/>
  <c r="W1053" i="20"/>
  <c r="U1053" i="20"/>
  <c r="W1052" i="20"/>
  <c r="U1052" i="20"/>
  <c r="W1051" i="20"/>
  <c r="U1051" i="20"/>
  <c r="W1050" i="20"/>
  <c r="U1050" i="20"/>
  <c r="W1049" i="20"/>
  <c r="U1049" i="20"/>
  <c r="W1048" i="20"/>
  <c r="U1048" i="20"/>
  <c r="W1047" i="20"/>
  <c r="U1047" i="20"/>
  <c r="W1046" i="20"/>
  <c r="U1046" i="20"/>
  <c r="W1045" i="20"/>
  <c r="U1045" i="20"/>
  <c r="W1044" i="20"/>
  <c r="U1044" i="20"/>
  <c r="W1043" i="20"/>
  <c r="U1043" i="20"/>
  <c r="W1042" i="20"/>
  <c r="U1042" i="20"/>
  <c r="W1041" i="20"/>
  <c r="U1041" i="20"/>
  <c r="W1040" i="20"/>
  <c r="U1040" i="20"/>
  <c r="W1039" i="20"/>
  <c r="U1039" i="20"/>
  <c r="W1038" i="20"/>
  <c r="U1038" i="20"/>
  <c r="W1037" i="20"/>
  <c r="U1037" i="20"/>
  <c r="W1036" i="20"/>
  <c r="U1036" i="20"/>
  <c r="W1035" i="20"/>
  <c r="U1035" i="20"/>
  <c r="W1034" i="20"/>
  <c r="U1034" i="20"/>
  <c r="W1033" i="20"/>
  <c r="U1033" i="20"/>
  <c r="W1032" i="20"/>
  <c r="U1032" i="20"/>
  <c r="W1031" i="20"/>
  <c r="U1031" i="20"/>
  <c r="W1030" i="20"/>
  <c r="U1030" i="20"/>
  <c r="W1029" i="20"/>
  <c r="U1029" i="20"/>
  <c r="W1028" i="20"/>
  <c r="U1028" i="20"/>
  <c r="W1027" i="20"/>
  <c r="U1027" i="20"/>
  <c r="W1026" i="20"/>
  <c r="U1026" i="20"/>
  <c r="W1025" i="20"/>
  <c r="U1025" i="20"/>
  <c r="W1024" i="20"/>
  <c r="U1024" i="20"/>
  <c r="W1023" i="20"/>
  <c r="U1023" i="20"/>
  <c r="W1022" i="20"/>
  <c r="U1022" i="20"/>
  <c r="W1021" i="20"/>
  <c r="U1021" i="20"/>
  <c r="W1020" i="20"/>
  <c r="U1020" i="20"/>
  <c r="W1019" i="20"/>
  <c r="U1019" i="20"/>
  <c r="W1018" i="20"/>
  <c r="U1018" i="20"/>
  <c r="W1017" i="20"/>
  <c r="U1017" i="20"/>
  <c r="W1016" i="20"/>
  <c r="U1016" i="20"/>
  <c r="W1015" i="20"/>
  <c r="U1015" i="20"/>
  <c r="W1014" i="20"/>
  <c r="U1014" i="20"/>
  <c r="W1013" i="20"/>
  <c r="U1013" i="20"/>
  <c r="W1012" i="20"/>
  <c r="U1012" i="20"/>
  <c r="W1011" i="20"/>
  <c r="U1011" i="20"/>
  <c r="W1010" i="20"/>
  <c r="U1010" i="20"/>
  <c r="W1009" i="20"/>
  <c r="U1009" i="20"/>
  <c r="W1008" i="20"/>
  <c r="U1008" i="20"/>
  <c r="W1007" i="20"/>
  <c r="U1007" i="20"/>
  <c r="W1006" i="20"/>
  <c r="U1006" i="20"/>
  <c r="W1005" i="20"/>
  <c r="U1005" i="20"/>
  <c r="W1004" i="20"/>
  <c r="U1004" i="20"/>
  <c r="W1003" i="20"/>
  <c r="U1003" i="20"/>
  <c r="W1002" i="20"/>
  <c r="U1002" i="20"/>
  <c r="W1001" i="20"/>
  <c r="U1001" i="20"/>
  <c r="W1000" i="20"/>
  <c r="U1000" i="20"/>
  <c r="W999" i="20"/>
  <c r="U999" i="20"/>
  <c r="W998" i="20"/>
  <c r="U998" i="20"/>
  <c r="W997" i="20"/>
  <c r="U997" i="20"/>
  <c r="W996" i="20"/>
  <c r="U996" i="20"/>
  <c r="W995" i="20"/>
  <c r="U995" i="20"/>
  <c r="W994" i="20"/>
  <c r="U994" i="20"/>
  <c r="W993" i="20"/>
  <c r="U993" i="20"/>
  <c r="W992" i="20"/>
  <c r="U992" i="20"/>
  <c r="W991" i="20"/>
  <c r="U991" i="20"/>
  <c r="W990" i="20"/>
  <c r="U990" i="20"/>
  <c r="W989" i="20"/>
  <c r="U989" i="20"/>
  <c r="W988" i="20"/>
  <c r="U988" i="20"/>
  <c r="W987" i="20"/>
  <c r="U987" i="20"/>
  <c r="W986" i="20"/>
  <c r="U986" i="20"/>
  <c r="W985" i="20"/>
  <c r="U985" i="20"/>
  <c r="W984" i="20"/>
  <c r="U984" i="20"/>
  <c r="W983" i="20"/>
  <c r="U983" i="20"/>
  <c r="W982" i="20"/>
  <c r="U982" i="20"/>
  <c r="W981" i="20"/>
  <c r="U981" i="20"/>
  <c r="W980" i="20"/>
  <c r="U980" i="20"/>
  <c r="W979" i="20"/>
  <c r="U979" i="20"/>
  <c r="W978" i="20"/>
  <c r="U978" i="20"/>
  <c r="W977" i="20"/>
  <c r="U977" i="20"/>
  <c r="W976" i="20"/>
  <c r="U976" i="20"/>
  <c r="W975" i="20"/>
  <c r="U975" i="20"/>
  <c r="W974" i="20"/>
  <c r="U974" i="20"/>
  <c r="W973" i="20"/>
  <c r="U973" i="20"/>
  <c r="W972" i="20"/>
  <c r="U972" i="20"/>
  <c r="W971" i="20"/>
  <c r="U971" i="20"/>
  <c r="W970" i="20"/>
  <c r="U970" i="20"/>
  <c r="W969" i="20"/>
  <c r="U969" i="20"/>
  <c r="W968" i="20"/>
  <c r="U968" i="20"/>
  <c r="W967" i="20"/>
  <c r="U967" i="20"/>
  <c r="W966" i="20"/>
  <c r="U966" i="20"/>
  <c r="W965" i="20"/>
  <c r="U965" i="20"/>
  <c r="W964" i="20"/>
  <c r="U964" i="20"/>
  <c r="W963" i="20"/>
  <c r="U963" i="20"/>
  <c r="W962" i="20"/>
  <c r="U962" i="20"/>
  <c r="W961" i="20"/>
  <c r="U961" i="20"/>
  <c r="W960" i="20"/>
  <c r="U960" i="20"/>
  <c r="W959" i="20"/>
  <c r="U959" i="20"/>
  <c r="W958" i="20"/>
  <c r="U958" i="20"/>
  <c r="W957" i="20"/>
  <c r="U957" i="20"/>
  <c r="W956" i="20"/>
  <c r="U956" i="20"/>
  <c r="W955" i="20"/>
  <c r="U955" i="20"/>
  <c r="W954" i="20"/>
  <c r="U954" i="20"/>
  <c r="W953" i="20"/>
  <c r="U953" i="20"/>
  <c r="W952" i="20"/>
  <c r="U952" i="20"/>
  <c r="W951" i="20"/>
  <c r="U951" i="20"/>
  <c r="W950" i="20"/>
  <c r="U950" i="20"/>
  <c r="W949" i="20"/>
  <c r="U949" i="20"/>
  <c r="W948" i="20"/>
  <c r="U948" i="20"/>
  <c r="W947" i="20"/>
  <c r="U947" i="20"/>
  <c r="W946" i="20"/>
  <c r="U946" i="20"/>
  <c r="W945" i="20"/>
  <c r="U945" i="20"/>
  <c r="W944" i="20"/>
  <c r="U944" i="20"/>
  <c r="W943" i="20"/>
  <c r="U943" i="20"/>
  <c r="W942" i="20"/>
  <c r="U942" i="20"/>
  <c r="W941" i="20"/>
  <c r="U941" i="20"/>
  <c r="W940" i="20"/>
  <c r="U940" i="20"/>
  <c r="W939" i="20"/>
  <c r="U939" i="20"/>
  <c r="W938" i="20"/>
  <c r="U938" i="20"/>
  <c r="W937" i="20"/>
  <c r="U937" i="20"/>
  <c r="W936" i="20"/>
  <c r="U936" i="20"/>
  <c r="W935" i="20"/>
  <c r="U935" i="20"/>
  <c r="W934" i="20"/>
  <c r="U934" i="20"/>
  <c r="W933" i="20"/>
  <c r="U933" i="20"/>
  <c r="W932" i="20"/>
  <c r="U932" i="20"/>
  <c r="W931" i="20"/>
  <c r="U931" i="20"/>
  <c r="W930" i="20"/>
  <c r="U930" i="20"/>
  <c r="W929" i="20"/>
  <c r="U929" i="20"/>
  <c r="W928" i="20"/>
  <c r="U928" i="20"/>
  <c r="W927" i="20"/>
  <c r="U927" i="20"/>
  <c r="W926" i="20"/>
  <c r="U926" i="20"/>
  <c r="W925" i="20"/>
  <c r="U925" i="20"/>
  <c r="W924" i="20"/>
  <c r="U924" i="20"/>
  <c r="W923" i="20"/>
  <c r="U923" i="20"/>
  <c r="W922" i="20"/>
  <c r="U922" i="20"/>
  <c r="W921" i="20"/>
  <c r="U921" i="20"/>
  <c r="W920" i="20"/>
  <c r="U920" i="20"/>
  <c r="W919" i="20"/>
  <c r="U919" i="20"/>
  <c r="W918" i="20"/>
  <c r="U918" i="20"/>
  <c r="W917" i="20"/>
  <c r="U917" i="20"/>
  <c r="W916" i="20"/>
  <c r="U916" i="20"/>
  <c r="W915" i="20"/>
  <c r="U915" i="20"/>
  <c r="W914" i="20"/>
  <c r="U914" i="20"/>
  <c r="W913" i="20"/>
  <c r="U913" i="20"/>
  <c r="W912" i="20"/>
  <c r="U912" i="20"/>
  <c r="W911" i="20"/>
  <c r="U911" i="20"/>
  <c r="W910" i="20"/>
  <c r="U910" i="20"/>
  <c r="W909" i="20"/>
  <c r="U909" i="20"/>
  <c r="W908" i="20"/>
  <c r="U908" i="20"/>
  <c r="W907" i="20"/>
  <c r="U907" i="20"/>
  <c r="W906" i="20"/>
  <c r="U906" i="20"/>
  <c r="W905" i="20"/>
  <c r="U905" i="20"/>
  <c r="W904" i="20"/>
  <c r="U904" i="20"/>
  <c r="W903" i="20"/>
  <c r="U903" i="20"/>
  <c r="W902" i="20"/>
  <c r="U902" i="20"/>
  <c r="W901" i="20"/>
  <c r="U901" i="20"/>
  <c r="W900" i="20"/>
  <c r="U900" i="20"/>
  <c r="W899" i="20"/>
  <c r="U899" i="20"/>
  <c r="W898" i="20"/>
  <c r="U898" i="20"/>
  <c r="W897" i="20"/>
  <c r="U897" i="20"/>
  <c r="W896" i="20"/>
  <c r="U896" i="20"/>
  <c r="W895" i="20"/>
  <c r="U895" i="20"/>
  <c r="W894" i="20"/>
  <c r="U894" i="20"/>
  <c r="W893" i="20"/>
  <c r="U893" i="20"/>
  <c r="W892" i="20"/>
  <c r="U892" i="20"/>
  <c r="W891" i="20"/>
  <c r="U891" i="20"/>
  <c r="W890" i="20"/>
  <c r="U890" i="20"/>
  <c r="W889" i="20"/>
  <c r="U889" i="20"/>
  <c r="W888" i="20"/>
  <c r="U888" i="20"/>
  <c r="W887" i="20"/>
  <c r="U887" i="20"/>
  <c r="W886" i="20"/>
  <c r="U886" i="20"/>
  <c r="W885" i="20"/>
  <c r="U885" i="20"/>
  <c r="W884" i="20"/>
  <c r="U884" i="20"/>
  <c r="W883" i="20"/>
  <c r="U883" i="20"/>
  <c r="W882" i="20"/>
  <c r="U882" i="20"/>
  <c r="W881" i="20"/>
  <c r="U881" i="20"/>
  <c r="W880" i="20"/>
  <c r="U880" i="20"/>
  <c r="W879" i="20"/>
  <c r="U879" i="20"/>
  <c r="W878" i="20"/>
  <c r="U878" i="20"/>
  <c r="W877" i="20"/>
  <c r="U877" i="20"/>
  <c r="W876" i="20"/>
  <c r="U876" i="20"/>
  <c r="W875" i="20"/>
  <c r="U875" i="20"/>
  <c r="W874" i="20"/>
  <c r="U874" i="20"/>
  <c r="W873" i="20"/>
  <c r="U873" i="20"/>
  <c r="W872" i="20"/>
  <c r="U872" i="20"/>
  <c r="W871" i="20"/>
  <c r="U871" i="20"/>
  <c r="W870" i="20"/>
  <c r="U870" i="20"/>
  <c r="W869" i="20"/>
  <c r="U869" i="20"/>
  <c r="W868" i="20"/>
  <c r="U868" i="20"/>
  <c r="W867" i="20"/>
  <c r="U867" i="20"/>
  <c r="W866" i="20"/>
  <c r="U866" i="20"/>
  <c r="W865" i="20"/>
  <c r="U865" i="20"/>
  <c r="W864" i="20"/>
  <c r="U864" i="20"/>
  <c r="W863" i="20"/>
  <c r="U863" i="20"/>
  <c r="W862" i="20"/>
  <c r="U862" i="20"/>
  <c r="W861" i="20"/>
  <c r="U861" i="20"/>
  <c r="W860" i="20"/>
  <c r="U860" i="20"/>
  <c r="W859" i="20"/>
  <c r="U859" i="20"/>
  <c r="W858" i="20"/>
  <c r="U858" i="20"/>
  <c r="W857" i="20"/>
  <c r="U857" i="20"/>
  <c r="W856" i="20"/>
  <c r="U856" i="20"/>
  <c r="W855" i="20"/>
  <c r="U855" i="20"/>
  <c r="W854" i="20"/>
  <c r="U854" i="20"/>
  <c r="W853" i="20"/>
  <c r="U853" i="20"/>
  <c r="W852" i="20"/>
  <c r="U852" i="20"/>
  <c r="W851" i="20"/>
  <c r="U851" i="20"/>
  <c r="W850" i="20"/>
  <c r="U850" i="20"/>
  <c r="W849" i="20"/>
  <c r="U849" i="20"/>
  <c r="W848" i="20"/>
  <c r="U848" i="20"/>
  <c r="W847" i="20"/>
  <c r="U847" i="20"/>
  <c r="W846" i="20"/>
  <c r="U846" i="20"/>
  <c r="W845" i="20"/>
  <c r="U845" i="20"/>
  <c r="W844" i="20"/>
  <c r="U844" i="20"/>
  <c r="W843" i="20"/>
  <c r="U843" i="20"/>
  <c r="W842" i="20"/>
  <c r="U842" i="20"/>
  <c r="W841" i="20"/>
  <c r="U841" i="20"/>
  <c r="W840" i="20"/>
  <c r="U840" i="20"/>
  <c r="W839" i="20"/>
  <c r="U839" i="20"/>
  <c r="W838" i="20"/>
  <c r="U838" i="20"/>
  <c r="W837" i="20"/>
  <c r="U837" i="20"/>
  <c r="W836" i="20"/>
  <c r="U836" i="20"/>
  <c r="W835" i="20"/>
  <c r="U835" i="20"/>
  <c r="W834" i="20"/>
  <c r="U834" i="20"/>
  <c r="W833" i="20"/>
  <c r="U833" i="20"/>
  <c r="W832" i="20"/>
  <c r="U832" i="20"/>
  <c r="W831" i="20"/>
  <c r="U831" i="20"/>
  <c r="W830" i="20"/>
  <c r="U830" i="20"/>
  <c r="W829" i="20"/>
  <c r="U829" i="20"/>
  <c r="W828" i="20"/>
  <c r="U828" i="20"/>
  <c r="W827" i="20"/>
  <c r="U827" i="20"/>
  <c r="W826" i="20"/>
  <c r="U826" i="20"/>
  <c r="W825" i="20"/>
  <c r="U825" i="20"/>
  <c r="W824" i="20"/>
  <c r="U824" i="20"/>
  <c r="W823" i="20"/>
  <c r="U823" i="20"/>
  <c r="W822" i="20"/>
  <c r="U822" i="20"/>
  <c r="W821" i="20"/>
  <c r="U821" i="20"/>
  <c r="W820" i="20"/>
  <c r="U820" i="20"/>
  <c r="W819" i="20"/>
  <c r="U819" i="20"/>
  <c r="W818" i="20"/>
  <c r="U818" i="20"/>
  <c r="W817" i="20"/>
  <c r="U817" i="20"/>
  <c r="W816" i="20"/>
  <c r="U816" i="20"/>
  <c r="W815" i="20"/>
  <c r="U815" i="20"/>
  <c r="W814" i="20"/>
  <c r="U814" i="20"/>
  <c r="W813" i="20"/>
  <c r="U813" i="20"/>
  <c r="W812" i="20"/>
  <c r="U812" i="20"/>
  <c r="W811" i="20"/>
  <c r="U811" i="20"/>
  <c r="W810" i="20"/>
  <c r="U810" i="20"/>
  <c r="W809" i="20"/>
  <c r="U809" i="20"/>
  <c r="W808" i="20"/>
  <c r="U808" i="20"/>
  <c r="W807" i="20"/>
  <c r="U807" i="20"/>
  <c r="W806" i="20"/>
  <c r="U806" i="20"/>
  <c r="W805" i="20"/>
  <c r="U805" i="20"/>
  <c r="W804" i="20"/>
  <c r="U804" i="20"/>
  <c r="W803" i="20"/>
  <c r="U803" i="20"/>
  <c r="W802" i="20"/>
  <c r="U802" i="20"/>
  <c r="W801" i="20"/>
  <c r="U801" i="20"/>
  <c r="W800" i="20"/>
  <c r="U800" i="20"/>
  <c r="W799" i="20"/>
  <c r="U799" i="20"/>
  <c r="W798" i="20"/>
  <c r="U798" i="20"/>
  <c r="W797" i="20"/>
  <c r="U797" i="20"/>
  <c r="W796" i="20"/>
  <c r="U796" i="20"/>
  <c r="W795" i="20"/>
  <c r="U795" i="20"/>
  <c r="W794" i="20"/>
  <c r="U794" i="20"/>
  <c r="W793" i="20"/>
  <c r="U793" i="20"/>
  <c r="W792" i="20"/>
  <c r="U792" i="20"/>
  <c r="W791" i="20"/>
  <c r="U791" i="20"/>
  <c r="W790" i="20"/>
  <c r="U790" i="20"/>
  <c r="W789" i="20"/>
  <c r="U789" i="20"/>
  <c r="W788" i="20"/>
  <c r="U788" i="20"/>
  <c r="W787" i="20"/>
  <c r="U787" i="20"/>
  <c r="W786" i="20"/>
  <c r="U786" i="20"/>
  <c r="W785" i="20"/>
  <c r="U785" i="20"/>
  <c r="W784" i="20"/>
  <c r="U784" i="20"/>
  <c r="W783" i="20"/>
  <c r="U783" i="20"/>
  <c r="W782" i="20"/>
  <c r="U782" i="20"/>
  <c r="W781" i="20"/>
  <c r="U781" i="20"/>
  <c r="W780" i="20"/>
  <c r="U780" i="20"/>
  <c r="W779" i="20"/>
  <c r="U779" i="20"/>
  <c r="W778" i="20"/>
  <c r="U778" i="20"/>
  <c r="W777" i="20"/>
  <c r="U777" i="20"/>
  <c r="W776" i="20"/>
  <c r="U776" i="20"/>
  <c r="W775" i="20"/>
  <c r="U775" i="20"/>
  <c r="W774" i="20"/>
  <c r="U774" i="20"/>
  <c r="W773" i="20"/>
  <c r="U773" i="20"/>
  <c r="W772" i="20"/>
  <c r="U772" i="20"/>
  <c r="W771" i="20"/>
  <c r="U771" i="20"/>
  <c r="W770" i="20"/>
  <c r="U770" i="20"/>
  <c r="W769" i="20"/>
  <c r="U769" i="20"/>
  <c r="W768" i="20"/>
  <c r="U768" i="20"/>
  <c r="W767" i="20"/>
  <c r="U767" i="20"/>
  <c r="W766" i="20"/>
  <c r="U766" i="20"/>
  <c r="W765" i="20"/>
  <c r="U765" i="20"/>
  <c r="W764" i="20"/>
  <c r="U764" i="20"/>
  <c r="W763" i="20"/>
  <c r="U763" i="20"/>
  <c r="W762" i="20"/>
  <c r="U762" i="20"/>
  <c r="W761" i="20"/>
  <c r="U761" i="20"/>
  <c r="W760" i="20"/>
  <c r="U760" i="20"/>
  <c r="W759" i="20"/>
  <c r="U759" i="20"/>
  <c r="W758" i="20"/>
  <c r="U758" i="20"/>
  <c r="W757" i="20"/>
  <c r="U757" i="20"/>
  <c r="W756" i="20"/>
  <c r="U756" i="20"/>
  <c r="W755" i="20"/>
  <c r="U755" i="20"/>
  <c r="W754" i="20"/>
  <c r="U754" i="20"/>
  <c r="W753" i="20"/>
  <c r="U753" i="20"/>
  <c r="W752" i="20"/>
  <c r="U752" i="20"/>
  <c r="W751" i="20"/>
  <c r="U751" i="20"/>
  <c r="W750" i="20"/>
  <c r="U750" i="20"/>
  <c r="W749" i="20"/>
  <c r="U749" i="20"/>
  <c r="W748" i="20"/>
  <c r="U748" i="20"/>
  <c r="W747" i="20"/>
  <c r="U747" i="20"/>
  <c r="W746" i="20"/>
  <c r="U746" i="20"/>
  <c r="W745" i="20"/>
  <c r="U745" i="20"/>
  <c r="W744" i="20"/>
  <c r="U744" i="20"/>
  <c r="W743" i="20"/>
  <c r="U743" i="20"/>
  <c r="W742" i="20"/>
  <c r="U742" i="20"/>
  <c r="W741" i="20"/>
  <c r="U741" i="20"/>
  <c r="W740" i="20"/>
  <c r="U740" i="20"/>
  <c r="W739" i="20"/>
  <c r="U739" i="20"/>
  <c r="W738" i="20"/>
  <c r="U738" i="20"/>
  <c r="W737" i="20"/>
  <c r="U737" i="20"/>
  <c r="W736" i="20"/>
  <c r="U736" i="20"/>
  <c r="W735" i="20"/>
  <c r="U735" i="20"/>
  <c r="W734" i="20"/>
  <c r="U734" i="20"/>
  <c r="W733" i="20"/>
  <c r="U733" i="20"/>
  <c r="W732" i="20"/>
  <c r="U732" i="20"/>
  <c r="W731" i="20"/>
  <c r="U731" i="20"/>
  <c r="W730" i="20"/>
  <c r="U730" i="20"/>
  <c r="W729" i="20"/>
  <c r="U729" i="20"/>
  <c r="W728" i="20"/>
  <c r="U728" i="20"/>
  <c r="W727" i="20"/>
  <c r="U727" i="20"/>
  <c r="W726" i="20"/>
  <c r="U726" i="20"/>
  <c r="W725" i="20"/>
  <c r="U725" i="20"/>
  <c r="W724" i="20"/>
  <c r="U724" i="20"/>
  <c r="W723" i="20"/>
  <c r="U723" i="20"/>
  <c r="W722" i="20"/>
  <c r="U722" i="20"/>
  <c r="W721" i="20"/>
  <c r="U721" i="20"/>
  <c r="W720" i="20"/>
  <c r="U720" i="20"/>
  <c r="W719" i="20"/>
  <c r="U719" i="20"/>
  <c r="W718" i="20"/>
  <c r="U718" i="20"/>
  <c r="W717" i="20"/>
  <c r="U717" i="20"/>
  <c r="W716" i="20"/>
  <c r="U716" i="20"/>
  <c r="W715" i="20"/>
  <c r="U715" i="20"/>
  <c r="W714" i="20"/>
  <c r="U714" i="20"/>
  <c r="W713" i="20"/>
  <c r="U713" i="20"/>
  <c r="W712" i="20"/>
  <c r="U712" i="20"/>
  <c r="W711" i="20"/>
  <c r="U711" i="20"/>
  <c r="W710" i="20"/>
  <c r="U710" i="20"/>
  <c r="W709" i="20"/>
  <c r="U709" i="20"/>
  <c r="W708" i="20"/>
  <c r="U708" i="20"/>
  <c r="W707" i="20"/>
  <c r="U707" i="20"/>
  <c r="W706" i="20"/>
  <c r="U706" i="20"/>
  <c r="W705" i="20"/>
  <c r="U705" i="20"/>
  <c r="W704" i="20"/>
  <c r="U704" i="20"/>
  <c r="W703" i="20"/>
  <c r="U703" i="20"/>
  <c r="W702" i="20"/>
  <c r="U702" i="20"/>
  <c r="W701" i="20"/>
  <c r="U701" i="20"/>
  <c r="W700" i="20"/>
  <c r="U700" i="20"/>
  <c r="W699" i="20"/>
  <c r="U699" i="20"/>
  <c r="W698" i="20"/>
  <c r="U698" i="20"/>
  <c r="W697" i="20"/>
  <c r="U697" i="20"/>
  <c r="W696" i="20"/>
  <c r="U696" i="20"/>
  <c r="W695" i="20"/>
  <c r="U695" i="20"/>
  <c r="W694" i="20"/>
  <c r="U694" i="20"/>
  <c r="W693" i="20"/>
  <c r="U693" i="20"/>
  <c r="W692" i="20"/>
  <c r="U692" i="20"/>
  <c r="W691" i="20"/>
  <c r="U691" i="20"/>
  <c r="W690" i="20"/>
  <c r="U690" i="20"/>
  <c r="W689" i="20"/>
  <c r="U689" i="20"/>
  <c r="W688" i="20"/>
  <c r="U688" i="20"/>
  <c r="W687" i="20"/>
  <c r="U687" i="20"/>
  <c r="W686" i="20"/>
  <c r="U686" i="20"/>
  <c r="W685" i="20"/>
  <c r="U685" i="20"/>
  <c r="W684" i="20"/>
  <c r="U684" i="20"/>
  <c r="W683" i="20"/>
  <c r="U683" i="20"/>
  <c r="W682" i="20"/>
  <c r="U682" i="20"/>
  <c r="W681" i="20"/>
  <c r="U681" i="20"/>
  <c r="W680" i="20"/>
  <c r="U680" i="20"/>
  <c r="W679" i="20"/>
  <c r="U679" i="20"/>
  <c r="W678" i="20"/>
  <c r="U678" i="20"/>
  <c r="W677" i="20"/>
  <c r="U677" i="20"/>
  <c r="W676" i="20"/>
  <c r="U676" i="20"/>
  <c r="W675" i="20"/>
  <c r="U675" i="20"/>
  <c r="W674" i="20"/>
  <c r="U674" i="20"/>
  <c r="W673" i="20"/>
  <c r="U673" i="20"/>
  <c r="W672" i="20"/>
  <c r="U672" i="20"/>
  <c r="W671" i="20"/>
  <c r="U671" i="20"/>
  <c r="W670" i="20"/>
  <c r="U670" i="20"/>
  <c r="W669" i="20"/>
  <c r="U669" i="20"/>
  <c r="W668" i="20"/>
  <c r="U668" i="20"/>
  <c r="W667" i="20"/>
  <c r="U667" i="20"/>
  <c r="W666" i="20"/>
  <c r="U666" i="20"/>
  <c r="W665" i="20"/>
  <c r="U665" i="20"/>
  <c r="W664" i="20"/>
  <c r="U664" i="20"/>
  <c r="W663" i="20"/>
  <c r="U663" i="20"/>
  <c r="W662" i="20"/>
  <c r="U662" i="20"/>
  <c r="W661" i="20"/>
  <c r="U661" i="20"/>
  <c r="W660" i="20"/>
  <c r="U660" i="20"/>
  <c r="W659" i="20"/>
  <c r="U659" i="20"/>
  <c r="W658" i="20"/>
  <c r="U658" i="20"/>
  <c r="W657" i="20"/>
  <c r="U657" i="20"/>
  <c r="W656" i="20"/>
  <c r="U656" i="20"/>
  <c r="W655" i="20"/>
  <c r="U655" i="20"/>
  <c r="W654" i="20"/>
  <c r="U654" i="20"/>
  <c r="W653" i="20"/>
  <c r="U653" i="20"/>
  <c r="W652" i="20"/>
  <c r="U652" i="20"/>
  <c r="W651" i="20"/>
  <c r="U651" i="20"/>
  <c r="W650" i="20"/>
  <c r="U650" i="20"/>
  <c r="W649" i="20"/>
  <c r="U649" i="20"/>
  <c r="W648" i="20"/>
  <c r="U648" i="20"/>
  <c r="W647" i="20"/>
  <c r="U647" i="20"/>
  <c r="W646" i="20"/>
  <c r="U646" i="20"/>
  <c r="W645" i="20"/>
  <c r="U645" i="20"/>
  <c r="W644" i="20"/>
  <c r="U644" i="20"/>
  <c r="W643" i="20"/>
  <c r="U643" i="20"/>
  <c r="W642" i="20"/>
  <c r="U642" i="20"/>
  <c r="W641" i="20"/>
  <c r="U641" i="20"/>
  <c r="W640" i="20"/>
  <c r="U640" i="20"/>
  <c r="W639" i="20"/>
  <c r="U639" i="20"/>
  <c r="W638" i="20"/>
  <c r="U638" i="20"/>
  <c r="W637" i="20"/>
  <c r="U637" i="20"/>
  <c r="W636" i="20"/>
  <c r="U636" i="20"/>
  <c r="W635" i="20"/>
  <c r="U635" i="20"/>
  <c r="W634" i="20"/>
  <c r="U634" i="20"/>
  <c r="W633" i="20"/>
  <c r="U633" i="20"/>
  <c r="W632" i="20"/>
  <c r="U632" i="20"/>
  <c r="W631" i="20"/>
  <c r="U631" i="20"/>
  <c r="W630" i="20"/>
  <c r="U630" i="20"/>
  <c r="W629" i="20"/>
  <c r="U629" i="20"/>
  <c r="W628" i="20"/>
  <c r="U628" i="20"/>
  <c r="W627" i="20"/>
  <c r="U627" i="20"/>
  <c r="W626" i="20"/>
  <c r="U626" i="20"/>
  <c r="W625" i="20"/>
  <c r="U625" i="20"/>
  <c r="W624" i="20"/>
  <c r="U624" i="20"/>
  <c r="W623" i="20"/>
  <c r="U623" i="20"/>
  <c r="W622" i="20"/>
  <c r="U622" i="20"/>
  <c r="W621" i="20"/>
  <c r="U621" i="20"/>
  <c r="W620" i="20"/>
  <c r="U620" i="20"/>
  <c r="W619" i="20"/>
  <c r="U619" i="20"/>
  <c r="W618" i="20"/>
  <c r="U618" i="20"/>
  <c r="W617" i="20"/>
  <c r="U617" i="20"/>
  <c r="W616" i="20"/>
  <c r="U616" i="20"/>
  <c r="W615" i="20"/>
  <c r="U615" i="20"/>
  <c r="W614" i="20"/>
  <c r="U614" i="20"/>
  <c r="W613" i="20"/>
  <c r="U613" i="20"/>
  <c r="W612" i="20"/>
  <c r="U612" i="20"/>
  <c r="W611" i="20"/>
  <c r="U611" i="20"/>
  <c r="W610" i="20"/>
  <c r="U610" i="20"/>
  <c r="W609" i="20"/>
  <c r="U609" i="20"/>
  <c r="W608" i="20"/>
  <c r="U608" i="20"/>
  <c r="W607" i="20"/>
  <c r="U607" i="20"/>
  <c r="W606" i="20"/>
  <c r="U606" i="20"/>
  <c r="W605" i="20"/>
  <c r="U605" i="20"/>
  <c r="W604" i="20"/>
  <c r="U604" i="20"/>
  <c r="W603" i="20"/>
  <c r="U603" i="20"/>
  <c r="W602" i="20"/>
  <c r="U602" i="20"/>
  <c r="W601" i="20"/>
  <c r="U601" i="20"/>
  <c r="W600" i="20"/>
  <c r="U600" i="20"/>
  <c r="W599" i="20"/>
  <c r="U599" i="20"/>
  <c r="W598" i="20"/>
  <c r="U598" i="20"/>
  <c r="W597" i="20"/>
  <c r="U597" i="20"/>
  <c r="W596" i="20"/>
  <c r="U596" i="20"/>
  <c r="W595" i="20"/>
  <c r="U595" i="20"/>
  <c r="W594" i="20"/>
  <c r="U594" i="20"/>
  <c r="W593" i="20"/>
  <c r="U593" i="20"/>
  <c r="W592" i="20"/>
  <c r="U592" i="20"/>
  <c r="W591" i="20"/>
  <c r="U591" i="20"/>
  <c r="W590" i="20"/>
  <c r="U590" i="20"/>
  <c r="W589" i="20"/>
  <c r="U589" i="20"/>
  <c r="W588" i="20"/>
  <c r="U588" i="20"/>
  <c r="W587" i="20"/>
  <c r="U587" i="20"/>
  <c r="W586" i="20"/>
  <c r="U586" i="20"/>
  <c r="W585" i="20"/>
  <c r="U585" i="20"/>
  <c r="W584" i="20"/>
  <c r="U584" i="20"/>
  <c r="W583" i="20"/>
  <c r="U583" i="20"/>
  <c r="W582" i="20"/>
  <c r="U582" i="20"/>
  <c r="W581" i="20"/>
  <c r="U581" i="20"/>
  <c r="W580" i="20"/>
  <c r="U580" i="20"/>
  <c r="W579" i="20"/>
  <c r="U579" i="20"/>
  <c r="W578" i="20"/>
  <c r="U578" i="20"/>
  <c r="W577" i="20"/>
  <c r="U577" i="20"/>
  <c r="W576" i="20"/>
  <c r="U576" i="20"/>
  <c r="W575" i="20"/>
  <c r="U575" i="20"/>
  <c r="W574" i="20"/>
  <c r="U574" i="20"/>
  <c r="W573" i="20"/>
  <c r="U573" i="20"/>
  <c r="W572" i="20"/>
  <c r="U572" i="20"/>
  <c r="W571" i="20"/>
  <c r="U571" i="20"/>
  <c r="W570" i="20"/>
  <c r="U570" i="20"/>
  <c r="W569" i="20"/>
  <c r="U569" i="20"/>
  <c r="W568" i="20"/>
  <c r="U568" i="20"/>
  <c r="W567" i="20"/>
  <c r="U567" i="20"/>
  <c r="W566" i="20"/>
  <c r="U566" i="20"/>
  <c r="W565" i="20"/>
  <c r="U565" i="20"/>
  <c r="W564" i="20"/>
  <c r="U564" i="20"/>
  <c r="W563" i="20"/>
  <c r="U563" i="20"/>
  <c r="W562" i="20"/>
  <c r="U562" i="20"/>
  <c r="W561" i="20"/>
  <c r="U561" i="20"/>
  <c r="W560" i="20"/>
  <c r="U560" i="20"/>
  <c r="W559" i="20"/>
  <c r="U559" i="20"/>
  <c r="W558" i="20"/>
  <c r="U558" i="20"/>
  <c r="W557" i="20"/>
  <c r="U557" i="20"/>
  <c r="W556" i="20"/>
  <c r="U556" i="20"/>
  <c r="W555" i="20"/>
  <c r="U555" i="20"/>
  <c r="W554" i="20"/>
  <c r="U554" i="20"/>
  <c r="W553" i="20"/>
  <c r="U553" i="20"/>
  <c r="W552" i="20"/>
  <c r="U552" i="20"/>
  <c r="W551" i="20"/>
  <c r="U551" i="20"/>
  <c r="W550" i="20"/>
  <c r="U550" i="20"/>
  <c r="W549" i="20"/>
  <c r="U549" i="20"/>
  <c r="W548" i="20"/>
  <c r="U548" i="20"/>
  <c r="W547" i="20"/>
  <c r="U547" i="20"/>
  <c r="W546" i="20"/>
  <c r="U546" i="20"/>
  <c r="W545" i="20"/>
  <c r="U545" i="20"/>
  <c r="W544" i="20"/>
  <c r="U544" i="20"/>
  <c r="W543" i="20"/>
  <c r="U543" i="20"/>
  <c r="W542" i="20"/>
  <c r="U542" i="20"/>
  <c r="W541" i="20"/>
  <c r="U541" i="20"/>
  <c r="W540" i="20"/>
  <c r="U540" i="20"/>
  <c r="W539" i="20"/>
  <c r="U539" i="20"/>
  <c r="W538" i="20"/>
  <c r="U538" i="20"/>
  <c r="W537" i="20"/>
  <c r="U537" i="20"/>
  <c r="W536" i="20"/>
  <c r="U536" i="20"/>
  <c r="W535" i="20"/>
  <c r="U535" i="20"/>
  <c r="W534" i="20"/>
  <c r="U534" i="20"/>
  <c r="W533" i="20"/>
  <c r="U533" i="20"/>
  <c r="W532" i="20"/>
  <c r="U532" i="20"/>
  <c r="W531" i="20"/>
  <c r="U531" i="20"/>
  <c r="W530" i="20"/>
  <c r="U530" i="20"/>
  <c r="W529" i="20"/>
  <c r="U529" i="20"/>
  <c r="W528" i="20"/>
  <c r="U528" i="20"/>
  <c r="W527" i="20"/>
  <c r="U527" i="20"/>
  <c r="W526" i="20"/>
  <c r="U526" i="20"/>
  <c r="W525" i="20"/>
  <c r="U525" i="20"/>
  <c r="W524" i="20"/>
  <c r="U524" i="20"/>
  <c r="W523" i="20"/>
  <c r="U523" i="20"/>
  <c r="W522" i="20"/>
  <c r="U522" i="20"/>
  <c r="W521" i="20"/>
  <c r="U521" i="20"/>
  <c r="W520" i="20"/>
  <c r="U520" i="20"/>
  <c r="W519" i="20"/>
  <c r="U519" i="20"/>
  <c r="W518" i="20"/>
  <c r="U518" i="20"/>
  <c r="W517" i="20"/>
  <c r="U517" i="20"/>
  <c r="W516" i="20"/>
  <c r="U516" i="20"/>
  <c r="W515" i="20"/>
  <c r="U515" i="20"/>
  <c r="W514" i="20"/>
  <c r="U514" i="20"/>
  <c r="W513" i="20"/>
  <c r="U513" i="20"/>
  <c r="W512" i="20"/>
  <c r="U512" i="20"/>
  <c r="W511" i="20"/>
  <c r="U511" i="20"/>
  <c r="W510" i="20"/>
  <c r="U510" i="20"/>
  <c r="W509" i="20"/>
  <c r="U509" i="20"/>
  <c r="W508" i="20"/>
  <c r="U508" i="20"/>
  <c r="W507" i="20"/>
  <c r="U507" i="20"/>
  <c r="W506" i="20"/>
  <c r="U506" i="20"/>
  <c r="W505" i="20"/>
  <c r="U505" i="20"/>
  <c r="W504" i="20"/>
  <c r="U504" i="20"/>
  <c r="W503" i="20"/>
  <c r="U503" i="20"/>
  <c r="W502" i="20"/>
  <c r="U502" i="20"/>
  <c r="W501" i="20"/>
  <c r="U501" i="20"/>
  <c r="W500" i="20"/>
  <c r="U500" i="20"/>
  <c r="W499" i="20"/>
  <c r="U499" i="20"/>
  <c r="W498" i="20"/>
  <c r="U498" i="20"/>
  <c r="W497" i="20"/>
  <c r="U497" i="20"/>
  <c r="W496" i="20"/>
  <c r="U496" i="20"/>
  <c r="W495" i="20"/>
  <c r="U495" i="20"/>
  <c r="W494" i="20"/>
  <c r="U494" i="20"/>
  <c r="W493" i="20"/>
  <c r="U493" i="20"/>
  <c r="W492" i="20"/>
  <c r="U492" i="20"/>
  <c r="W491" i="20"/>
  <c r="U491" i="20"/>
  <c r="W490" i="20"/>
  <c r="U490" i="20"/>
  <c r="W489" i="20"/>
  <c r="U489" i="20"/>
  <c r="W488" i="20"/>
  <c r="U488" i="20"/>
  <c r="W487" i="20"/>
  <c r="U487" i="20"/>
  <c r="W486" i="20"/>
  <c r="U486" i="20"/>
  <c r="W485" i="20"/>
  <c r="U485" i="20"/>
  <c r="W484" i="20"/>
  <c r="U484" i="20"/>
  <c r="W483" i="20"/>
  <c r="U483" i="20"/>
  <c r="W482" i="20"/>
  <c r="U482" i="20"/>
  <c r="W481" i="20"/>
  <c r="U481" i="20"/>
  <c r="W480" i="20"/>
  <c r="U480" i="20"/>
  <c r="W479" i="20"/>
  <c r="U479" i="20"/>
  <c r="W478" i="20"/>
  <c r="U478" i="20"/>
  <c r="W477" i="20"/>
  <c r="U477" i="20"/>
  <c r="W476" i="20"/>
  <c r="U476" i="20"/>
  <c r="W475" i="20"/>
  <c r="U475" i="20"/>
  <c r="W474" i="20"/>
  <c r="U474" i="20"/>
  <c r="W473" i="20"/>
  <c r="U473" i="20"/>
  <c r="W472" i="20"/>
  <c r="U472" i="20"/>
  <c r="W471" i="20"/>
  <c r="U471" i="20"/>
  <c r="W470" i="20"/>
  <c r="U470" i="20"/>
  <c r="W469" i="20"/>
  <c r="U469" i="20"/>
  <c r="W468" i="20"/>
  <c r="U468" i="20"/>
  <c r="W467" i="20"/>
  <c r="U467" i="20"/>
  <c r="W466" i="20"/>
  <c r="U466" i="20"/>
  <c r="W465" i="20"/>
  <c r="U465" i="20"/>
  <c r="W464" i="20"/>
  <c r="U464" i="20"/>
  <c r="W463" i="20"/>
  <c r="U463" i="20"/>
  <c r="W462" i="20"/>
  <c r="U462" i="20"/>
  <c r="W461" i="20"/>
  <c r="U461" i="20"/>
  <c r="W460" i="20"/>
  <c r="U460" i="20"/>
  <c r="W459" i="20"/>
  <c r="U459" i="20"/>
  <c r="W458" i="20"/>
  <c r="U458" i="20"/>
  <c r="W457" i="20"/>
  <c r="U457" i="20"/>
  <c r="W456" i="20"/>
  <c r="U456" i="20"/>
  <c r="W455" i="20"/>
  <c r="U455" i="20"/>
  <c r="W454" i="20"/>
  <c r="U454" i="20"/>
  <c r="W453" i="20"/>
  <c r="U453" i="20"/>
  <c r="W452" i="20"/>
  <c r="U452" i="20"/>
  <c r="W451" i="20"/>
  <c r="U451" i="20"/>
  <c r="W450" i="20"/>
  <c r="U450" i="20"/>
  <c r="W449" i="20"/>
  <c r="U449" i="20"/>
  <c r="W448" i="20"/>
  <c r="U448" i="20"/>
  <c r="W447" i="20"/>
  <c r="U447" i="20"/>
  <c r="W446" i="20"/>
  <c r="U446" i="20"/>
  <c r="W445" i="20"/>
  <c r="U445" i="20"/>
  <c r="W444" i="20"/>
  <c r="U444" i="20"/>
  <c r="W443" i="20"/>
  <c r="U443" i="20"/>
  <c r="W442" i="20"/>
  <c r="U442" i="20"/>
  <c r="W441" i="20"/>
  <c r="U441" i="20"/>
  <c r="W440" i="20"/>
  <c r="U440" i="20"/>
  <c r="W439" i="20"/>
  <c r="U439" i="20"/>
  <c r="W438" i="20"/>
  <c r="U438" i="20"/>
  <c r="W437" i="20"/>
  <c r="U437" i="20"/>
  <c r="W436" i="20"/>
  <c r="U436" i="20"/>
  <c r="W435" i="20"/>
  <c r="U435" i="20"/>
  <c r="W434" i="20"/>
  <c r="U434" i="20"/>
  <c r="W433" i="20"/>
  <c r="U433" i="20"/>
  <c r="W432" i="20"/>
  <c r="U432" i="20"/>
  <c r="W431" i="20"/>
  <c r="U431" i="20"/>
  <c r="W430" i="20"/>
  <c r="U430" i="20"/>
  <c r="W429" i="20"/>
  <c r="U429" i="20"/>
  <c r="W428" i="20"/>
  <c r="U428" i="20"/>
  <c r="W427" i="20"/>
  <c r="U427" i="20"/>
  <c r="W426" i="20"/>
  <c r="U426" i="20"/>
  <c r="W425" i="20"/>
  <c r="U425" i="20"/>
  <c r="W424" i="20"/>
  <c r="U424" i="20"/>
  <c r="W423" i="20"/>
  <c r="U423" i="20"/>
  <c r="W422" i="20"/>
  <c r="U422" i="20"/>
  <c r="W421" i="20"/>
  <c r="U421" i="20"/>
  <c r="W420" i="20"/>
  <c r="U420" i="20"/>
  <c r="W419" i="20"/>
  <c r="U419" i="20"/>
  <c r="W418" i="20"/>
  <c r="U418" i="20"/>
  <c r="W417" i="20"/>
  <c r="U417" i="20"/>
  <c r="W416" i="20"/>
  <c r="U416" i="20"/>
  <c r="W415" i="20"/>
  <c r="U415" i="20"/>
  <c r="W414" i="20"/>
  <c r="U414" i="20"/>
  <c r="W413" i="20"/>
  <c r="U413" i="20"/>
  <c r="W412" i="20"/>
  <c r="U412" i="20"/>
  <c r="W411" i="20"/>
  <c r="U411" i="20"/>
  <c r="W410" i="20"/>
  <c r="U410" i="20"/>
  <c r="W409" i="20"/>
  <c r="U409" i="20"/>
  <c r="W408" i="20"/>
  <c r="U408" i="20"/>
  <c r="W407" i="20"/>
  <c r="U407" i="20"/>
  <c r="W406" i="20"/>
  <c r="U406" i="20"/>
  <c r="W405" i="20"/>
  <c r="U405" i="20"/>
  <c r="W404" i="20"/>
  <c r="U404" i="20"/>
  <c r="W403" i="20"/>
  <c r="U403" i="20"/>
  <c r="W402" i="20"/>
  <c r="U402" i="20"/>
  <c r="W401" i="20"/>
  <c r="U401" i="20"/>
  <c r="W400" i="20"/>
  <c r="U400" i="20"/>
  <c r="W399" i="20"/>
  <c r="U399" i="20"/>
  <c r="W398" i="20"/>
  <c r="U398" i="20"/>
  <c r="W397" i="20"/>
  <c r="U397" i="20"/>
  <c r="W396" i="20"/>
  <c r="U396" i="20"/>
  <c r="W395" i="20"/>
  <c r="U395" i="20"/>
  <c r="W394" i="20"/>
  <c r="U394" i="20"/>
  <c r="W393" i="20"/>
  <c r="U393" i="20"/>
  <c r="W392" i="20"/>
  <c r="U392" i="20"/>
  <c r="W391" i="20"/>
  <c r="U391" i="20"/>
  <c r="W390" i="20"/>
  <c r="U390" i="20"/>
  <c r="W389" i="20"/>
  <c r="U389" i="20"/>
  <c r="W388" i="20"/>
  <c r="U388" i="20"/>
  <c r="W387" i="20"/>
  <c r="U387" i="20"/>
  <c r="W386" i="20"/>
  <c r="U386" i="20"/>
  <c r="W385" i="20"/>
  <c r="U385" i="20"/>
  <c r="W384" i="20"/>
  <c r="U384" i="20"/>
  <c r="W383" i="20"/>
  <c r="U383" i="20"/>
  <c r="W382" i="20"/>
  <c r="U382" i="20"/>
  <c r="W381" i="20"/>
  <c r="U381" i="20"/>
  <c r="W380" i="20"/>
  <c r="U380" i="20"/>
  <c r="W379" i="20"/>
  <c r="U379" i="20"/>
  <c r="W378" i="20"/>
  <c r="U378" i="20"/>
  <c r="W377" i="20"/>
  <c r="U377" i="20"/>
  <c r="W376" i="20"/>
  <c r="U376" i="20"/>
  <c r="W375" i="20"/>
  <c r="U375" i="20"/>
  <c r="W374" i="20"/>
  <c r="U374" i="20"/>
  <c r="W373" i="20"/>
  <c r="U373" i="20"/>
  <c r="W372" i="20"/>
  <c r="U372" i="20"/>
  <c r="W371" i="20"/>
  <c r="U371" i="20"/>
  <c r="W370" i="20"/>
  <c r="U370" i="20"/>
  <c r="W369" i="20"/>
  <c r="U369" i="20"/>
  <c r="W368" i="20"/>
  <c r="U368" i="20"/>
  <c r="W367" i="20"/>
  <c r="U367" i="20"/>
  <c r="W366" i="20"/>
  <c r="U366" i="20"/>
  <c r="W365" i="20"/>
  <c r="U365" i="20"/>
  <c r="W364" i="20"/>
  <c r="U364" i="20"/>
  <c r="W363" i="20"/>
  <c r="U363" i="20"/>
  <c r="W362" i="20"/>
  <c r="U362" i="20"/>
  <c r="W361" i="20"/>
  <c r="U361" i="20"/>
  <c r="W360" i="20"/>
  <c r="U360" i="20"/>
  <c r="W359" i="20"/>
  <c r="U359" i="20"/>
  <c r="W358" i="20"/>
  <c r="U358" i="20"/>
  <c r="W357" i="20"/>
  <c r="U357" i="20"/>
  <c r="W356" i="20"/>
  <c r="U356" i="20"/>
  <c r="W355" i="20"/>
  <c r="U355" i="20"/>
  <c r="W354" i="20"/>
  <c r="U354" i="20"/>
  <c r="W353" i="20"/>
  <c r="U353" i="20"/>
  <c r="W352" i="20"/>
  <c r="U352" i="20"/>
  <c r="W351" i="20"/>
  <c r="U351" i="20"/>
  <c r="W350" i="20"/>
  <c r="U350" i="20"/>
  <c r="W349" i="20"/>
  <c r="U349" i="20"/>
  <c r="W348" i="20"/>
  <c r="U348" i="20"/>
  <c r="W347" i="20"/>
  <c r="U347" i="20"/>
  <c r="W346" i="20"/>
  <c r="U346" i="20"/>
  <c r="W345" i="20"/>
  <c r="U345" i="20"/>
  <c r="W344" i="20"/>
  <c r="U344" i="20"/>
  <c r="W343" i="20"/>
  <c r="U343" i="20"/>
  <c r="W342" i="20"/>
  <c r="U342" i="20"/>
  <c r="W341" i="20"/>
  <c r="U341" i="20"/>
  <c r="W340" i="20"/>
  <c r="U340" i="20"/>
  <c r="W339" i="20"/>
  <c r="U339" i="20"/>
  <c r="W338" i="20"/>
  <c r="U338" i="20"/>
  <c r="W337" i="20"/>
  <c r="U337" i="20"/>
  <c r="W336" i="20"/>
  <c r="U336" i="20"/>
  <c r="W335" i="20"/>
  <c r="U335" i="20"/>
  <c r="W334" i="20"/>
  <c r="U334" i="20"/>
  <c r="W333" i="20"/>
  <c r="U333" i="20"/>
  <c r="W332" i="20"/>
  <c r="U332" i="20"/>
  <c r="W331" i="20"/>
  <c r="U331" i="20"/>
  <c r="W330" i="20"/>
  <c r="U330" i="20"/>
  <c r="W329" i="20"/>
  <c r="U329" i="20"/>
  <c r="W328" i="20"/>
  <c r="U328" i="20"/>
  <c r="W327" i="20"/>
  <c r="U327" i="20"/>
  <c r="W326" i="20"/>
  <c r="U326" i="20"/>
  <c r="W325" i="20"/>
  <c r="U325" i="20"/>
  <c r="W324" i="20"/>
  <c r="U324" i="20"/>
  <c r="W323" i="20"/>
  <c r="U323" i="20"/>
  <c r="W322" i="20"/>
  <c r="U322" i="20"/>
  <c r="W321" i="20"/>
  <c r="U321" i="20"/>
  <c r="W320" i="20"/>
  <c r="U320" i="20"/>
  <c r="W319" i="20"/>
  <c r="U319" i="20"/>
  <c r="W318" i="20"/>
  <c r="U318" i="20"/>
  <c r="W317" i="20"/>
  <c r="U317" i="20"/>
  <c r="W316" i="20"/>
  <c r="U316" i="20"/>
  <c r="W315" i="20"/>
  <c r="U315" i="20"/>
  <c r="W314" i="20"/>
  <c r="U314" i="20"/>
  <c r="W313" i="20"/>
  <c r="U313" i="20"/>
  <c r="W312" i="20"/>
  <c r="U312" i="20"/>
  <c r="W311" i="20"/>
  <c r="U311" i="20"/>
  <c r="W310" i="20"/>
  <c r="U310" i="20"/>
  <c r="W309" i="20"/>
  <c r="U309" i="20"/>
  <c r="W308" i="20"/>
  <c r="U308" i="20"/>
  <c r="W307" i="20"/>
  <c r="U307" i="20"/>
  <c r="W306" i="20"/>
  <c r="U306" i="20"/>
  <c r="W305" i="20"/>
  <c r="U305" i="20"/>
  <c r="W304" i="20"/>
  <c r="U304" i="20"/>
  <c r="W303" i="20"/>
  <c r="U303" i="20"/>
  <c r="W302" i="20"/>
  <c r="U302" i="20"/>
  <c r="W301" i="20"/>
  <c r="U301" i="20"/>
  <c r="W300" i="20"/>
  <c r="U300" i="20"/>
  <c r="W299" i="20"/>
  <c r="U299" i="20"/>
  <c r="W298" i="20"/>
  <c r="U298" i="20"/>
  <c r="W297" i="20"/>
  <c r="U297" i="20"/>
  <c r="W296" i="20"/>
  <c r="U296" i="20"/>
  <c r="W295" i="20"/>
  <c r="U295" i="20"/>
  <c r="W294" i="20"/>
  <c r="U294" i="20"/>
  <c r="W293" i="20"/>
  <c r="U293" i="20"/>
  <c r="W292" i="20"/>
  <c r="U292" i="20"/>
  <c r="W291" i="20"/>
  <c r="U291" i="20"/>
  <c r="W290" i="20"/>
  <c r="U290" i="20"/>
  <c r="W289" i="20"/>
  <c r="U289" i="20"/>
  <c r="W288" i="20"/>
  <c r="U288" i="20"/>
  <c r="W287" i="20"/>
  <c r="U287" i="20"/>
  <c r="W286" i="20"/>
  <c r="U286" i="20"/>
  <c r="W285" i="20"/>
  <c r="U285" i="20"/>
  <c r="W284" i="20"/>
  <c r="U284" i="20"/>
  <c r="W283" i="20"/>
  <c r="U283" i="20"/>
  <c r="W282" i="20"/>
  <c r="U282" i="20"/>
  <c r="W281" i="20"/>
  <c r="U281" i="20"/>
  <c r="W280" i="20"/>
  <c r="U280" i="20"/>
  <c r="W279" i="20"/>
  <c r="U279" i="20"/>
  <c r="W278" i="20"/>
  <c r="U278" i="20"/>
  <c r="W277" i="20"/>
  <c r="U277" i="20"/>
  <c r="W276" i="20"/>
  <c r="U276" i="20"/>
  <c r="W275" i="20"/>
  <c r="U275" i="20"/>
  <c r="W274" i="20"/>
  <c r="U274" i="20"/>
  <c r="W273" i="20"/>
  <c r="U273" i="20"/>
  <c r="W272" i="20"/>
  <c r="U272" i="20"/>
  <c r="W271" i="20"/>
  <c r="U271" i="20"/>
  <c r="W270" i="20"/>
  <c r="U270" i="20"/>
  <c r="W269" i="20"/>
  <c r="U269" i="20"/>
  <c r="W268" i="20"/>
  <c r="U268" i="20"/>
  <c r="W267" i="20"/>
  <c r="U267" i="20"/>
  <c r="W266" i="20"/>
  <c r="U266" i="20"/>
  <c r="W265" i="20"/>
  <c r="U265" i="20"/>
  <c r="W264" i="20"/>
  <c r="U264" i="20"/>
  <c r="W263" i="20"/>
  <c r="U263" i="20"/>
  <c r="W262" i="20"/>
  <c r="U262" i="20"/>
  <c r="W261" i="20"/>
  <c r="U261" i="20"/>
  <c r="W260" i="20"/>
  <c r="U260" i="20"/>
  <c r="W259" i="20"/>
  <c r="U259" i="20"/>
  <c r="W258" i="20"/>
  <c r="U258" i="20"/>
  <c r="W257" i="20"/>
  <c r="U257" i="20"/>
  <c r="W256" i="20"/>
  <c r="U256" i="20"/>
  <c r="W255" i="20"/>
  <c r="U255" i="20"/>
  <c r="W254" i="20"/>
  <c r="U254" i="20"/>
  <c r="W253" i="20"/>
  <c r="U253" i="20"/>
  <c r="W252" i="20"/>
  <c r="U252" i="20"/>
  <c r="W251" i="20"/>
  <c r="U251" i="20"/>
  <c r="W250" i="20"/>
  <c r="U250" i="20"/>
  <c r="W249" i="20"/>
  <c r="U249" i="20"/>
  <c r="W248" i="20"/>
  <c r="U248" i="20"/>
  <c r="W247" i="20"/>
  <c r="U247" i="20"/>
  <c r="W246" i="20"/>
  <c r="U246" i="20"/>
  <c r="W245" i="20"/>
  <c r="U245" i="20"/>
  <c r="W244" i="20"/>
  <c r="U244" i="20"/>
  <c r="W243" i="20"/>
  <c r="U243" i="20"/>
  <c r="W242" i="20"/>
  <c r="U242" i="20"/>
  <c r="W241" i="20"/>
  <c r="U241" i="20"/>
  <c r="W240" i="20"/>
  <c r="U240" i="20"/>
  <c r="W239" i="20"/>
  <c r="U239" i="20"/>
  <c r="W238" i="20"/>
  <c r="U238" i="20"/>
  <c r="W237" i="20"/>
  <c r="U237" i="20"/>
  <c r="W236" i="20"/>
  <c r="U236" i="20"/>
  <c r="W235" i="20"/>
  <c r="U235" i="20"/>
  <c r="W234" i="20"/>
  <c r="U234" i="20"/>
  <c r="W233" i="20"/>
  <c r="U233" i="20"/>
  <c r="W232" i="20"/>
  <c r="U232" i="20"/>
  <c r="W231" i="20"/>
  <c r="U231" i="20"/>
  <c r="W230" i="20"/>
  <c r="U230" i="20"/>
  <c r="W229" i="20"/>
  <c r="U229" i="20"/>
  <c r="W228" i="20"/>
  <c r="U228" i="20"/>
  <c r="W227" i="20"/>
  <c r="U227" i="20"/>
  <c r="W226" i="20"/>
  <c r="U226" i="20"/>
  <c r="W225" i="20"/>
  <c r="U225" i="20"/>
  <c r="W224" i="20"/>
  <c r="U224" i="20"/>
  <c r="W223" i="20"/>
  <c r="U223" i="20"/>
  <c r="W222" i="20"/>
  <c r="U222" i="20"/>
  <c r="W221" i="20"/>
  <c r="U221" i="20"/>
  <c r="W220" i="20"/>
  <c r="U220" i="20"/>
  <c r="W219" i="20"/>
  <c r="U219" i="20"/>
  <c r="W218" i="20"/>
  <c r="U218" i="20"/>
  <c r="W217" i="20"/>
  <c r="U217" i="20"/>
  <c r="W216" i="20"/>
  <c r="U216" i="20"/>
  <c r="W215" i="20"/>
  <c r="U215" i="20"/>
  <c r="W214" i="20"/>
  <c r="U214" i="20"/>
  <c r="W213" i="20"/>
  <c r="U213" i="20"/>
  <c r="W212" i="20"/>
  <c r="U212" i="20"/>
  <c r="W211" i="20"/>
  <c r="U211" i="20"/>
  <c r="W210" i="20"/>
  <c r="U210" i="20"/>
  <c r="W209" i="20"/>
  <c r="U209" i="20"/>
  <c r="W208" i="20"/>
  <c r="U208" i="20"/>
  <c r="W207" i="20"/>
  <c r="U207" i="20"/>
  <c r="W206" i="20"/>
  <c r="U206" i="20"/>
  <c r="W205" i="20"/>
  <c r="U205" i="20"/>
  <c r="W204" i="20"/>
  <c r="U204" i="20"/>
  <c r="W203" i="20"/>
  <c r="U203" i="20"/>
  <c r="W202" i="20"/>
  <c r="U202" i="20"/>
  <c r="W201" i="20"/>
  <c r="U201" i="20"/>
  <c r="W200" i="20"/>
  <c r="U200" i="20"/>
  <c r="W199" i="20"/>
  <c r="U199" i="20"/>
  <c r="W198" i="20"/>
  <c r="U198" i="20"/>
  <c r="W197" i="20"/>
  <c r="U197" i="20"/>
  <c r="W196" i="20"/>
  <c r="U196" i="20"/>
  <c r="W195" i="20"/>
  <c r="U195" i="20"/>
  <c r="W194" i="20"/>
  <c r="U194" i="20"/>
  <c r="W193" i="20"/>
  <c r="U193" i="20"/>
  <c r="W192" i="20"/>
  <c r="U192" i="20"/>
  <c r="W191" i="20"/>
  <c r="U191" i="20"/>
  <c r="W190" i="20"/>
  <c r="U190" i="20"/>
  <c r="W189" i="20"/>
  <c r="U189" i="20"/>
  <c r="W188" i="20"/>
  <c r="U188" i="20"/>
  <c r="W187" i="20"/>
  <c r="U187" i="20"/>
  <c r="W186" i="20"/>
  <c r="U186" i="20"/>
  <c r="W185" i="20"/>
  <c r="U185" i="20"/>
  <c r="W184" i="20"/>
  <c r="U184" i="20"/>
  <c r="W183" i="20"/>
  <c r="U183" i="20"/>
  <c r="W182" i="20"/>
  <c r="U182" i="20"/>
  <c r="W181" i="20"/>
  <c r="U181" i="20"/>
  <c r="W180" i="20"/>
  <c r="U180" i="20"/>
  <c r="W179" i="20"/>
  <c r="U179" i="20"/>
  <c r="W178" i="20"/>
  <c r="U178" i="20"/>
  <c r="W177" i="20"/>
  <c r="U177" i="20"/>
  <c r="W176" i="20"/>
  <c r="U176" i="20"/>
  <c r="W175" i="20"/>
  <c r="U175" i="20"/>
  <c r="W174" i="20"/>
  <c r="U174" i="20"/>
  <c r="W173" i="20"/>
  <c r="U173" i="20"/>
  <c r="W172" i="20"/>
  <c r="U172" i="20"/>
  <c r="W171" i="20"/>
  <c r="U171" i="20"/>
  <c r="W170" i="20"/>
  <c r="U170" i="20"/>
  <c r="W169" i="20"/>
  <c r="U169" i="20"/>
  <c r="W168" i="20"/>
  <c r="U168" i="20"/>
  <c r="W167" i="20"/>
  <c r="U167" i="20"/>
  <c r="W166" i="20"/>
  <c r="U166" i="20"/>
  <c r="W165" i="20"/>
  <c r="U165" i="20"/>
  <c r="W164" i="20"/>
  <c r="U164" i="20"/>
  <c r="W163" i="20"/>
  <c r="U163" i="20"/>
  <c r="W162" i="20"/>
  <c r="U162" i="20"/>
  <c r="W161" i="20"/>
  <c r="U161" i="20"/>
  <c r="W160" i="20"/>
  <c r="U160" i="20"/>
  <c r="W159" i="20"/>
  <c r="U159" i="20"/>
  <c r="W158" i="20"/>
  <c r="U158" i="20"/>
  <c r="W157" i="20"/>
  <c r="U157" i="20"/>
  <c r="W156" i="20"/>
  <c r="U156" i="20"/>
  <c r="W155" i="20"/>
  <c r="U155" i="20"/>
  <c r="W154" i="20"/>
  <c r="U154" i="20"/>
  <c r="W153" i="20"/>
  <c r="U153" i="20"/>
  <c r="W152" i="20"/>
  <c r="U152" i="20"/>
  <c r="W151" i="20"/>
  <c r="U151" i="20"/>
  <c r="W150" i="20"/>
  <c r="U150" i="20"/>
  <c r="W149" i="20"/>
  <c r="U149" i="20"/>
  <c r="W148" i="20"/>
  <c r="U148" i="20"/>
  <c r="W147" i="20"/>
  <c r="U147" i="20"/>
  <c r="W146" i="20"/>
  <c r="U146" i="20"/>
  <c r="W145" i="20"/>
  <c r="U145" i="20"/>
  <c r="W144" i="20"/>
  <c r="U144" i="20"/>
  <c r="W143" i="20"/>
  <c r="U143" i="20"/>
  <c r="W142" i="20"/>
  <c r="U142" i="20"/>
  <c r="W141" i="20"/>
  <c r="U141" i="20"/>
  <c r="W140" i="20"/>
  <c r="U140" i="20"/>
  <c r="W139" i="20"/>
  <c r="U139" i="20"/>
  <c r="W138" i="20"/>
  <c r="U138" i="20"/>
  <c r="W137" i="20"/>
  <c r="U137" i="20"/>
  <c r="W136" i="20"/>
  <c r="U136" i="20"/>
  <c r="W135" i="20"/>
  <c r="U135" i="20"/>
  <c r="W134" i="20"/>
  <c r="U134" i="20"/>
  <c r="W133" i="20"/>
  <c r="U133" i="20"/>
  <c r="W132" i="20"/>
  <c r="U132" i="20"/>
  <c r="W131" i="20"/>
  <c r="U131" i="20"/>
  <c r="W130" i="20"/>
  <c r="U130" i="20"/>
  <c r="W129" i="20"/>
  <c r="U129" i="20"/>
  <c r="W128" i="20"/>
  <c r="U128" i="20"/>
  <c r="W127" i="20"/>
  <c r="U127" i="20"/>
  <c r="W126" i="20"/>
  <c r="U126" i="20"/>
  <c r="W125" i="20"/>
  <c r="U125" i="20"/>
  <c r="W124" i="20"/>
  <c r="U124" i="20"/>
  <c r="W123" i="20"/>
  <c r="U123" i="20"/>
  <c r="W122" i="20"/>
  <c r="U122" i="20"/>
  <c r="W121" i="20"/>
  <c r="U121" i="20"/>
  <c r="W120" i="20"/>
  <c r="U120" i="20"/>
  <c r="W119" i="20"/>
  <c r="U119" i="20"/>
  <c r="W118" i="20"/>
  <c r="U118" i="20"/>
  <c r="W117" i="20"/>
  <c r="U117" i="20"/>
  <c r="W116" i="20"/>
  <c r="U116" i="20"/>
  <c r="W115" i="20"/>
  <c r="U115" i="20"/>
  <c r="W114" i="20"/>
  <c r="U114" i="20"/>
  <c r="W113" i="20"/>
  <c r="U113" i="20"/>
  <c r="W112" i="20"/>
  <c r="U112" i="20"/>
  <c r="W111" i="20"/>
  <c r="U111" i="20"/>
  <c r="W110" i="20"/>
  <c r="U110" i="20"/>
  <c r="W109" i="20"/>
  <c r="U109" i="20"/>
  <c r="W108" i="20"/>
  <c r="U108" i="20"/>
  <c r="W107" i="20"/>
  <c r="U107" i="20"/>
  <c r="W106" i="20"/>
  <c r="U106" i="20"/>
  <c r="W105" i="20"/>
  <c r="U105" i="20"/>
  <c r="W104" i="20"/>
  <c r="U104" i="20"/>
  <c r="W103" i="20"/>
  <c r="U103" i="20"/>
  <c r="W102" i="20"/>
  <c r="U102" i="20"/>
  <c r="W101" i="20"/>
  <c r="U101" i="20"/>
  <c r="W100" i="20"/>
  <c r="U100" i="20"/>
  <c r="W99" i="20"/>
  <c r="U99" i="20"/>
  <c r="W98" i="20"/>
  <c r="U98" i="20"/>
  <c r="W97" i="20"/>
  <c r="U97" i="20"/>
  <c r="W96" i="20"/>
  <c r="U96" i="20"/>
  <c r="W95" i="20"/>
  <c r="U95" i="20"/>
  <c r="W94" i="20"/>
  <c r="U94" i="20"/>
  <c r="W93" i="20"/>
  <c r="U93" i="20"/>
  <c r="W92" i="20"/>
  <c r="U92" i="20"/>
  <c r="W91" i="20"/>
  <c r="U91" i="20"/>
  <c r="W90" i="20"/>
  <c r="U90" i="20"/>
  <c r="W89" i="20"/>
  <c r="U89" i="20"/>
  <c r="W88" i="20"/>
  <c r="U88" i="20"/>
  <c r="W87" i="20"/>
  <c r="U87" i="20"/>
  <c r="W86" i="20"/>
  <c r="U86" i="20"/>
  <c r="W85" i="20"/>
  <c r="U85" i="20"/>
  <c r="W84" i="20"/>
  <c r="U84" i="20"/>
  <c r="W83" i="20"/>
  <c r="U83" i="20"/>
  <c r="W82" i="20"/>
  <c r="U82" i="20"/>
  <c r="W81" i="20"/>
  <c r="U81" i="20"/>
  <c r="W80" i="20"/>
  <c r="U80" i="20"/>
  <c r="W79" i="20"/>
  <c r="U79" i="20"/>
  <c r="W78" i="20"/>
  <c r="U78" i="20"/>
  <c r="W77" i="20"/>
  <c r="U77" i="20"/>
  <c r="W76" i="20"/>
  <c r="U76" i="20"/>
  <c r="W75" i="20"/>
  <c r="U75" i="20"/>
  <c r="W74" i="20"/>
  <c r="U74" i="20"/>
  <c r="W73" i="20"/>
  <c r="U73" i="20"/>
  <c r="W72" i="20"/>
  <c r="U72" i="20"/>
  <c r="W71" i="20"/>
  <c r="U71" i="20"/>
  <c r="W70" i="20"/>
  <c r="U70" i="20"/>
  <c r="W69" i="20"/>
  <c r="U69" i="20"/>
  <c r="W68" i="20"/>
  <c r="U68" i="20"/>
  <c r="W67" i="20"/>
  <c r="U67" i="20"/>
  <c r="W66" i="20"/>
  <c r="U66" i="20"/>
  <c r="W65" i="20"/>
  <c r="U65" i="20"/>
  <c r="W64" i="20"/>
  <c r="U64" i="20"/>
  <c r="W63" i="20"/>
  <c r="U63" i="20"/>
  <c r="W62" i="20"/>
  <c r="U62" i="20"/>
  <c r="W61" i="20"/>
  <c r="U61" i="20"/>
  <c r="W60" i="20"/>
  <c r="U60" i="20"/>
  <c r="W59" i="20"/>
  <c r="U59" i="20"/>
  <c r="W58" i="20"/>
  <c r="U58" i="20"/>
  <c r="W57" i="20"/>
  <c r="U57" i="20"/>
  <c r="W56" i="20"/>
  <c r="U56" i="20"/>
  <c r="W55" i="20"/>
  <c r="U55" i="20"/>
  <c r="W54" i="20"/>
  <c r="U54" i="20"/>
  <c r="W53" i="20"/>
  <c r="U53" i="20"/>
  <c r="W52" i="20"/>
  <c r="U52" i="20"/>
  <c r="W51" i="20"/>
  <c r="U51" i="20"/>
  <c r="W50" i="20"/>
  <c r="U50" i="20"/>
  <c r="W49" i="20"/>
  <c r="U49" i="20"/>
  <c r="W48" i="20"/>
  <c r="U48" i="20"/>
  <c r="W47" i="20"/>
  <c r="U47" i="20"/>
  <c r="W46" i="20"/>
  <c r="U46" i="20"/>
  <c r="W45" i="20"/>
  <c r="U45" i="20"/>
  <c r="W44" i="20"/>
  <c r="U44" i="20"/>
  <c r="W43" i="20"/>
  <c r="U43" i="20"/>
  <c r="W42" i="20"/>
  <c r="U42" i="20"/>
  <c r="W41" i="20"/>
  <c r="U41" i="20"/>
  <c r="W40" i="20"/>
  <c r="U40" i="20"/>
  <c r="W39" i="20"/>
  <c r="U39" i="20"/>
  <c r="W38" i="20"/>
  <c r="U38" i="20"/>
  <c r="W37" i="20"/>
  <c r="U37" i="20"/>
  <c r="W36" i="20"/>
  <c r="U36" i="20"/>
  <c r="W35" i="20"/>
  <c r="U35" i="20"/>
  <c r="W34" i="20"/>
  <c r="U34" i="20"/>
  <c r="W33" i="20"/>
  <c r="U33" i="20"/>
  <c r="W32" i="20"/>
  <c r="U32" i="20"/>
  <c r="W31" i="20"/>
  <c r="U31" i="20"/>
  <c r="W30" i="20"/>
  <c r="U30" i="20"/>
  <c r="W29" i="20"/>
  <c r="U29" i="20"/>
  <c r="W28" i="20"/>
  <c r="U28" i="20"/>
  <c r="W27" i="20"/>
  <c r="U27" i="20"/>
  <c r="W26" i="20"/>
  <c r="U26" i="20"/>
  <c r="W25" i="20"/>
  <c r="U25" i="20"/>
  <c r="W24" i="20"/>
  <c r="U24" i="20"/>
  <c r="W23" i="20"/>
  <c r="U23" i="20"/>
  <c r="W22" i="20"/>
  <c r="U22" i="20"/>
  <c r="W21" i="20"/>
  <c r="U21" i="20"/>
  <c r="W20" i="20"/>
  <c r="U20" i="20"/>
  <c r="W19" i="20"/>
  <c r="U19" i="20"/>
  <c r="W18" i="20"/>
  <c r="U18" i="20"/>
  <c r="W17" i="20"/>
  <c r="U17" i="20"/>
  <c r="W16" i="20"/>
  <c r="U16" i="20"/>
  <c r="W15" i="20"/>
  <c r="U15" i="20"/>
  <c r="W14" i="20"/>
  <c r="U14" i="20"/>
  <c r="W13" i="20"/>
  <c r="U13" i="20"/>
  <c r="W12" i="20"/>
  <c r="U12" i="20"/>
  <c r="W11" i="20"/>
  <c r="U11" i="20"/>
  <c r="W10" i="20"/>
  <c r="U10" i="20"/>
  <c r="W9" i="20"/>
  <c r="U9" i="20"/>
  <c r="W8" i="20"/>
  <c r="U8" i="20"/>
  <c r="W7" i="20"/>
  <c r="U7" i="20"/>
  <c r="W6" i="20"/>
  <c r="U6" i="20"/>
  <c r="W5" i="20"/>
  <c r="U5" i="20"/>
  <c r="W4" i="20"/>
  <c r="U4" i="20"/>
  <c r="W3" i="20"/>
  <c r="U3" i="20"/>
  <c r="W2" i="20"/>
  <c r="U2" i="20"/>
  <c r="P1255" i="20" l="1"/>
  <c r="P1254" i="20"/>
  <c r="P1253" i="20"/>
  <c r="P1252" i="20"/>
  <c r="P1251" i="20"/>
  <c r="P1250" i="20"/>
  <c r="P1249" i="20"/>
  <c r="P1248" i="20"/>
  <c r="P1247" i="20"/>
  <c r="P1246" i="20"/>
  <c r="P1245" i="20"/>
  <c r="P1244" i="20"/>
  <c r="P1243" i="20"/>
  <c r="P1242" i="20"/>
  <c r="P1241" i="20"/>
  <c r="P1240" i="20"/>
  <c r="P1239" i="20"/>
  <c r="P1238" i="20"/>
  <c r="P1237" i="20"/>
  <c r="P1236" i="20"/>
  <c r="P1235" i="20"/>
  <c r="P1234" i="20"/>
  <c r="P1233" i="20"/>
  <c r="P1232" i="20"/>
  <c r="P1231" i="20"/>
  <c r="P1230" i="20"/>
  <c r="P1229" i="20"/>
  <c r="P1228" i="20"/>
  <c r="P1227" i="20"/>
  <c r="P1226" i="20"/>
  <c r="P1225" i="20"/>
  <c r="P1224" i="20"/>
  <c r="P1223" i="20"/>
  <c r="P1222" i="20"/>
  <c r="P1221" i="20"/>
  <c r="P1220" i="20"/>
  <c r="P1219" i="20"/>
  <c r="P1218" i="20"/>
  <c r="P1217" i="20"/>
  <c r="P1216" i="20"/>
  <c r="P1215" i="20"/>
  <c r="P1214" i="20"/>
  <c r="P1213" i="20"/>
  <c r="P1212" i="20"/>
  <c r="P1211" i="20"/>
  <c r="P1210" i="20"/>
  <c r="P1209" i="20"/>
  <c r="P1208" i="20"/>
  <c r="P1207" i="20"/>
  <c r="P1206" i="20"/>
  <c r="P1205" i="20"/>
  <c r="P1204" i="20"/>
  <c r="P1203" i="20"/>
  <c r="P1202" i="20"/>
  <c r="P1201" i="20"/>
  <c r="P1200" i="20"/>
  <c r="P1199" i="20"/>
  <c r="P1198" i="20"/>
  <c r="P1197" i="20"/>
  <c r="P1196" i="20"/>
  <c r="P1195" i="20"/>
  <c r="P1194" i="20"/>
  <c r="P1193" i="20"/>
  <c r="P1192" i="20"/>
  <c r="P1191" i="20"/>
  <c r="P1190" i="20"/>
  <c r="P1189" i="20"/>
  <c r="P1188" i="20"/>
  <c r="P1187" i="20"/>
  <c r="P1186" i="20"/>
  <c r="P1185" i="20"/>
  <c r="P1184" i="20"/>
  <c r="P1183" i="20"/>
  <c r="P1182" i="20"/>
  <c r="P1181" i="20"/>
  <c r="P1180" i="20"/>
  <c r="P1179" i="20"/>
  <c r="P1178" i="20"/>
  <c r="P1177" i="20"/>
  <c r="P1176" i="20"/>
  <c r="P1175" i="20"/>
  <c r="P1174" i="20"/>
  <c r="P1173" i="20"/>
  <c r="P1172" i="20"/>
  <c r="P1171" i="20"/>
  <c r="P1170" i="20"/>
  <c r="P1169" i="20"/>
  <c r="P1168" i="20"/>
  <c r="P1167" i="20"/>
  <c r="P1166" i="20"/>
  <c r="P1165" i="20"/>
  <c r="P1164" i="20"/>
  <c r="P1163" i="20"/>
  <c r="P1162" i="20"/>
  <c r="P1161" i="20"/>
  <c r="P1160" i="20"/>
  <c r="P1159" i="20"/>
  <c r="P1158" i="20"/>
  <c r="P1157" i="20"/>
  <c r="P1156" i="20"/>
  <c r="P1155" i="20"/>
  <c r="P1154" i="20"/>
  <c r="P1153" i="20"/>
  <c r="P1152" i="20"/>
  <c r="P1151" i="20"/>
  <c r="P1150" i="20"/>
  <c r="P1149" i="20"/>
  <c r="P1148" i="20"/>
  <c r="P1147" i="20"/>
  <c r="P1146" i="20"/>
  <c r="P1145" i="20"/>
  <c r="P1144" i="20"/>
  <c r="P1143" i="20"/>
  <c r="P1142" i="20"/>
  <c r="P1141" i="20"/>
  <c r="P1140" i="20"/>
  <c r="P1139" i="20"/>
  <c r="P1138" i="20"/>
  <c r="P1137" i="20"/>
  <c r="P1136" i="20"/>
  <c r="P1135" i="20"/>
  <c r="P1134" i="20"/>
  <c r="P1133" i="20"/>
  <c r="P1132" i="20"/>
  <c r="P1131" i="20"/>
  <c r="P1130" i="20"/>
  <c r="P1129" i="20"/>
  <c r="P1128" i="20"/>
  <c r="P1127" i="20"/>
  <c r="P1126" i="20"/>
  <c r="P1125" i="20"/>
  <c r="P1124" i="20"/>
  <c r="P1123" i="20"/>
  <c r="P1122" i="20"/>
  <c r="P1121" i="20"/>
  <c r="P1120" i="20"/>
  <c r="P1119" i="20"/>
  <c r="P1118" i="20"/>
  <c r="P1117" i="20"/>
  <c r="P1116" i="20"/>
  <c r="P1115" i="20"/>
  <c r="P1114" i="20"/>
  <c r="P1113" i="20"/>
  <c r="P1112" i="20"/>
  <c r="P1111" i="20"/>
  <c r="P1110" i="20"/>
  <c r="P1109" i="20"/>
  <c r="P1108" i="20"/>
  <c r="P1107" i="20"/>
  <c r="P1106" i="20"/>
  <c r="P1105" i="20"/>
  <c r="P1104" i="20"/>
  <c r="P1103" i="20"/>
  <c r="P1102" i="20"/>
  <c r="P1101" i="20"/>
  <c r="P1100" i="20"/>
  <c r="P1099" i="20"/>
  <c r="P1098" i="20"/>
  <c r="P1097" i="20"/>
  <c r="P1096" i="20"/>
  <c r="P1095" i="20"/>
  <c r="P1094" i="20"/>
  <c r="P1093" i="20"/>
  <c r="P1092" i="20"/>
  <c r="P1091" i="20"/>
  <c r="P1090" i="20"/>
  <c r="P1089" i="20"/>
  <c r="P1088" i="20"/>
  <c r="P1087" i="20"/>
  <c r="P1086" i="20"/>
  <c r="P1085" i="20"/>
  <c r="P1084" i="20"/>
  <c r="P1083" i="20"/>
  <c r="P1082" i="20"/>
  <c r="P1081" i="20"/>
  <c r="P1080" i="20"/>
  <c r="P1079" i="20"/>
  <c r="P1078" i="20"/>
  <c r="P1077" i="20"/>
  <c r="P1076" i="20"/>
  <c r="P1075" i="20"/>
  <c r="P1074" i="20"/>
  <c r="P1073" i="20"/>
  <c r="P1072" i="20"/>
  <c r="P1071" i="20"/>
  <c r="P1070" i="20"/>
  <c r="P1069" i="20"/>
  <c r="P1068" i="20"/>
  <c r="P1067" i="20"/>
  <c r="P1066" i="20"/>
  <c r="P1065" i="20"/>
  <c r="P1064" i="20"/>
  <c r="P1063" i="20"/>
  <c r="P1062" i="20"/>
  <c r="P1061" i="20"/>
  <c r="P1060" i="20"/>
  <c r="P1059" i="20"/>
  <c r="P1058" i="20"/>
  <c r="P1057" i="20"/>
  <c r="P1056" i="20"/>
  <c r="P1055" i="20"/>
  <c r="P1054" i="20"/>
  <c r="P1053" i="20"/>
  <c r="P1052" i="20"/>
  <c r="P1051" i="20"/>
  <c r="P1050" i="20"/>
  <c r="P1049" i="20"/>
  <c r="P1048" i="20"/>
  <c r="P1047" i="20"/>
  <c r="P1046" i="20"/>
  <c r="P1045" i="20"/>
  <c r="P1044" i="20"/>
  <c r="P1043" i="20"/>
  <c r="P1042" i="20"/>
  <c r="P1041" i="20"/>
  <c r="P1040" i="20"/>
  <c r="P1039" i="20"/>
  <c r="P1038" i="20"/>
  <c r="P1037" i="20"/>
  <c r="P1036" i="20"/>
  <c r="P1035" i="20"/>
  <c r="P1034" i="20"/>
  <c r="P1033" i="20"/>
  <c r="P1032" i="20"/>
  <c r="P1031" i="20"/>
  <c r="P1030" i="20"/>
  <c r="P1029" i="20"/>
  <c r="P1028" i="20"/>
  <c r="P1027" i="20"/>
  <c r="P1026" i="20"/>
  <c r="P1025" i="20"/>
  <c r="P1024" i="20"/>
  <c r="P1023" i="20"/>
  <c r="P1022" i="20"/>
  <c r="P1021" i="20"/>
  <c r="P1020" i="20"/>
  <c r="P1019" i="20"/>
  <c r="P1018" i="20"/>
  <c r="P1017" i="20"/>
  <c r="P1016" i="20"/>
  <c r="P1015" i="20"/>
  <c r="P1014" i="20"/>
  <c r="P1013" i="20"/>
  <c r="P1012" i="20"/>
  <c r="P1011" i="20"/>
  <c r="P1010" i="20"/>
  <c r="P1009" i="20"/>
  <c r="P1008" i="20"/>
  <c r="P1007" i="20"/>
  <c r="P1006" i="20"/>
  <c r="P1005" i="20"/>
  <c r="P1004" i="20"/>
  <c r="P1003" i="20"/>
  <c r="P1002" i="20"/>
  <c r="P1001" i="20"/>
  <c r="P1000" i="20"/>
  <c r="P999" i="20"/>
  <c r="P998" i="20"/>
  <c r="P997" i="20"/>
  <c r="P996" i="20"/>
  <c r="P995" i="20"/>
  <c r="P994" i="20"/>
  <c r="P993" i="20"/>
  <c r="P992" i="20"/>
  <c r="P991" i="20"/>
  <c r="P990" i="20"/>
  <c r="P989" i="20"/>
  <c r="P988" i="20"/>
  <c r="P987" i="20"/>
  <c r="P986" i="20"/>
  <c r="P985" i="20"/>
  <c r="P984" i="20"/>
  <c r="P983" i="20"/>
  <c r="P982" i="20"/>
  <c r="P981" i="20"/>
  <c r="P980" i="20"/>
  <c r="P979" i="20"/>
  <c r="P978" i="20"/>
  <c r="P977" i="20"/>
  <c r="P976" i="20"/>
  <c r="P975" i="20"/>
  <c r="P974" i="20"/>
  <c r="P973" i="20"/>
  <c r="P972" i="20"/>
  <c r="P971" i="20"/>
  <c r="P970" i="20"/>
  <c r="P969" i="20"/>
  <c r="P968" i="20"/>
  <c r="P967" i="20"/>
  <c r="P966" i="20"/>
  <c r="P965" i="20"/>
  <c r="P964" i="20"/>
  <c r="P963" i="20"/>
  <c r="P962" i="20"/>
  <c r="P961" i="20"/>
  <c r="P960" i="20"/>
  <c r="P959" i="20"/>
  <c r="P958" i="20"/>
  <c r="P957" i="20"/>
  <c r="P956" i="20"/>
  <c r="P955" i="20"/>
  <c r="P954" i="20"/>
  <c r="P953" i="20"/>
  <c r="P952" i="20"/>
  <c r="P951" i="20"/>
  <c r="P950" i="20"/>
  <c r="P949" i="20"/>
  <c r="P948" i="20"/>
  <c r="P947" i="20"/>
  <c r="P946" i="20"/>
  <c r="P945" i="20"/>
  <c r="P944" i="20"/>
  <c r="P943" i="20"/>
  <c r="P942" i="20"/>
  <c r="P941" i="20"/>
  <c r="P940" i="20"/>
  <c r="P939" i="20"/>
  <c r="P938" i="20"/>
  <c r="P937" i="20"/>
  <c r="P936" i="20"/>
  <c r="P935" i="20"/>
  <c r="P934" i="20"/>
  <c r="P933" i="20"/>
  <c r="P932" i="20"/>
  <c r="P931" i="20"/>
  <c r="P930" i="20"/>
  <c r="P929" i="20"/>
  <c r="P928" i="20"/>
  <c r="P927" i="20"/>
  <c r="P926" i="20"/>
  <c r="P925" i="20"/>
  <c r="P924" i="20"/>
  <c r="P923" i="20"/>
  <c r="P922" i="20"/>
  <c r="P921" i="20"/>
  <c r="P920" i="20"/>
  <c r="P919" i="20"/>
  <c r="P918" i="20"/>
  <c r="P917" i="20"/>
  <c r="P916" i="20"/>
  <c r="P915" i="20"/>
  <c r="P914" i="20"/>
  <c r="P913" i="20"/>
  <c r="P912" i="20"/>
  <c r="P911" i="20"/>
  <c r="P910" i="20"/>
  <c r="P909" i="20"/>
  <c r="P908" i="20"/>
  <c r="P907" i="20"/>
  <c r="P906" i="20"/>
  <c r="P905" i="20"/>
  <c r="P904" i="20"/>
  <c r="P903" i="20"/>
  <c r="P902" i="20"/>
  <c r="P901" i="20"/>
  <c r="P900" i="20"/>
  <c r="P899" i="20"/>
  <c r="P898" i="20"/>
  <c r="P897" i="20"/>
  <c r="P896" i="20"/>
  <c r="P895" i="20"/>
  <c r="P894" i="20"/>
  <c r="P893" i="20"/>
  <c r="P892" i="20"/>
  <c r="P891" i="20"/>
  <c r="P890" i="20"/>
  <c r="P889" i="20"/>
  <c r="P888" i="20"/>
  <c r="P887" i="20"/>
  <c r="P886" i="20"/>
  <c r="P885" i="20"/>
  <c r="P884" i="20"/>
  <c r="P883" i="20"/>
  <c r="P882" i="20"/>
  <c r="P881" i="20"/>
  <c r="P880" i="20"/>
  <c r="P879" i="20"/>
  <c r="P878" i="20"/>
  <c r="P877" i="20"/>
  <c r="P876" i="20"/>
  <c r="P875" i="20"/>
  <c r="P874" i="20"/>
  <c r="P873" i="20"/>
  <c r="P872" i="20"/>
  <c r="P871" i="20"/>
  <c r="P870" i="20"/>
  <c r="P869" i="20"/>
  <c r="P868" i="20"/>
  <c r="P867" i="20"/>
  <c r="P866" i="20"/>
  <c r="P865" i="20"/>
  <c r="P864" i="20"/>
  <c r="P863" i="20"/>
  <c r="P862" i="20"/>
  <c r="P861" i="20"/>
  <c r="P860" i="20"/>
  <c r="P859" i="20"/>
  <c r="P858" i="20"/>
  <c r="P857" i="20"/>
  <c r="P856" i="20"/>
  <c r="P855" i="20"/>
  <c r="P854" i="20"/>
  <c r="P853" i="20"/>
  <c r="P852" i="20"/>
  <c r="P851" i="20"/>
  <c r="P850" i="20"/>
  <c r="P849" i="20"/>
  <c r="P848" i="20"/>
  <c r="P847" i="20"/>
  <c r="P846" i="20"/>
  <c r="P845" i="20"/>
  <c r="P844" i="20"/>
  <c r="P843" i="20"/>
  <c r="P842" i="20"/>
  <c r="P841" i="20"/>
  <c r="P840" i="20"/>
  <c r="P839" i="20"/>
  <c r="P838" i="20"/>
  <c r="P837" i="20"/>
  <c r="P836" i="20"/>
  <c r="P835" i="20"/>
  <c r="P834" i="20"/>
  <c r="P833" i="20"/>
  <c r="P832" i="20"/>
  <c r="P831" i="20"/>
  <c r="P830" i="20"/>
  <c r="P829" i="20"/>
  <c r="P828" i="20"/>
  <c r="P827" i="20"/>
  <c r="P826" i="20"/>
  <c r="P825" i="20"/>
  <c r="P824" i="20"/>
  <c r="P823" i="20"/>
  <c r="P822" i="20"/>
  <c r="P821" i="20"/>
  <c r="P820" i="20"/>
  <c r="P819" i="20"/>
  <c r="P818" i="20"/>
  <c r="P817" i="20"/>
  <c r="P816" i="20"/>
  <c r="P815" i="20"/>
  <c r="P814" i="20"/>
  <c r="P813" i="20"/>
  <c r="P812" i="20"/>
  <c r="P811" i="20"/>
  <c r="P810" i="20"/>
  <c r="P809" i="20"/>
  <c r="P808" i="20"/>
  <c r="P807" i="20"/>
  <c r="P806" i="20"/>
  <c r="P805" i="20"/>
  <c r="P804" i="20"/>
  <c r="P803" i="20"/>
  <c r="P802" i="20"/>
  <c r="P801" i="20"/>
  <c r="P800" i="20"/>
  <c r="P799" i="20"/>
  <c r="P798" i="20"/>
  <c r="P797" i="20"/>
  <c r="P796" i="20"/>
  <c r="P795" i="20"/>
  <c r="P794" i="20"/>
  <c r="P793" i="20"/>
  <c r="P792" i="20"/>
  <c r="P791" i="20"/>
  <c r="P790" i="20"/>
  <c r="P789" i="20"/>
  <c r="P788" i="20"/>
  <c r="P787" i="20"/>
  <c r="P786" i="20"/>
  <c r="P785" i="20"/>
  <c r="P784" i="20"/>
  <c r="P783" i="20"/>
  <c r="P782" i="20"/>
  <c r="P781" i="20"/>
  <c r="P780" i="20"/>
  <c r="P779" i="20"/>
  <c r="P778" i="20"/>
  <c r="P777" i="20"/>
  <c r="P776" i="20"/>
  <c r="P775" i="20"/>
  <c r="P774" i="20"/>
  <c r="P773" i="20"/>
  <c r="P772" i="20"/>
  <c r="P771" i="20"/>
  <c r="P770" i="20"/>
  <c r="P769" i="20"/>
  <c r="P768" i="20"/>
  <c r="P767" i="20"/>
  <c r="P766" i="20"/>
  <c r="P765" i="20"/>
  <c r="P764" i="20"/>
  <c r="P763" i="20"/>
  <c r="P762" i="20"/>
  <c r="P761" i="20"/>
  <c r="P760" i="20"/>
  <c r="P759" i="20"/>
  <c r="P758" i="20"/>
  <c r="P757" i="20"/>
  <c r="P756" i="20"/>
  <c r="P755" i="20"/>
  <c r="P754" i="20"/>
  <c r="P753" i="20"/>
  <c r="P752" i="20"/>
  <c r="P751" i="20"/>
  <c r="P750" i="20"/>
  <c r="P749" i="20"/>
  <c r="P748" i="20"/>
  <c r="P747" i="20"/>
  <c r="P746" i="20"/>
  <c r="P745" i="20"/>
  <c r="P744" i="20"/>
  <c r="P743" i="20"/>
  <c r="P742" i="20"/>
  <c r="P741" i="20"/>
  <c r="P740" i="20"/>
  <c r="P739" i="20"/>
  <c r="P738" i="20"/>
  <c r="P737" i="20"/>
  <c r="P736" i="20"/>
  <c r="P735" i="20"/>
  <c r="P734" i="20"/>
  <c r="P733" i="20"/>
  <c r="P732" i="20"/>
  <c r="P731" i="20"/>
  <c r="P730" i="20"/>
  <c r="P729" i="20"/>
  <c r="P728" i="20"/>
  <c r="P727" i="20"/>
  <c r="P726" i="20"/>
  <c r="P725" i="20"/>
  <c r="P724" i="20"/>
  <c r="P723" i="20"/>
  <c r="P722" i="20"/>
  <c r="P721" i="20"/>
  <c r="P720" i="20"/>
  <c r="P719" i="20"/>
  <c r="P718" i="20"/>
  <c r="P717" i="20"/>
  <c r="P716" i="20"/>
  <c r="P715" i="20"/>
  <c r="P714" i="20"/>
  <c r="P713" i="20"/>
  <c r="P712" i="20"/>
  <c r="P711" i="20"/>
  <c r="P710" i="20"/>
  <c r="P709" i="20"/>
  <c r="P708" i="20"/>
  <c r="P707" i="20"/>
  <c r="P706" i="20"/>
  <c r="P705" i="20"/>
  <c r="P704" i="20"/>
  <c r="P703" i="20"/>
  <c r="P702" i="20"/>
  <c r="P701" i="20"/>
  <c r="P700" i="20"/>
  <c r="P699" i="20"/>
  <c r="P698" i="20"/>
  <c r="P697" i="20"/>
  <c r="P696" i="20"/>
  <c r="P695" i="20"/>
  <c r="P694" i="20"/>
  <c r="P693" i="20"/>
  <c r="P692" i="20"/>
  <c r="P691" i="20"/>
  <c r="P690" i="20"/>
  <c r="P689" i="20"/>
  <c r="P688" i="20"/>
  <c r="P687" i="20"/>
  <c r="P686" i="20"/>
  <c r="P685" i="20"/>
  <c r="P684" i="20"/>
  <c r="P683" i="20"/>
  <c r="P682" i="20"/>
  <c r="P681" i="20"/>
  <c r="P680" i="20"/>
  <c r="P679" i="20"/>
  <c r="P678" i="20"/>
  <c r="P677" i="20"/>
  <c r="P676" i="20"/>
  <c r="P675" i="20"/>
  <c r="P674" i="20"/>
  <c r="P673" i="20"/>
  <c r="P672" i="20"/>
  <c r="P671" i="20"/>
  <c r="P670" i="20"/>
  <c r="P669" i="20"/>
  <c r="P668" i="20"/>
  <c r="P667" i="20"/>
  <c r="P666" i="20"/>
  <c r="P665" i="20"/>
  <c r="P664" i="20"/>
  <c r="P663" i="20"/>
  <c r="P662" i="20"/>
  <c r="P661" i="20"/>
  <c r="P660" i="20"/>
  <c r="P659" i="20"/>
  <c r="P658" i="20"/>
  <c r="P657" i="20"/>
  <c r="P656" i="20"/>
  <c r="P655" i="20"/>
  <c r="P654" i="20"/>
  <c r="P653" i="20"/>
  <c r="P652" i="20"/>
  <c r="P651" i="20"/>
  <c r="P650" i="20"/>
  <c r="P649" i="20"/>
  <c r="P648" i="20"/>
  <c r="P647" i="20"/>
  <c r="P646" i="20"/>
  <c r="P645" i="20"/>
  <c r="P644" i="20"/>
  <c r="P643" i="20"/>
  <c r="P642" i="20"/>
  <c r="P641" i="20"/>
  <c r="P640" i="20"/>
  <c r="P639" i="20"/>
  <c r="P638" i="20"/>
  <c r="P637" i="20"/>
  <c r="P636" i="20"/>
  <c r="P635" i="20"/>
  <c r="P634" i="20"/>
  <c r="P633" i="20"/>
  <c r="P632" i="20"/>
  <c r="P631" i="20"/>
  <c r="P630" i="20"/>
  <c r="P629" i="20"/>
  <c r="P628" i="20"/>
  <c r="P627" i="20"/>
  <c r="P626" i="20"/>
  <c r="P625" i="20"/>
  <c r="P624" i="20"/>
  <c r="P623" i="20"/>
  <c r="P622" i="20"/>
  <c r="P621" i="20"/>
  <c r="P620" i="20"/>
  <c r="P619" i="20"/>
  <c r="P618" i="20"/>
  <c r="P617" i="20"/>
  <c r="P616" i="20"/>
  <c r="P615" i="20"/>
  <c r="P614" i="20"/>
  <c r="P613" i="20"/>
  <c r="P612" i="20"/>
  <c r="P611" i="20"/>
  <c r="P610" i="20"/>
  <c r="P609" i="20"/>
  <c r="P608" i="20"/>
  <c r="P607" i="20"/>
  <c r="P606" i="20"/>
  <c r="P605" i="20"/>
  <c r="P604" i="20"/>
  <c r="P603" i="20"/>
  <c r="P602" i="20"/>
  <c r="P601" i="20"/>
  <c r="P600" i="20"/>
  <c r="P599" i="20"/>
  <c r="P598" i="20"/>
  <c r="P597" i="20"/>
  <c r="P596" i="20"/>
  <c r="P595" i="20"/>
  <c r="P594" i="20"/>
  <c r="P593" i="20"/>
  <c r="P592" i="20"/>
  <c r="P591" i="20"/>
  <c r="P590" i="20"/>
  <c r="P589" i="20"/>
  <c r="P588" i="20"/>
  <c r="P587" i="20"/>
  <c r="P586" i="20"/>
  <c r="P585" i="20"/>
  <c r="P584" i="20"/>
  <c r="P583" i="20"/>
  <c r="P582" i="20"/>
  <c r="P581" i="20"/>
  <c r="P580" i="20"/>
  <c r="P579" i="20"/>
  <c r="P578" i="20"/>
  <c r="P577" i="20"/>
  <c r="P576" i="20"/>
  <c r="P575" i="20"/>
  <c r="P574" i="20"/>
  <c r="P573" i="20"/>
  <c r="P572" i="20"/>
  <c r="P571" i="20"/>
  <c r="P570" i="20"/>
  <c r="P569" i="20"/>
  <c r="P568" i="20"/>
  <c r="P567" i="20"/>
  <c r="P566" i="20"/>
  <c r="P565" i="20"/>
  <c r="P564" i="20"/>
  <c r="P563" i="20"/>
  <c r="P562" i="20"/>
  <c r="P561" i="20"/>
  <c r="P560" i="20"/>
  <c r="P559" i="20"/>
  <c r="P558" i="20"/>
  <c r="P557" i="20"/>
  <c r="P556" i="20"/>
  <c r="P555" i="20"/>
  <c r="P554" i="20"/>
  <c r="P553" i="20"/>
  <c r="P552" i="20"/>
  <c r="P551" i="20"/>
  <c r="P550" i="20"/>
  <c r="P549" i="20"/>
  <c r="P548" i="20"/>
  <c r="P547" i="20"/>
  <c r="P546" i="20"/>
  <c r="P545" i="20"/>
  <c r="P544" i="20"/>
  <c r="P543" i="20"/>
  <c r="P542" i="20"/>
  <c r="P541" i="20"/>
  <c r="P540" i="20"/>
  <c r="P539" i="20"/>
  <c r="P538" i="20"/>
  <c r="P537" i="20"/>
  <c r="P536" i="20"/>
  <c r="P535" i="20"/>
  <c r="P534" i="20"/>
  <c r="P533" i="20"/>
  <c r="P532" i="20"/>
  <c r="P531" i="20"/>
  <c r="P530" i="20"/>
  <c r="P529" i="20"/>
  <c r="P528" i="20"/>
  <c r="P527" i="20"/>
  <c r="P526" i="20"/>
  <c r="P525" i="20"/>
  <c r="P524" i="20"/>
  <c r="P523" i="20"/>
  <c r="P522" i="20"/>
  <c r="P521" i="20"/>
  <c r="P520" i="20"/>
  <c r="P519" i="20"/>
  <c r="P518" i="20"/>
  <c r="P517" i="20"/>
  <c r="P516" i="20"/>
  <c r="P515" i="20"/>
  <c r="P514" i="20"/>
  <c r="P513" i="20"/>
  <c r="P512" i="20"/>
  <c r="P511" i="20"/>
  <c r="P510" i="20"/>
  <c r="P509" i="20"/>
  <c r="P508" i="20"/>
  <c r="P507" i="20"/>
  <c r="P506" i="20"/>
  <c r="P505" i="20"/>
  <c r="P504" i="20"/>
  <c r="P503" i="20"/>
  <c r="P502" i="20"/>
  <c r="P501" i="20"/>
  <c r="P500" i="20"/>
  <c r="P499" i="20"/>
  <c r="P498" i="20"/>
  <c r="P497" i="20"/>
  <c r="P496" i="20"/>
  <c r="P495" i="20"/>
  <c r="P494" i="20"/>
  <c r="P493" i="20"/>
  <c r="P492" i="20"/>
  <c r="P491" i="20"/>
  <c r="P490" i="20"/>
  <c r="P489" i="20"/>
  <c r="P488" i="20"/>
  <c r="P487" i="20"/>
  <c r="P486" i="20"/>
  <c r="P485" i="20"/>
  <c r="P484" i="20"/>
  <c r="P483" i="20"/>
  <c r="P482" i="20"/>
  <c r="P481" i="20"/>
  <c r="P480" i="20"/>
  <c r="P479" i="20"/>
  <c r="P478" i="20"/>
  <c r="P477" i="20"/>
  <c r="P476" i="20"/>
  <c r="P475" i="20"/>
  <c r="P474" i="20"/>
  <c r="P473" i="20"/>
  <c r="P472" i="20"/>
  <c r="P471" i="20"/>
  <c r="P470" i="20"/>
  <c r="P469" i="20"/>
  <c r="P468" i="20"/>
  <c r="P467" i="20"/>
  <c r="P466" i="20"/>
  <c r="P465" i="20"/>
  <c r="P464" i="20"/>
  <c r="P463" i="20"/>
  <c r="P462" i="20"/>
  <c r="P461" i="20"/>
  <c r="P460" i="20"/>
  <c r="P459" i="20"/>
  <c r="P458" i="20"/>
  <c r="P457" i="20"/>
  <c r="P456" i="20"/>
  <c r="P455" i="20"/>
  <c r="P454" i="20"/>
  <c r="P453" i="20"/>
  <c r="P452" i="20"/>
  <c r="P451" i="20"/>
  <c r="P450" i="20"/>
  <c r="P449" i="20"/>
  <c r="P448" i="20"/>
  <c r="P447" i="20"/>
  <c r="P446" i="20"/>
  <c r="P445" i="20"/>
  <c r="P444" i="20"/>
  <c r="P443" i="20"/>
  <c r="P442" i="20"/>
  <c r="P441" i="20"/>
  <c r="P440" i="20"/>
  <c r="P439" i="20"/>
  <c r="P438" i="20"/>
  <c r="P437" i="20"/>
  <c r="P436" i="20"/>
  <c r="P435" i="20"/>
  <c r="P434" i="20"/>
  <c r="P433" i="20"/>
  <c r="P432" i="20"/>
  <c r="P431" i="20"/>
  <c r="P430" i="20"/>
  <c r="P429" i="20"/>
  <c r="P428" i="20"/>
  <c r="P427" i="20"/>
  <c r="P426" i="20"/>
  <c r="P425" i="20"/>
  <c r="P424" i="20"/>
  <c r="P423" i="20"/>
  <c r="P422" i="20"/>
  <c r="P421" i="20"/>
  <c r="P420" i="20"/>
  <c r="P419" i="20"/>
  <c r="P418" i="20"/>
  <c r="P417" i="20"/>
  <c r="P416" i="20"/>
  <c r="P415" i="20"/>
  <c r="P414" i="20"/>
  <c r="P413" i="20"/>
  <c r="P412" i="20"/>
  <c r="P411" i="20"/>
  <c r="P410" i="20"/>
  <c r="P409" i="20"/>
  <c r="P408" i="20"/>
  <c r="P407" i="20"/>
  <c r="P406" i="20"/>
  <c r="P405" i="20"/>
  <c r="P404" i="20"/>
  <c r="P403" i="20"/>
  <c r="P402" i="20"/>
  <c r="P401" i="20"/>
  <c r="P400" i="20"/>
  <c r="P399" i="20"/>
  <c r="P398" i="20"/>
  <c r="P397" i="20"/>
  <c r="P396" i="20"/>
  <c r="P395" i="20"/>
  <c r="P394" i="20"/>
  <c r="P393" i="20"/>
  <c r="P392" i="20"/>
  <c r="P391" i="20"/>
  <c r="P390" i="20"/>
  <c r="P389" i="20"/>
  <c r="P388" i="20"/>
  <c r="P387" i="20"/>
  <c r="P386" i="20"/>
  <c r="P385" i="20"/>
  <c r="P384" i="20"/>
  <c r="P383" i="20"/>
  <c r="P382" i="20"/>
  <c r="P381" i="20"/>
  <c r="P380" i="20"/>
  <c r="P379" i="20"/>
  <c r="P378" i="20"/>
  <c r="P377" i="20"/>
  <c r="P376" i="20"/>
  <c r="P375" i="20"/>
  <c r="P374" i="20"/>
  <c r="P373" i="20"/>
  <c r="P372" i="20"/>
  <c r="P371" i="20"/>
  <c r="P370" i="20"/>
  <c r="P369" i="20"/>
  <c r="P368" i="20"/>
  <c r="P367" i="20"/>
  <c r="P366" i="20"/>
  <c r="P365" i="20"/>
  <c r="P364" i="20"/>
  <c r="P363" i="20"/>
  <c r="P362" i="20"/>
  <c r="P361" i="20"/>
  <c r="P360" i="20"/>
  <c r="P359" i="20"/>
  <c r="P358" i="20"/>
  <c r="P357" i="20"/>
  <c r="P356" i="20"/>
  <c r="P355" i="20"/>
  <c r="P354" i="20"/>
  <c r="P353" i="20"/>
  <c r="P352" i="20"/>
  <c r="P351" i="20"/>
  <c r="P350" i="20"/>
  <c r="P349" i="20"/>
  <c r="P348" i="20"/>
  <c r="P347" i="20"/>
  <c r="P346" i="20"/>
  <c r="P345" i="20"/>
  <c r="P344" i="20"/>
  <c r="P343" i="20"/>
  <c r="P342" i="20"/>
  <c r="P341" i="20"/>
  <c r="P340" i="20"/>
  <c r="P339" i="20"/>
  <c r="P338" i="20"/>
  <c r="P337" i="20"/>
  <c r="P336" i="20"/>
  <c r="P335" i="20"/>
  <c r="P334" i="20"/>
  <c r="P333" i="20"/>
  <c r="P332" i="20"/>
  <c r="P331" i="20"/>
  <c r="P330" i="20"/>
  <c r="P329" i="20"/>
  <c r="P328" i="20"/>
  <c r="P327" i="20"/>
  <c r="P326" i="20"/>
  <c r="P325" i="20"/>
  <c r="P324" i="20"/>
  <c r="P323" i="20"/>
  <c r="P322" i="20"/>
  <c r="P321" i="20"/>
  <c r="P320" i="20"/>
  <c r="P319" i="20"/>
  <c r="P318" i="20"/>
  <c r="P317" i="20"/>
  <c r="P316" i="20"/>
  <c r="P315" i="20"/>
  <c r="P314" i="20"/>
  <c r="P313" i="20"/>
  <c r="P312" i="20"/>
  <c r="P311" i="20"/>
  <c r="P310" i="20"/>
  <c r="P309" i="20"/>
  <c r="P308" i="20"/>
  <c r="P307" i="20"/>
  <c r="P306" i="20"/>
  <c r="P305" i="20"/>
  <c r="P304" i="20"/>
  <c r="P303" i="20"/>
  <c r="P302" i="20"/>
  <c r="P301" i="20"/>
  <c r="P300" i="20"/>
  <c r="P299" i="20"/>
  <c r="P298" i="20"/>
  <c r="P297" i="20"/>
  <c r="P296" i="20"/>
  <c r="P295" i="20"/>
  <c r="P294" i="20"/>
  <c r="P293" i="20"/>
  <c r="P292" i="20"/>
  <c r="P291" i="20"/>
  <c r="P290" i="20"/>
  <c r="P289" i="20"/>
  <c r="P288" i="20"/>
  <c r="P287" i="20"/>
  <c r="P286" i="20"/>
  <c r="P285" i="20"/>
  <c r="P284" i="20"/>
  <c r="P283" i="20"/>
  <c r="P282" i="20"/>
  <c r="P281" i="20"/>
  <c r="P280" i="20"/>
  <c r="P279" i="20"/>
  <c r="P278" i="20"/>
  <c r="P277" i="20"/>
  <c r="P276" i="20"/>
  <c r="P275" i="20"/>
  <c r="P274" i="20"/>
  <c r="P273" i="20"/>
  <c r="P272" i="20"/>
  <c r="P271" i="20"/>
  <c r="P270" i="20"/>
  <c r="P269" i="20"/>
  <c r="P268" i="20"/>
  <c r="P267" i="20"/>
  <c r="P266" i="20"/>
  <c r="P265" i="20"/>
  <c r="P264" i="20"/>
  <c r="P263" i="20"/>
  <c r="P262" i="20"/>
  <c r="P261" i="20"/>
  <c r="P260" i="20"/>
  <c r="P259" i="20"/>
  <c r="P258" i="20"/>
  <c r="P257" i="20"/>
  <c r="P256" i="20"/>
  <c r="P255" i="20"/>
  <c r="P254" i="20"/>
  <c r="P253" i="20"/>
  <c r="P252" i="20"/>
  <c r="P251" i="20"/>
  <c r="P250" i="20"/>
  <c r="P249" i="20"/>
  <c r="P248" i="20"/>
  <c r="P247" i="20"/>
  <c r="P246" i="20"/>
  <c r="P245" i="20"/>
  <c r="P244" i="20"/>
  <c r="P243" i="20"/>
  <c r="P242" i="20"/>
  <c r="P241" i="20"/>
  <c r="P240" i="20"/>
  <c r="P239" i="20"/>
  <c r="P238" i="20"/>
  <c r="P237" i="20"/>
  <c r="P236" i="20"/>
  <c r="P235" i="20"/>
  <c r="P234" i="20"/>
  <c r="P233" i="20"/>
  <c r="P232" i="20"/>
  <c r="P231" i="20"/>
  <c r="P230" i="20"/>
  <c r="P229" i="20"/>
  <c r="P228" i="20"/>
  <c r="P227" i="20"/>
  <c r="P226" i="20"/>
  <c r="P225" i="20"/>
  <c r="P224" i="20"/>
  <c r="P223" i="20"/>
  <c r="P222" i="20"/>
  <c r="P221" i="20"/>
  <c r="P220" i="20"/>
  <c r="P219" i="20"/>
  <c r="P218" i="20"/>
  <c r="P217" i="20"/>
  <c r="P216" i="20"/>
  <c r="P215" i="20"/>
  <c r="P214" i="20"/>
  <c r="P213" i="20"/>
  <c r="P212" i="20"/>
  <c r="P211" i="20"/>
  <c r="P210" i="20"/>
  <c r="P209" i="20"/>
  <c r="P208" i="20"/>
  <c r="P207" i="20"/>
  <c r="P206" i="20"/>
  <c r="P205" i="20"/>
  <c r="P204" i="20"/>
  <c r="P203" i="20"/>
  <c r="P202" i="20"/>
  <c r="P201" i="20"/>
  <c r="P200" i="20"/>
  <c r="P199" i="20"/>
  <c r="P198" i="20"/>
  <c r="P197" i="20"/>
  <c r="P196" i="20"/>
  <c r="P195" i="20"/>
  <c r="P194" i="20"/>
  <c r="P193" i="20"/>
  <c r="P192" i="20"/>
  <c r="P191" i="20"/>
  <c r="P190" i="20"/>
  <c r="P189" i="20"/>
  <c r="P188" i="20"/>
  <c r="P187" i="20"/>
  <c r="P186" i="20"/>
  <c r="P185" i="20"/>
  <c r="P184" i="20"/>
  <c r="P183" i="20"/>
  <c r="P182" i="20"/>
  <c r="P181" i="20"/>
  <c r="P180" i="20"/>
  <c r="P179" i="20"/>
  <c r="P178" i="20"/>
  <c r="P177" i="20"/>
  <c r="P176" i="20"/>
  <c r="P175" i="20"/>
  <c r="P174" i="20"/>
  <c r="P173" i="20"/>
  <c r="P172" i="20"/>
  <c r="P171" i="20"/>
  <c r="P170" i="20"/>
  <c r="P169" i="20"/>
  <c r="P168" i="20"/>
  <c r="P167" i="20"/>
  <c r="P166" i="20"/>
  <c r="P165" i="20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4" i="20"/>
  <c r="P143" i="20"/>
  <c r="P142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21" i="20"/>
  <c r="P120" i="20"/>
  <c r="P119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97" i="20"/>
  <c r="P96" i="20"/>
  <c r="P95" i="20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70" i="20"/>
  <c r="P69" i="20"/>
  <c r="P68" i="20"/>
  <c r="P67" i="20"/>
  <c r="P66" i="20"/>
  <c r="P65" i="20"/>
  <c r="P64" i="20"/>
  <c r="P63" i="20"/>
  <c r="P62" i="20"/>
  <c r="P61" i="20"/>
  <c r="P60" i="20"/>
  <c r="P59" i="20"/>
  <c r="P58" i="20"/>
  <c r="P57" i="20"/>
  <c r="P56" i="20"/>
  <c r="P55" i="20"/>
  <c r="P54" i="20"/>
  <c r="P53" i="20"/>
  <c r="P52" i="20"/>
  <c r="P51" i="20"/>
  <c r="P50" i="20"/>
  <c r="P49" i="20"/>
  <c r="P48" i="20"/>
  <c r="P47" i="20"/>
  <c r="P46" i="20"/>
  <c r="P45" i="20"/>
  <c r="P44" i="20"/>
  <c r="P43" i="20"/>
  <c r="P42" i="20"/>
  <c r="P41" i="20"/>
  <c r="P40" i="20"/>
  <c r="P39" i="20"/>
  <c r="P38" i="20"/>
  <c r="P37" i="20"/>
  <c r="P36" i="20"/>
  <c r="P35" i="20"/>
  <c r="P34" i="20"/>
  <c r="P33" i="20"/>
  <c r="P32" i="20"/>
  <c r="P31" i="20"/>
  <c r="P30" i="20"/>
  <c r="P29" i="20"/>
  <c r="P28" i="20"/>
  <c r="P27" i="20"/>
  <c r="P26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9" i="20"/>
  <c r="P8" i="20"/>
  <c r="P7" i="20"/>
  <c r="P6" i="20"/>
  <c r="P5" i="20"/>
  <c r="P4" i="20"/>
  <c r="P3" i="20"/>
  <c r="P2" i="20"/>
  <c r="H59" i="11" l="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N1255" i="20"/>
  <c r="M1255" i="20"/>
  <c r="L1255" i="20"/>
  <c r="N1254" i="20"/>
  <c r="M1254" i="20"/>
  <c r="L1254" i="20"/>
  <c r="N1253" i="20"/>
  <c r="M1253" i="20"/>
  <c r="L1253" i="20"/>
  <c r="N1252" i="20"/>
  <c r="M1252" i="20"/>
  <c r="L1252" i="20"/>
  <c r="N1251" i="20"/>
  <c r="M1251" i="20"/>
  <c r="L1251" i="20"/>
  <c r="N1250" i="20"/>
  <c r="M1250" i="20"/>
  <c r="L1250" i="20"/>
  <c r="N1249" i="20"/>
  <c r="M1249" i="20"/>
  <c r="L1249" i="20"/>
  <c r="N1248" i="20"/>
  <c r="M1248" i="20"/>
  <c r="L1248" i="20"/>
  <c r="N1247" i="20"/>
  <c r="M1247" i="20"/>
  <c r="L1247" i="20"/>
  <c r="N1246" i="20"/>
  <c r="M1246" i="20"/>
  <c r="L1246" i="20"/>
  <c r="N1245" i="20"/>
  <c r="M1245" i="20"/>
  <c r="L1245" i="20"/>
  <c r="N1244" i="20"/>
  <c r="M1244" i="20"/>
  <c r="L1244" i="20"/>
  <c r="N1243" i="20"/>
  <c r="M1243" i="20"/>
  <c r="L1243" i="20"/>
  <c r="N1242" i="20"/>
  <c r="M1242" i="20"/>
  <c r="L1242" i="20"/>
  <c r="N1241" i="20"/>
  <c r="M1241" i="20"/>
  <c r="L1241" i="20"/>
  <c r="N1240" i="20"/>
  <c r="M1240" i="20"/>
  <c r="L1240" i="20"/>
  <c r="N1239" i="20"/>
  <c r="M1239" i="20"/>
  <c r="L1239" i="20"/>
  <c r="N1238" i="20"/>
  <c r="M1238" i="20"/>
  <c r="L1238" i="20"/>
  <c r="N1237" i="20"/>
  <c r="M1237" i="20"/>
  <c r="L1237" i="20"/>
  <c r="N1236" i="20"/>
  <c r="M1236" i="20"/>
  <c r="L1236" i="20"/>
  <c r="N1235" i="20"/>
  <c r="M1235" i="20"/>
  <c r="L1235" i="20"/>
  <c r="N1234" i="20"/>
  <c r="M1234" i="20"/>
  <c r="L1234" i="20"/>
  <c r="N1233" i="20"/>
  <c r="M1233" i="20"/>
  <c r="L1233" i="20"/>
  <c r="N1232" i="20"/>
  <c r="M1232" i="20"/>
  <c r="L1232" i="20"/>
  <c r="N1231" i="20"/>
  <c r="M1231" i="20"/>
  <c r="L1231" i="20"/>
  <c r="N1230" i="20"/>
  <c r="M1230" i="20"/>
  <c r="L1230" i="20"/>
  <c r="N1229" i="20"/>
  <c r="M1229" i="20"/>
  <c r="L1229" i="20"/>
  <c r="N1228" i="20"/>
  <c r="M1228" i="20"/>
  <c r="L1228" i="20"/>
  <c r="N1227" i="20"/>
  <c r="M1227" i="20"/>
  <c r="L1227" i="20"/>
  <c r="N1226" i="20"/>
  <c r="M1226" i="20"/>
  <c r="L1226" i="20"/>
  <c r="N1225" i="20"/>
  <c r="M1225" i="20"/>
  <c r="L1225" i="20"/>
  <c r="N1224" i="20"/>
  <c r="M1224" i="20"/>
  <c r="L1224" i="20"/>
  <c r="N1223" i="20"/>
  <c r="M1223" i="20"/>
  <c r="L1223" i="20"/>
  <c r="N1222" i="20"/>
  <c r="M1222" i="20"/>
  <c r="L1222" i="20"/>
  <c r="N1221" i="20"/>
  <c r="M1221" i="20"/>
  <c r="L1221" i="20"/>
  <c r="N1220" i="20"/>
  <c r="M1220" i="20"/>
  <c r="L1220" i="20"/>
  <c r="N1219" i="20"/>
  <c r="M1219" i="20"/>
  <c r="L1219" i="20"/>
  <c r="N1218" i="20"/>
  <c r="M1218" i="20"/>
  <c r="L1218" i="20"/>
  <c r="N1217" i="20"/>
  <c r="M1217" i="20"/>
  <c r="L1217" i="20"/>
  <c r="N1216" i="20"/>
  <c r="M1216" i="20"/>
  <c r="L1216" i="20"/>
  <c r="N1215" i="20"/>
  <c r="M1215" i="20"/>
  <c r="L1215" i="20"/>
  <c r="N1214" i="20"/>
  <c r="M1214" i="20"/>
  <c r="L1214" i="20"/>
  <c r="N1213" i="20"/>
  <c r="M1213" i="20"/>
  <c r="L1213" i="20"/>
  <c r="N1212" i="20"/>
  <c r="M1212" i="20"/>
  <c r="L1212" i="20"/>
  <c r="N1211" i="20"/>
  <c r="M1211" i="20"/>
  <c r="L1211" i="20"/>
  <c r="N1210" i="20"/>
  <c r="M1210" i="20"/>
  <c r="L1210" i="20"/>
  <c r="N1209" i="20"/>
  <c r="M1209" i="20"/>
  <c r="L1209" i="20"/>
  <c r="N1208" i="20"/>
  <c r="M1208" i="20"/>
  <c r="L1208" i="20"/>
  <c r="N1207" i="20"/>
  <c r="M1207" i="20"/>
  <c r="L1207" i="20"/>
  <c r="N1206" i="20"/>
  <c r="M1206" i="20"/>
  <c r="L1206" i="20"/>
  <c r="N1205" i="20"/>
  <c r="M1205" i="20"/>
  <c r="L1205" i="20"/>
  <c r="N1204" i="20"/>
  <c r="M1204" i="20"/>
  <c r="L1204" i="20"/>
  <c r="N1203" i="20"/>
  <c r="M1203" i="20"/>
  <c r="L1203" i="20"/>
  <c r="N1202" i="20"/>
  <c r="M1202" i="20"/>
  <c r="L1202" i="20"/>
  <c r="N1201" i="20"/>
  <c r="M1201" i="20"/>
  <c r="L1201" i="20"/>
  <c r="N1200" i="20"/>
  <c r="M1200" i="20"/>
  <c r="L1200" i="20"/>
  <c r="N1199" i="20"/>
  <c r="M1199" i="20"/>
  <c r="L1199" i="20"/>
  <c r="N1198" i="20"/>
  <c r="M1198" i="20"/>
  <c r="L1198" i="20"/>
  <c r="N1197" i="20"/>
  <c r="M1197" i="20"/>
  <c r="L1197" i="20"/>
  <c r="N1196" i="20"/>
  <c r="M1196" i="20"/>
  <c r="L1196" i="20"/>
  <c r="N1195" i="20"/>
  <c r="M1195" i="20"/>
  <c r="L1195" i="20"/>
  <c r="N1194" i="20"/>
  <c r="M1194" i="20"/>
  <c r="L1194" i="20"/>
  <c r="N1193" i="20"/>
  <c r="M1193" i="20"/>
  <c r="L1193" i="20"/>
  <c r="N1192" i="20"/>
  <c r="M1192" i="20"/>
  <c r="L1192" i="20"/>
  <c r="N1191" i="20"/>
  <c r="M1191" i="20"/>
  <c r="L1191" i="20"/>
  <c r="N1190" i="20"/>
  <c r="M1190" i="20"/>
  <c r="L1190" i="20"/>
  <c r="N1189" i="20"/>
  <c r="M1189" i="20"/>
  <c r="L1189" i="20"/>
  <c r="N1188" i="20"/>
  <c r="M1188" i="20"/>
  <c r="L1188" i="20"/>
  <c r="N1187" i="20"/>
  <c r="M1187" i="20"/>
  <c r="L1187" i="20"/>
  <c r="N1186" i="20"/>
  <c r="M1186" i="20"/>
  <c r="L1186" i="20"/>
  <c r="N1185" i="20"/>
  <c r="M1185" i="20"/>
  <c r="L1185" i="20"/>
  <c r="N1184" i="20"/>
  <c r="M1184" i="20"/>
  <c r="L1184" i="20"/>
  <c r="N1183" i="20"/>
  <c r="M1183" i="20"/>
  <c r="L1183" i="20"/>
  <c r="N1182" i="20"/>
  <c r="M1182" i="20"/>
  <c r="L1182" i="20"/>
  <c r="N1181" i="20"/>
  <c r="M1181" i="20"/>
  <c r="L1181" i="20"/>
  <c r="N1180" i="20"/>
  <c r="M1180" i="20"/>
  <c r="L1180" i="20"/>
  <c r="N1179" i="20"/>
  <c r="M1179" i="20"/>
  <c r="L1179" i="20"/>
  <c r="N1178" i="20"/>
  <c r="M1178" i="20"/>
  <c r="L1178" i="20"/>
  <c r="N1177" i="20"/>
  <c r="M1177" i="20"/>
  <c r="L1177" i="20"/>
  <c r="N1176" i="20"/>
  <c r="M1176" i="20"/>
  <c r="L1176" i="20"/>
  <c r="N1175" i="20"/>
  <c r="M1175" i="20"/>
  <c r="L1175" i="20"/>
  <c r="N1174" i="20"/>
  <c r="M1174" i="20"/>
  <c r="L1174" i="20"/>
  <c r="N1173" i="20"/>
  <c r="M1173" i="20"/>
  <c r="L1173" i="20"/>
  <c r="N1172" i="20"/>
  <c r="M1172" i="20"/>
  <c r="L1172" i="20"/>
  <c r="N1171" i="20"/>
  <c r="M1171" i="20"/>
  <c r="L1171" i="20"/>
  <c r="N1170" i="20"/>
  <c r="M1170" i="20"/>
  <c r="L1170" i="20"/>
  <c r="N1169" i="20"/>
  <c r="M1169" i="20"/>
  <c r="L1169" i="20"/>
  <c r="N1168" i="20"/>
  <c r="M1168" i="20"/>
  <c r="L1168" i="20"/>
  <c r="N1167" i="20"/>
  <c r="M1167" i="20"/>
  <c r="L1167" i="20"/>
  <c r="N1166" i="20"/>
  <c r="M1166" i="20"/>
  <c r="L1166" i="20"/>
  <c r="N1165" i="20"/>
  <c r="M1165" i="20"/>
  <c r="L1165" i="20"/>
  <c r="N1164" i="20"/>
  <c r="M1164" i="20"/>
  <c r="L1164" i="20"/>
  <c r="N1163" i="20"/>
  <c r="M1163" i="20"/>
  <c r="L1163" i="20"/>
  <c r="N1162" i="20"/>
  <c r="M1162" i="20"/>
  <c r="L1162" i="20"/>
  <c r="N1161" i="20"/>
  <c r="M1161" i="20"/>
  <c r="L1161" i="20"/>
  <c r="N1160" i="20"/>
  <c r="M1160" i="20"/>
  <c r="L1160" i="20"/>
  <c r="N1159" i="20"/>
  <c r="M1159" i="20"/>
  <c r="L1159" i="20"/>
  <c r="N1158" i="20"/>
  <c r="M1158" i="20"/>
  <c r="L1158" i="20"/>
  <c r="N1157" i="20"/>
  <c r="M1157" i="20"/>
  <c r="L1157" i="20"/>
  <c r="N1156" i="20"/>
  <c r="M1156" i="20"/>
  <c r="L1156" i="20"/>
  <c r="N1155" i="20"/>
  <c r="M1155" i="20"/>
  <c r="L1155" i="20"/>
  <c r="N1154" i="20"/>
  <c r="M1154" i="20"/>
  <c r="L1154" i="20"/>
  <c r="N1153" i="20"/>
  <c r="M1153" i="20"/>
  <c r="L1153" i="20"/>
  <c r="N1152" i="20"/>
  <c r="M1152" i="20"/>
  <c r="L1152" i="20"/>
  <c r="N1151" i="20"/>
  <c r="M1151" i="20"/>
  <c r="L1151" i="20"/>
  <c r="N1150" i="20"/>
  <c r="M1150" i="20"/>
  <c r="L1150" i="20"/>
  <c r="N1149" i="20"/>
  <c r="M1149" i="20"/>
  <c r="L1149" i="20"/>
  <c r="N1148" i="20"/>
  <c r="M1148" i="20"/>
  <c r="L1148" i="20"/>
  <c r="N1147" i="20"/>
  <c r="M1147" i="20"/>
  <c r="L1147" i="20"/>
  <c r="N1146" i="20"/>
  <c r="M1146" i="20"/>
  <c r="L1146" i="20"/>
  <c r="N1145" i="20"/>
  <c r="M1145" i="20"/>
  <c r="L1145" i="20"/>
  <c r="N1144" i="20"/>
  <c r="M1144" i="20"/>
  <c r="L1144" i="20"/>
  <c r="N1143" i="20"/>
  <c r="M1143" i="20"/>
  <c r="L1143" i="20"/>
  <c r="N1142" i="20"/>
  <c r="M1142" i="20"/>
  <c r="L1142" i="20"/>
  <c r="N1141" i="20"/>
  <c r="M1141" i="20"/>
  <c r="L1141" i="20"/>
  <c r="N1140" i="20"/>
  <c r="M1140" i="20"/>
  <c r="L1140" i="20"/>
  <c r="N1139" i="20"/>
  <c r="M1139" i="20"/>
  <c r="L1139" i="20"/>
  <c r="N1138" i="20"/>
  <c r="M1138" i="20"/>
  <c r="L1138" i="20"/>
  <c r="N1137" i="20"/>
  <c r="M1137" i="20"/>
  <c r="L1137" i="20"/>
  <c r="N1136" i="20"/>
  <c r="M1136" i="20"/>
  <c r="L1136" i="20"/>
  <c r="N1135" i="20"/>
  <c r="M1135" i="20"/>
  <c r="L1135" i="20"/>
  <c r="N1134" i="20"/>
  <c r="M1134" i="20"/>
  <c r="L1134" i="20"/>
  <c r="N1133" i="20"/>
  <c r="M1133" i="20"/>
  <c r="L1133" i="20"/>
  <c r="N1132" i="20"/>
  <c r="M1132" i="20"/>
  <c r="L1132" i="20"/>
  <c r="N1131" i="20"/>
  <c r="M1131" i="20"/>
  <c r="L1131" i="20"/>
  <c r="N1130" i="20"/>
  <c r="M1130" i="20"/>
  <c r="L1130" i="20"/>
  <c r="N1129" i="20"/>
  <c r="M1129" i="20"/>
  <c r="L1129" i="20"/>
  <c r="N1128" i="20"/>
  <c r="M1128" i="20"/>
  <c r="L1128" i="20"/>
  <c r="N1127" i="20"/>
  <c r="M1127" i="20"/>
  <c r="L1127" i="20"/>
  <c r="N1126" i="20"/>
  <c r="M1126" i="20"/>
  <c r="L1126" i="20"/>
  <c r="N1125" i="20"/>
  <c r="M1125" i="20"/>
  <c r="L1125" i="20"/>
  <c r="N1124" i="20"/>
  <c r="M1124" i="20"/>
  <c r="L1124" i="20"/>
  <c r="N1123" i="20"/>
  <c r="M1123" i="20"/>
  <c r="L1123" i="20"/>
  <c r="N1122" i="20"/>
  <c r="M1122" i="20"/>
  <c r="L1122" i="20"/>
  <c r="N1121" i="20"/>
  <c r="M1121" i="20"/>
  <c r="L1121" i="20"/>
  <c r="N1120" i="20"/>
  <c r="M1120" i="20"/>
  <c r="L1120" i="20"/>
  <c r="N1119" i="20"/>
  <c r="M1119" i="20"/>
  <c r="L1119" i="20"/>
  <c r="N1118" i="20"/>
  <c r="M1118" i="20"/>
  <c r="L1118" i="20"/>
  <c r="N1117" i="20"/>
  <c r="M1117" i="20"/>
  <c r="L1117" i="20"/>
  <c r="N1116" i="20"/>
  <c r="M1116" i="20"/>
  <c r="L1116" i="20"/>
  <c r="N1115" i="20"/>
  <c r="M1115" i="20"/>
  <c r="L1115" i="20"/>
  <c r="N1114" i="20"/>
  <c r="M1114" i="20"/>
  <c r="L1114" i="20"/>
  <c r="N1113" i="20"/>
  <c r="M1113" i="20"/>
  <c r="L1113" i="20"/>
  <c r="N1112" i="20"/>
  <c r="M1112" i="20"/>
  <c r="L1112" i="20"/>
  <c r="N1111" i="20"/>
  <c r="M1111" i="20"/>
  <c r="L1111" i="20"/>
  <c r="N1110" i="20"/>
  <c r="M1110" i="20"/>
  <c r="L1110" i="20"/>
  <c r="N1109" i="20"/>
  <c r="M1109" i="20"/>
  <c r="L1109" i="20"/>
  <c r="N1108" i="20"/>
  <c r="M1108" i="20"/>
  <c r="L1108" i="20"/>
  <c r="N1107" i="20"/>
  <c r="M1107" i="20"/>
  <c r="L1107" i="20"/>
  <c r="N1106" i="20"/>
  <c r="M1106" i="20"/>
  <c r="L1106" i="20"/>
  <c r="N1105" i="20"/>
  <c r="M1105" i="20"/>
  <c r="L1105" i="20"/>
  <c r="N1104" i="20"/>
  <c r="M1104" i="20"/>
  <c r="L1104" i="20"/>
  <c r="N1103" i="20"/>
  <c r="M1103" i="20"/>
  <c r="L1103" i="20"/>
  <c r="N1102" i="20"/>
  <c r="M1102" i="20"/>
  <c r="L1102" i="20"/>
  <c r="N1101" i="20"/>
  <c r="M1101" i="20"/>
  <c r="L1101" i="20"/>
  <c r="N1100" i="20"/>
  <c r="M1100" i="20"/>
  <c r="L1100" i="20"/>
  <c r="N1099" i="20"/>
  <c r="M1099" i="20"/>
  <c r="L1099" i="20"/>
  <c r="N1098" i="20"/>
  <c r="M1098" i="20"/>
  <c r="L1098" i="20"/>
  <c r="N1097" i="20"/>
  <c r="M1097" i="20"/>
  <c r="L1097" i="20"/>
  <c r="N1096" i="20"/>
  <c r="M1096" i="20"/>
  <c r="L1096" i="20"/>
  <c r="N1095" i="20"/>
  <c r="M1095" i="20"/>
  <c r="L1095" i="20"/>
  <c r="N1094" i="20"/>
  <c r="M1094" i="20"/>
  <c r="L1094" i="20"/>
  <c r="N1093" i="20"/>
  <c r="M1093" i="20"/>
  <c r="L1093" i="20"/>
  <c r="N1092" i="20"/>
  <c r="M1092" i="20"/>
  <c r="L1092" i="20"/>
  <c r="N1091" i="20"/>
  <c r="M1091" i="20"/>
  <c r="L1091" i="20"/>
  <c r="N1090" i="20"/>
  <c r="M1090" i="20"/>
  <c r="L1090" i="20"/>
  <c r="N1089" i="20"/>
  <c r="M1089" i="20"/>
  <c r="L1089" i="20"/>
  <c r="N1088" i="20"/>
  <c r="M1088" i="20"/>
  <c r="L1088" i="20"/>
  <c r="N1087" i="20"/>
  <c r="M1087" i="20"/>
  <c r="L1087" i="20"/>
  <c r="N1086" i="20"/>
  <c r="M1086" i="20"/>
  <c r="L1086" i="20"/>
  <c r="N1085" i="20"/>
  <c r="M1085" i="20"/>
  <c r="L1085" i="20"/>
  <c r="N1084" i="20"/>
  <c r="M1084" i="20"/>
  <c r="L1084" i="20"/>
  <c r="N1083" i="20"/>
  <c r="M1083" i="20"/>
  <c r="L1083" i="20"/>
  <c r="N1082" i="20"/>
  <c r="M1082" i="20"/>
  <c r="L1082" i="20"/>
  <c r="N1081" i="20"/>
  <c r="M1081" i="20"/>
  <c r="L1081" i="20"/>
  <c r="N1080" i="20"/>
  <c r="M1080" i="20"/>
  <c r="L1080" i="20"/>
  <c r="N1079" i="20"/>
  <c r="M1079" i="20"/>
  <c r="L1079" i="20"/>
  <c r="N1078" i="20"/>
  <c r="M1078" i="20"/>
  <c r="L1078" i="20"/>
  <c r="N1077" i="20"/>
  <c r="M1077" i="20"/>
  <c r="L1077" i="20"/>
  <c r="N1076" i="20"/>
  <c r="M1076" i="20"/>
  <c r="L1076" i="20"/>
  <c r="N1075" i="20"/>
  <c r="M1075" i="20"/>
  <c r="L1075" i="20"/>
  <c r="N1074" i="20"/>
  <c r="M1074" i="20"/>
  <c r="L1074" i="20"/>
  <c r="N1073" i="20"/>
  <c r="M1073" i="20"/>
  <c r="L1073" i="20"/>
  <c r="N1072" i="20"/>
  <c r="M1072" i="20"/>
  <c r="L1072" i="20"/>
  <c r="N1071" i="20"/>
  <c r="M1071" i="20"/>
  <c r="L1071" i="20"/>
  <c r="N1070" i="20"/>
  <c r="M1070" i="20"/>
  <c r="L1070" i="20"/>
  <c r="N1069" i="20"/>
  <c r="M1069" i="20"/>
  <c r="L1069" i="20"/>
  <c r="N1068" i="20"/>
  <c r="M1068" i="20"/>
  <c r="L1068" i="20"/>
  <c r="N1067" i="20"/>
  <c r="M1067" i="20"/>
  <c r="L1067" i="20"/>
  <c r="N1066" i="20"/>
  <c r="M1066" i="20"/>
  <c r="L1066" i="20"/>
  <c r="N1065" i="20"/>
  <c r="M1065" i="20"/>
  <c r="L1065" i="20"/>
  <c r="N1064" i="20"/>
  <c r="M1064" i="20"/>
  <c r="L1064" i="20"/>
  <c r="N1063" i="20"/>
  <c r="M1063" i="20"/>
  <c r="L1063" i="20"/>
  <c r="N1062" i="20"/>
  <c r="M1062" i="20"/>
  <c r="L1062" i="20"/>
  <c r="N1061" i="20"/>
  <c r="M1061" i="20"/>
  <c r="L1061" i="20"/>
  <c r="N1060" i="20"/>
  <c r="M1060" i="20"/>
  <c r="L1060" i="20"/>
  <c r="N1059" i="20"/>
  <c r="M1059" i="20"/>
  <c r="L1059" i="20"/>
  <c r="N1058" i="20"/>
  <c r="M1058" i="20"/>
  <c r="L1058" i="20"/>
  <c r="N1057" i="20"/>
  <c r="M1057" i="20"/>
  <c r="L1057" i="20"/>
  <c r="N1056" i="20"/>
  <c r="M1056" i="20"/>
  <c r="L1056" i="20"/>
  <c r="N1055" i="20"/>
  <c r="M1055" i="20"/>
  <c r="L1055" i="20"/>
  <c r="N1054" i="20"/>
  <c r="M1054" i="20"/>
  <c r="L1054" i="20"/>
  <c r="N1053" i="20"/>
  <c r="M1053" i="20"/>
  <c r="L1053" i="20"/>
  <c r="N1052" i="20"/>
  <c r="M1052" i="20"/>
  <c r="L1052" i="20"/>
  <c r="N1051" i="20"/>
  <c r="M1051" i="20"/>
  <c r="L1051" i="20"/>
  <c r="N1050" i="20"/>
  <c r="M1050" i="20"/>
  <c r="L1050" i="20"/>
  <c r="N1049" i="20"/>
  <c r="M1049" i="20"/>
  <c r="L1049" i="20"/>
  <c r="N1048" i="20"/>
  <c r="M1048" i="20"/>
  <c r="L1048" i="20"/>
  <c r="N1047" i="20"/>
  <c r="M1047" i="20"/>
  <c r="L1047" i="20"/>
  <c r="N1046" i="20"/>
  <c r="M1046" i="20"/>
  <c r="L1046" i="20"/>
  <c r="N1045" i="20"/>
  <c r="M1045" i="20"/>
  <c r="L1045" i="20"/>
  <c r="N1044" i="20"/>
  <c r="M1044" i="20"/>
  <c r="L1044" i="20"/>
  <c r="N1043" i="20"/>
  <c r="M1043" i="20"/>
  <c r="L1043" i="20"/>
  <c r="N1042" i="20"/>
  <c r="M1042" i="20"/>
  <c r="L1042" i="20"/>
  <c r="N1041" i="20"/>
  <c r="M1041" i="20"/>
  <c r="L1041" i="20"/>
  <c r="N1040" i="20"/>
  <c r="M1040" i="20"/>
  <c r="L1040" i="20"/>
  <c r="N1039" i="20"/>
  <c r="M1039" i="20"/>
  <c r="L1039" i="20"/>
  <c r="N1038" i="20"/>
  <c r="M1038" i="20"/>
  <c r="L1038" i="20"/>
  <c r="N1037" i="20"/>
  <c r="M1037" i="20"/>
  <c r="L1037" i="20"/>
  <c r="N1036" i="20"/>
  <c r="M1036" i="20"/>
  <c r="L1036" i="20"/>
  <c r="N1035" i="20"/>
  <c r="M1035" i="20"/>
  <c r="L1035" i="20"/>
  <c r="N1034" i="20"/>
  <c r="M1034" i="20"/>
  <c r="L1034" i="20"/>
  <c r="N1033" i="20"/>
  <c r="M1033" i="20"/>
  <c r="L1033" i="20"/>
  <c r="N1032" i="20"/>
  <c r="M1032" i="20"/>
  <c r="L1032" i="20"/>
  <c r="N1031" i="20"/>
  <c r="M1031" i="20"/>
  <c r="L1031" i="20"/>
  <c r="N1030" i="20"/>
  <c r="M1030" i="20"/>
  <c r="L1030" i="20"/>
  <c r="N1029" i="20"/>
  <c r="M1029" i="20"/>
  <c r="L1029" i="20"/>
  <c r="N1028" i="20"/>
  <c r="M1028" i="20"/>
  <c r="L1028" i="20"/>
  <c r="F59" i="24" l="1"/>
  <c r="H59" i="24" s="1"/>
  <c r="D59" i="24"/>
  <c r="H58" i="24"/>
  <c r="F58" i="24"/>
  <c r="D58" i="24"/>
  <c r="F57" i="24"/>
  <c r="H57" i="24" s="1"/>
  <c r="D57" i="24"/>
  <c r="F56" i="24"/>
  <c r="H56" i="24" s="1"/>
  <c r="D56" i="24"/>
  <c r="F55" i="24"/>
  <c r="H55" i="24" s="1"/>
  <c r="D55" i="24"/>
  <c r="H54" i="24"/>
  <c r="F54" i="24"/>
  <c r="D54" i="24"/>
  <c r="F53" i="24"/>
  <c r="H53" i="24" s="1"/>
  <c r="D53" i="24"/>
  <c r="F52" i="24"/>
  <c r="H52" i="24" s="1"/>
  <c r="D52" i="24"/>
  <c r="F51" i="24"/>
  <c r="H51" i="24" s="1"/>
  <c r="D51" i="24"/>
  <c r="H50" i="24"/>
  <c r="F50" i="24"/>
  <c r="D50" i="24"/>
  <c r="F49" i="24"/>
  <c r="H49" i="24" s="1"/>
  <c r="D49" i="24"/>
  <c r="F48" i="24"/>
  <c r="H48" i="24" s="1"/>
  <c r="D48" i="24"/>
  <c r="F47" i="24"/>
  <c r="H47" i="24" s="1"/>
  <c r="D47" i="24"/>
  <c r="H46" i="24"/>
  <c r="F46" i="24"/>
  <c r="D46" i="24"/>
  <c r="F45" i="24"/>
  <c r="H45" i="24" s="1"/>
  <c r="D45" i="24"/>
  <c r="F44" i="24"/>
  <c r="H44" i="24" s="1"/>
  <c r="D44" i="24"/>
  <c r="F43" i="24"/>
  <c r="H43" i="24" s="1"/>
  <c r="D43" i="24"/>
  <c r="H42" i="24"/>
  <c r="F42" i="24"/>
  <c r="D42" i="24"/>
  <c r="F41" i="24"/>
  <c r="H41" i="24" s="1"/>
  <c r="D41" i="24"/>
  <c r="F40" i="24"/>
  <c r="H40" i="24" s="1"/>
  <c r="D40" i="24"/>
  <c r="F39" i="24"/>
  <c r="H39" i="24" s="1"/>
  <c r="D39" i="24"/>
  <c r="H38" i="24"/>
  <c r="F38" i="24"/>
  <c r="D38" i="24"/>
  <c r="F37" i="24"/>
  <c r="H37" i="24" s="1"/>
  <c r="D37" i="24"/>
  <c r="F36" i="24"/>
  <c r="H36" i="24" s="1"/>
  <c r="D36" i="24"/>
  <c r="F35" i="24"/>
  <c r="H35" i="24" s="1"/>
  <c r="D35" i="24"/>
  <c r="H34" i="24"/>
  <c r="F34" i="24"/>
  <c r="D34" i="24"/>
  <c r="F33" i="24"/>
  <c r="H33" i="24" s="1"/>
  <c r="D33" i="24"/>
  <c r="F32" i="24"/>
  <c r="H32" i="24" s="1"/>
  <c r="D32" i="24"/>
  <c r="F31" i="24"/>
  <c r="H31" i="24" s="1"/>
  <c r="D31" i="24"/>
  <c r="H30" i="24"/>
  <c r="F30" i="24"/>
  <c r="D30" i="24"/>
  <c r="F29" i="24"/>
  <c r="H29" i="24" s="1"/>
  <c r="D29" i="24"/>
  <c r="F28" i="24"/>
  <c r="H28" i="24" s="1"/>
  <c r="D28" i="24"/>
  <c r="F27" i="24"/>
  <c r="H27" i="24" s="1"/>
  <c r="D27" i="24"/>
  <c r="H26" i="24"/>
  <c r="F26" i="24"/>
  <c r="D26" i="24"/>
  <c r="F25" i="24"/>
  <c r="H25" i="24" s="1"/>
  <c r="D25" i="24"/>
  <c r="F24" i="24"/>
  <c r="H24" i="24" s="1"/>
  <c r="D24" i="24"/>
  <c r="F23" i="24"/>
  <c r="H23" i="24" s="1"/>
  <c r="D23" i="24"/>
  <c r="H22" i="24"/>
  <c r="F22" i="24"/>
  <c r="D22" i="24"/>
  <c r="F21" i="24"/>
  <c r="H21" i="24" s="1"/>
  <c r="D21" i="24"/>
  <c r="F20" i="24"/>
  <c r="H20" i="24" s="1"/>
  <c r="D20" i="24"/>
  <c r="F19" i="24"/>
  <c r="H19" i="24" s="1"/>
  <c r="D19" i="24"/>
  <c r="H18" i="24"/>
  <c r="F18" i="24"/>
  <c r="D18" i="24"/>
  <c r="F17" i="24"/>
  <c r="H17" i="24" s="1"/>
  <c r="D17" i="24"/>
  <c r="F16" i="24"/>
  <c r="H16" i="24" s="1"/>
  <c r="D16" i="24"/>
  <c r="F15" i="24"/>
  <c r="H15" i="24" s="1"/>
  <c r="D15" i="24"/>
  <c r="H14" i="24"/>
  <c r="F14" i="24"/>
  <c r="D14" i="24"/>
  <c r="F13" i="24"/>
  <c r="H13" i="24" s="1"/>
  <c r="D13" i="24"/>
  <c r="F12" i="24"/>
  <c r="H12" i="24" s="1"/>
  <c r="D12" i="24"/>
  <c r="F11" i="24"/>
  <c r="H11" i="24" s="1"/>
  <c r="D11" i="24"/>
  <c r="H10" i="24"/>
  <c r="F10" i="24"/>
  <c r="D10" i="24"/>
  <c r="F9" i="24"/>
  <c r="H9" i="24" s="1"/>
  <c r="D9" i="24"/>
  <c r="F8" i="24"/>
  <c r="H8" i="24" s="1"/>
  <c r="D8" i="24"/>
  <c r="F7" i="24"/>
  <c r="H7" i="24" s="1"/>
  <c r="D7" i="24"/>
  <c r="H6" i="24"/>
  <c r="F6" i="24"/>
  <c r="D6" i="24"/>
  <c r="F5" i="24"/>
  <c r="H5" i="24" s="1"/>
  <c r="D5" i="24"/>
  <c r="F4" i="24"/>
  <c r="H4" i="24" s="1"/>
  <c r="D4" i="24"/>
  <c r="F3" i="24"/>
  <c r="H3" i="24" s="1"/>
  <c r="F59" i="23" l="1"/>
  <c r="H59" i="23" s="1"/>
  <c r="D59" i="23"/>
  <c r="H58" i="23"/>
  <c r="F58" i="23"/>
  <c r="D58" i="23"/>
  <c r="F57" i="23"/>
  <c r="H57" i="23" s="1"/>
  <c r="D57" i="23"/>
  <c r="F56" i="23"/>
  <c r="H56" i="23" s="1"/>
  <c r="D56" i="23"/>
  <c r="F55" i="23"/>
  <c r="H55" i="23" s="1"/>
  <c r="D55" i="23"/>
  <c r="H54" i="23"/>
  <c r="F54" i="23"/>
  <c r="D54" i="23"/>
  <c r="F53" i="23"/>
  <c r="H53" i="23" s="1"/>
  <c r="D53" i="23"/>
  <c r="F52" i="23"/>
  <c r="H52" i="23" s="1"/>
  <c r="D52" i="23"/>
  <c r="F51" i="23"/>
  <c r="H51" i="23" s="1"/>
  <c r="D51" i="23"/>
  <c r="H50" i="23"/>
  <c r="F50" i="23"/>
  <c r="D50" i="23"/>
  <c r="F49" i="23"/>
  <c r="H49" i="23" s="1"/>
  <c r="D49" i="23"/>
  <c r="F48" i="23"/>
  <c r="H48" i="23" s="1"/>
  <c r="D48" i="23"/>
  <c r="F47" i="23"/>
  <c r="H47" i="23" s="1"/>
  <c r="D47" i="23"/>
  <c r="H46" i="23"/>
  <c r="F46" i="23"/>
  <c r="D46" i="23"/>
  <c r="F45" i="23"/>
  <c r="H45" i="23" s="1"/>
  <c r="D45" i="23"/>
  <c r="F44" i="23"/>
  <c r="H44" i="23" s="1"/>
  <c r="D44" i="23"/>
  <c r="F43" i="23"/>
  <c r="H43" i="23" s="1"/>
  <c r="D43" i="23"/>
  <c r="H42" i="23"/>
  <c r="F42" i="23"/>
  <c r="D42" i="23"/>
  <c r="F41" i="23"/>
  <c r="H41" i="23" s="1"/>
  <c r="D41" i="23"/>
  <c r="F40" i="23"/>
  <c r="H40" i="23" s="1"/>
  <c r="D40" i="23"/>
  <c r="F39" i="23"/>
  <c r="H39" i="23" s="1"/>
  <c r="D39" i="23"/>
  <c r="H38" i="23"/>
  <c r="F38" i="23"/>
  <c r="D38" i="23"/>
  <c r="F37" i="23"/>
  <c r="H37" i="23" s="1"/>
  <c r="D37" i="23"/>
  <c r="F36" i="23"/>
  <c r="H36" i="23" s="1"/>
  <c r="D36" i="23"/>
  <c r="F35" i="23"/>
  <c r="H35" i="23" s="1"/>
  <c r="D35" i="23"/>
  <c r="H34" i="23"/>
  <c r="F34" i="23"/>
  <c r="D34" i="23"/>
  <c r="F33" i="23"/>
  <c r="H33" i="23" s="1"/>
  <c r="D33" i="23"/>
  <c r="F32" i="23"/>
  <c r="H32" i="23" s="1"/>
  <c r="D32" i="23"/>
  <c r="F31" i="23"/>
  <c r="H31" i="23" s="1"/>
  <c r="D31" i="23"/>
  <c r="H30" i="23"/>
  <c r="F30" i="23"/>
  <c r="D30" i="23"/>
  <c r="F29" i="23"/>
  <c r="H29" i="23" s="1"/>
  <c r="D29" i="23"/>
  <c r="F28" i="23"/>
  <c r="H28" i="23" s="1"/>
  <c r="D28" i="23"/>
  <c r="F27" i="23"/>
  <c r="H27" i="23" s="1"/>
  <c r="D27" i="23"/>
  <c r="H26" i="23"/>
  <c r="F26" i="23"/>
  <c r="D26" i="23"/>
  <c r="F25" i="23"/>
  <c r="H25" i="23" s="1"/>
  <c r="D25" i="23"/>
  <c r="F24" i="23"/>
  <c r="H24" i="23" s="1"/>
  <c r="D24" i="23"/>
  <c r="F23" i="23"/>
  <c r="H23" i="23" s="1"/>
  <c r="D23" i="23"/>
  <c r="H22" i="23"/>
  <c r="F22" i="23"/>
  <c r="D22" i="23"/>
  <c r="F21" i="23"/>
  <c r="H21" i="23" s="1"/>
  <c r="D21" i="23"/>
  <c r="F20" i="23"/>
  <c r="H20" i="23" s="1"/>
  <c r="D20" i="23"/>
  <c r="F19" i="23"/>
  <c r="H19" i="23" s="1"/>
  <c r="D19" i="23"/>
  <c r="H18" i="23"/>
  <c r="F18" i="23"/>
  <c r="D18" i="23"/>
  <c r="F17" i="23"/>
  <c r="H17" i="23" s="1"/>
  <c r="D17" i="23"/>
  <c r="F16" i="23"/>
  <c r="H16" i="23" s="1"/>
  <c r="D16" i="23"/>
  <c r="F15" i="23"/>
  <c r="H15" i="23" s="1"/>
  <c r="D15" i="23"/>
  <c r="H14" i="23"/>
  <c r="F14" i="23"/>
  <c r="D14" i="23"/>
  <c r="F13" i="23"/>
  <c r="H13" i="23" s="1"/>
  <c r="D13" i="23"/>
  <c r="F12" i="23"/>
  <c r="H12" i="23" s="1"/>
  <c r="D12" i="23"/>
  <c r="F11" i="23"/>
  <c r="H11" i="23" s="1"/>
  <c r="D11" i="23"/>
  <c r="H10" i="23"/>
  <c r="F10" i="23"/>
  <c r="D10" i="23"/>
  <c r="F9" i="23"/>
  <c r="H9" i="23" s="1"/>
  <c r="D9" i="23"/>
  <c r="F8" i="23"/>
  <c r="H8" i="23" s="1"/>
  <c r="D8" i="23"/>
  <c r="F7" i="23"/>
  <c r="H7" i="23" s="1"/>
  <c r="D7" i="23"/>
  <c r="H6" i="23"/>
  <c r="F6" i="23"/>
  <c r="D6" i="23"/>
  <c r="F5" i="23"/>
  <c r="H5" i="23" s="1"/>
  <c r="D5" i="23"/>
  <c r="F4" i="23"/>
  <c r="H4" i="23" s="1"/>
  <c r="D4" i="23"/>
  <c r="F3" i="23"/>
  <c r="H3" i="23" s="1"/>
  <c r="F59" i="22" l="1"/>
  <c r="H59" i="22" s="1"/>
  <c r="D59" i="22"/>
  <c r="H58" i="22"/>
  <c r="F58" i="22"/>
  <c r="D58" i="22"/>
  <c r="F57" i="22"/>
  <c r="H57" i="22" s="1"/>
  <c r="D57" i="22"/>
  <c r="F56" i="22"/>
  <c r="H56" i="22" s="1"/>
  <c r="D56" i="22"/>
  <c r="F55" i="22"/>
  <c r="H55" i="22" s="1"/>
  <c r="D55" i="22"/>
  <c r="H54" i="22"/>
  <c r="F54" i="22"/>
  <c r="D54" i="22"/>
  <c r="F53" i="22"/>
  <c r="H53" i="22" s="1"/>
  <c r="D53" i="22"/>
  <c r="F52" i="22"/>
  <c r="H52" i="22" s="1"/>
  <c r="D52" i="22"/>
  <c r="F51" i="22"/>
  <c r="H51" i="22" s="1"/>
  <c r="D51" i="22"/>
  <c r="H50" i="22"/>
  <c r="F50" i="22"/>
  <c r="D50" i="22"/>
  <c r="F49" i="22"/>
  <c r="H49" i="22" s="1"/>
  <c r="D49" i="22"/>
  <c r="F48" i="22"/>
  <c r="H48" i="22" s="1"/>
  <c r="D48" i="22"/>
  <c r="F47" i="22"/>
  <c r="H47" i="22" s="1"/>
  <c r="D47" i="22"/>
  <c r="H46" i="22"/>
  <c r="F46" i="22"/>
  <c r="D46" i="22"/>
  <c r="F45" i="22"/>
  <c r="H45" i="22" s="1"/>
  <c r="D45" i="22"/>
  <c r="F44" i="22"/>
  <c r="H44" i="22" s="1"/>
  <c r="D44" i="22"/>
  <c r="F43" i="22"/>
  <c r="H43" i="22" s="1"/>
  <c r="D43" i="22"/>
  <c r="H42" i="22"/>
  <c r="F42" i="22"/>
  <c r="D42" i="22"/>
  <c r="F41" i="22"/>
  <c r="H41" i="22" s="1"/>
  <c r="D41" i="22"/>
  <c r="F40" i="22"/>
  <c r="H40" i="22" s="1"/>
  <c r="D40" i="22"/>
  <c r="F39" i="22"/>
  <c r="H39" i="22" s="1"/>
  <c r="D39" i="22"/>
  <c r="H38" i="22"/>
  <c r="F38" i="22"/>
  <c r="D38" i="22"/>
  <c r="F37" i="22"/>
  <c r="H37" i="22" s="1"/>
  <c r="D37" i="22"/>
  <c r="F36" i="22"/>
  <c r="H36" i="22" s="1"/>
  <c r="D36" i="22"/>
  <c r="F35" i="22"/>
  <c r="H35" i="22" s="1"/>
  <c r="D35" i="22"/>
  <c r="H34" i="22"/>
  <c r="F34" i="22"/>
  <c r="D34" i="22"/>
  <c r="F33" i="22"/>
  <c r="H33" i="22" s="1"/>
  <c r="D33" i="22"/>
  <c r="F32" i="22"/>
  <c r="H32" i="22" s="1"/>
  <c r="D32" i="22"/>
  <c r="F31" i="22"/>
  <c r="H31" i="22" s="1"/>
  <c r="D31" i="22"/>
  <c r="H30" i="22"/>
  <c r="F30" i="22"/>
  <c r="D30" i="22"/>
  <c r="F29" i="22"/>
  <c r="H29" i="22" s="1"/>
  <c r="D29" i="22"/>
  <c r="F28" i="22"/>
  <c r="H28" i="22" s="1"/>
  <c r="D28" i="22"/>
  <c r="F27" i="22"/>
  <c r="H27" i="22" s="1"/>
  <c r="D27" i="22"/>
  <c r="H26" i="22"/>
  <c r="F26" i="22"/>
  <c r="D26" i="22"/>
  <c r="F25" i="22"/>
  <c r="H25" i="22" s="1"/>
  <c r="D25" i="22"/>
  <c r="F24" i="22"/>
  <c r="H24" i="22" s="1"/>
  <c r="D24" i="22"/>
  <c r="F23" i="22"/>
  <c r="H23" i="22" s="1"/>
  <c r="D23" i="22"/>
  <c r="H22" i="22"/>
  <c r="F22" i="22"/>
  <c r="D22" i="22"/>
  <c r="F21" i="22"/>
  <c r="H21" i="22" s="1"/>
  <c r="D21" i="22"/>
  <c r="F20" i="22"/>
  <c r="H20" i="22" s="1"/>
  <c r="D20" i="22"/>
  <c r="F19" i="22"/>
  <c r="H19" i="22" s="1"/>
  <c r="D19" i="22"/>
  <c r="H18" i="22"/>
  <c r="F18" i="22"/>
  <c r="D18" i="22"/>
  <c r="F17" i="22"/>
  <c r="H17" i="22" s="1"/>
  <c r="D17" i="22"/>
  <c r="F16" i="22"/>
  <c r="H16" i="22" s="1"/>
  <c r="D16" i="22"/>
  <c r="F15" i="22"/>
  <c r="H15" i="22" s="1"/>
  <c r="D15" i="22"/>
  <c r="H14" i="22"/>
  <c r="F14" i="22"/>
  <c r="D14" i="22"/>
  <c r="F13" i="22"/>
  <c r="H13" i="22" s="1"/>
  <c r="D13" i="22"/>
  <c r="F12" i="22"/>
  <c r="H12" i="22" s="1"/>
  <c r="D12" i="22"/>
  <c r="F11" i="22"/>
  <c r="H11" i="22" s="1"/>
  <c r="D11" i="22"/>
  <c r="H10" i="22"/>
  <c r="F10" i="22"/>
  <c r="D10" i="22"/>
  <c r="F9" i="22"/>
  <c r="H9" i="22" s="1"/>
  <c r="D9" i="22"/>
  <c r="F8" i="22"/>
  <c r="H8" i="22" s="1"/>
  <c r="D8" i="22"/>
  <c r="F7" i="22"/>
  <c r="H7" i="22" s="1"/>
  <c r="D7" i="22"/>
  <c r="H6" i="22"/>
  <c r="F6" i="22"/>
  <c r="D6" i="22"/>
  <c r="F5" i="22"/>
  <c r="H5" i="22" s="1"/>
  <c r="D5" i="22"/>
  <c r="F4" i="22"/>
  <c r="H4" i="22" s="1"/>
  <c r="D4" i="22"/>
  <c r="F3" i="22"/>
  <c r="H3" i="22" s="1"/>
  <c r="F59" i="21" l="1"/>
  <c r="H59" i="21" s="1"/>
  <c r="D59" i="21"/>
  <c r="H58" i="21"/>
  <c r="F58" i="21"/>
  <c r="D58" i="21"/>
  <c r="F57" i="21"/>
  <c r="H57" i="21" s="1"/>
  <c r="D57" i="21"/>
  <c r="F56" i="21"/>
  <c r="H56" i="21" s="1"/>
  <c r="D56" i="21"/>
  <c r="F55" i="21"/>
  <c r="H55" i="21" s="1"/>
  <c r="D55" i="21"/>
  <c r="H54" i="21"/>
  <c r="F54" i="21"/>
  <c r="D54" i="21"/>
  <c r="F53" i="21"/>
  <c r="H53" i="21" s="1"/>
  <c r="D53" i="21"/>
  <c r="F52" i="21"/>
  <c r="H52" i="21" s="1"/>
  <c r="D52" i="21"/>
  <c r="F51" i="21"/>
  <c r="H51" i="21" s="1"/>
  <c r="D51" i="21"/>
  <c r="H50" i="21"/>
  <c r="F50" i="21"/>
  <c r="D50" i="21"/>
  <c r="F49" i="21"/>
  <c r="H49" i="21" s="1"/>
  <c r="D49" i="21"/>
  <c r="F48" i="21"/>
  <c r="H48" i="21" s="1"/>
  <c r="D48" i="21"/>
  <c r="F47" i="21"/>
  <c r="H47" i="21" s="1"/>
  <c r="D47" i="21"/>
  <c r="H46" i="21"/>
  <c r="F46" i="21"/>
  <c r="D46" i="21"/>
  <c r="F45" i="21"/>
  <c r="H45" i="21" s="1"/>
  <c r="D45" i="21"/>
  <c r="F44" i="21"/>
  <c r="H44" i="21" s="1"/>
  <c r="D44" i="21"/>
  <c r="F43" i="21"/>
  <c r="H43" i="21" s="1"/>
  <c r="D43" i="21"/>
  <c r="H42" i="21"/>
  <c r="F42" i="21"/>
  <c r="D42" i="21"/>
  <c r="F41" i="21"/>
  <c r="H41" i="21" s="1"/>
  <c r="D41" i="21"/>
  <c r="F40" i="21"/>
  <c r="H40" i="21" s="1"/>
  <c r="D40" i="21"/>
  <c r="F39" i="21"/>
  <c r="H39" i="21" s="1"/>
  <c r="D39" i="21"/>
  <c r="H38" i="21"/>
  <c r="F38" i="21"/>
  <c r="D38" i="21"/>
  <c r="F37" i="21"/>
  <c r="H37" i="21" s="1"/>
  <c r="D37" i="21"/>
  <c r="F36" i="21"/>
  <c r="H36" i="21" s="1"/>
  <c r="D36" i="21"/>
  <c r="F35" i="21"/>
  <c r="H35" i="21" s="1"/>
  <c r="D35" i="21"/>
  <c r="H34" i="21"/>
  <c r="F34" i="21"/>
  <c r="D34" i="21"/>
  <c r="F33" i="21"/>
  <c r="H33" i="21" s="1"/>
  <c r="D33" i="21"/>
  <c r="F32" i="21"/>
  <c r="H32" i="21" s="1"/>
  <c r="D32" i="21"/>
  <c r="F31" i="21"/>
  <c r="H31" i="21" s="1"/>
  <c r="D31" i="21"/>
  <c r="H30" i="21"/>
  <c r="F30" i="21"/>
  <c r="D30" i="21"/>
  <c r="F29" i="21"/>
  <c r="H29" i="21" s="1"/>
  <c r="D29" i="21"/>
  <c r="F28" i="21"/>
  <c r="H28" i="21" s="1"/>
  <c r="D28" i="21"/>
  <c r="F27" i="21"/>
  <c r="H27" i="21" s="1"/>
  <c r="D27" i="21"/>
  <c r="H26" i="21"/>
  <c r="F26" i="21"/>
  <c r="D26" i="21"/>
  <c r="F25" i="21"/>
  <c r="H25" i="21" s="1"/>
  <c r="D25" i="21"/>
  <c r="F24" i="21"/>
  <c r="H24" i="21" s="1"/>
  <c r="D24" i="21"/>
  <c r="F23" i="21"/>
  <c r="H23" i="21" s="1"/>
  <c r="D23" i="21"/>
  <c r="H22" i="21"/>
  <c r="F22" i="21"/>
  <c r="D22" i="21"/>
  <c r="F21" i="21"/>
  <c r="H21" i="21" s="1"/>
  <c r="D21" i="21"/>
  <c r="F20" i="21"/>
  <c r="H20" i="21" s="1"/>
  <c r="D20" i="21"/>
  <c r="F19" i="21"/>
  <c r="H19" i="21" s="1"/>
  <c r="D19" i="21"/>
  <c r="H18" i="21"/>
  <c r="F18" i="21"/>
  <c r="D18" i="21"/>
  <c r="F17" i="21"/>
  <c r="H17" i="21" s="1"/>
  <c r="D17" i="21"/>
  <c r="F16" i="21"/>
  <c r="H16" i="21" s="1"/>
  <c r="D16" i="21"/>
  <c r="F15" i="21"/>
  <c r="H15" i="21" s="1"/>
  <c r="D15" i="21"/>
  <c r="H14" i="21"/>
  <c r="F14" i="21"/>
  <c r="D14" i="21"/>
  <c r="F13" i="21"/>
  <c r="H13" i="21" s="1"/>
  <c r="D13" i="21"/>
  <c r="F12" i="21"/>
  <c r="H12" i="21" s="1"/>
  <c r="D12" i="21"/>
  <c r="F11" i="21"/>
  <c r="H11" i="21" s="1"/>
  <c r="D11" i="21"/>
  <c r="H10" i="21"/>
  <c r="F10" i="21"/>
  <c r="D10" i="21"/>
  <c r="F9" i="21"/>
  <c r="H9" i="21" s="1"/>
  <c r="D9" i="21"/>
  <c r="F8" i="21"/>
  <c r="H8" i="21" s="1"/>
  <c r="D8" i="21"/>
  <c r="F7" i="21"/>
  <c r="H7" i="21" s="1"/>
  <c r="D7" i="21"/>
  <c r="H6" i="21"/>
  <c r="F6" i="21"/>
  <c r="D6" i="21"/>
  <c r="F5" i="21"/>
  <c r="H5" i="21" s="1"/>
  <c r="D5" i="21"/>
  <c r="F4" i="21"/>
  <c r="H4" i="21" s="1"/>
  <c r="D4" i="21"/>
  <c r="F3" i="21"/>
  <c r="H3" i="21" s="1"/>
  <c r="M59" i="11" l="1"/>
  <c r="M57" i="11"/>
  <c r="M56" i="11"/>
  <c r="M55" i="11"/>
  <c r="M54" i="11"/>
  <c r="M51" i="11"/>
  <c r="M47" i="11"/>
  <c r="M46" i="11"/>
  <c r="M40" i="11"/>
  <c r="M38" i="11"/>
  <c r="M37" i="11"/>
  <c r="M34" i="11"/>
  <c r="M33" i="11"/>
  <c r="M31" i="11"/>
  <c r="M30" i="11"/>
  <c r="M29" i="11"/>
  <c r="M26" i="11"/>
  <c r="M20" i="11"/>
  <c r="M13" i="11"/>
  <c r="M11" i="11"/>
  <c r="M10" i="11"/>
  <c r="M8" i="11"/>
  <c r="M4" i="11"/>
  <c r="M3" i="11"/>
  <c r="N1027" i="20" l="1"/>
  <c r="M1027" i="20"/>
  <c r="L1027" i="20"/>
  <c r="N1026" i="20"/>
  <c r="M1026" i="20"/>
  <c r="L1026" i="20"/>
  <c r="N1025" i="20"/>
  <c r="M1025" i="20"/>
  <c r="L1025" i="20"/>
  <c r="N1024" i="20"/>
  <c r="M1024" i="20"/>
  <c r="L1024" i="20"/>
  <c r="N1023" i="20"/>
  <c r="M1023" i="20"/>
  <c r="L1023" i="20"/>
  <c r="N1022" i="20"/>
  <c r="M1022" i="20"/>
  <c r="L1022" i="20"/>
  <c r="N1021" i="20"/>
  <c r="M1021" i="20"/>
  <c r="L1021" i="20"/>
  <c r="N1020" i="20"/>
  <c r="M1020" i="20"/>
  <c r="L1020" i="20"/>
  <c r="N1019" i="20"/>
  <c r="M1019" i="20"/>
  <c r="L1019" i="20"/>
  <c r="N1018" i="20"/>
  <c r="M1018" i="20"/>
  <c r="L1018" i="20"/>
  <c r="N1017" i="20"/>
  <c r="M1017" i="20"/>
  <c r="L1017" i="20"/>
  <c r="N1016" i="20"/>
  <c r="M1016" i="20"/>
  <c r="L1016" i="20"/>
  <c r="N1015" i="20"/>
  <c r="M1015" i="20"/>
  <c r="L1015" i="20"/>
  <c r="N1014" i="20"/>
  <c r="M1014" i="20"/>
  <c r="L1014" i="20"/>
  <c r="N1013" i="20"/>
  <c r="M1013" i="20"/>
  <c r="L1013" i="20"/>
  <c r="N1012" i="20"/>
  <c r="M1012" i="20"/>
  <c r="L1012" i="20"/>
  <c r="N1011" i="20"/>
  <c r="M1011" i="20"/>
  <c r="L1011" i="20"/>
  <c r="N1010" i="20"/>
  <c r="M1010" i="20"/>
  <c r="L1010" i="20"/>
  <c r="N1009" i="20"/>
  <c r="M1009" i="20"/>
  <c r="L1009" i="20"/>
  <c r="N1008" i="20"/>
  <c r="M1008" i="20"/>
  <c r="L1008" i="20"/>
  <c r="N1007" i="20"/>
  <c r="M1007" i="20"/>
  <c r="L1007" i="20"/>
  <c r="N1006" i="20"/>
  <c r="M1006" i="20"/>
  <c r="L1006" i="20"/>
  <c r="N1005" i="20"/>
  <c r="M1005" i="20"/>
  <c r="L1005" i="20"/>
  <c r="N1004" i="20"/>
  <c r="M1004" i="20"/>
  <c r="L1004" i="20"/>
  <c r="N1003" i="20"/>
  <c r="M1003" i="20"/>
  <c r="L1003" i="20"/>
  <c r="N1002" i="20"/>
  <c r="M1002" i="20"/>
  <c r="L1002" i="20"/>
  <c r="N1001" i="20"/>
  <c r="M1001" i="20"/>
  <c r="L1001" i="20"/>
  <c r="N1000" i="20"/>
  <c r="M1000" i="20"/>
  <c r="L1000" i="20"/>
  <c r="N999" i="20"/>
  <c r="M999" i="20"/>
  <c r="L999" i="20"/>
  <c r="N998" i="20"/>
  <c r="M998" i="20"/>
  <c r="L998" i="20"/>
  <c r="N997" i="20"/>
  <c r="M997" i="20"/>
  <c r="L997" i="20"/>
  <c r="N996" i="20"/>
  <c r="M996" i="20"/>
  <c r="L996" i="20"/>
  <c r="N995" i="20"/>
  <c r="M995" i="20"/>
  <c r="L995" i="20"/>
  <c r="N994" i="20"/>
  <c r="M994" i="20"/>
  <c r="L994" i="20"/>
  <c r="N993" i="20"/>
  <c r="M993" i="20"/>
  <c r="L993" i="20"/>
  <c r="N992" i="20"/>
  <c r="M992" i="20"/>
  <c r="L992" i="20"/>
  <c r="N991" i="20"/>
  <c r="M991" i="20"/>
  <c r="L991" i="20"/>
  <c r="N990" i="20"/>
  <c r="M990" i="20"/>
  <c r="L990" i="20"/>
  <c r="N989" i="20"/>
  <c r="M989" i="20"/>
  <c r="L989" i="20"/>
  <c r="N988" i="20"/>
  <c r="M988" i="20"/>
  <c r="L988" i="20"/>
  <c r="N987" i="20"/>
  <c r="M987" i="20"/>
  <c r="L987" i="20"/>
  <c r="N986" i="20"/>
  <c r="M986" i="20"/>
  <c r="L986" i="20"/>
  <c r="N985" i="20"/>
  <c r="M985" i="20"/>
  <c r="L985" i="20"/>
  <c r="N984" i="20"/>
  <c r="M984" i="20"/>
  <c r="L984" i="20"/>
  <c r="N983" i="20"/>
  <c r="M983" i="20"/>
  <c r="L983" i="20"/>
  <c r="N982" i="20"/>
  <c r="M982" i="20"/>
  <c r="L982" i="20"/>
  <c r="N981" i="20"/>
  <c r="M981" i="20"/>
  <c r="L981" i="20"/>
  <c r="N980" i="20"/>
  <c r="M980" i="20"/>
  <c r="L980" i="20"/>
  <c r="N979" i="20"/>
  <c r="M979" i="20"/>
  <c r="L979" i="20"/>
  <c r="N978" i="20"/>
  <c r="M978" i="20"/>
  <c r="L978" i="20"/>
  <c r="N977" i="20"/>
  <c r="M977" i="20"/>
  <c r="L977" i="20"/>
  <c r="N976" i="20"/>
  <c r="M976" i="20"/>
  <c r="L976" i="20"/>
  <c r="N975" i="20"/>
  <c r="M975" i="20"/>
  <c r="L975" i="20"/>
  <c r="N974" i="20"/>
  <c r="M974" i="20"/>
  <c r="L974" i="20"/>
  <c r="N973" i="20"/>
  <c r="M973" i="20"/>
  <c r="L973" i="20"/>
  <c r="N972" i="20"/>
  <c r="M972" i="20"/>
  <c r="L972" i="20"/>
  <c r="N971" i="20"/>
  <c r="M971" i="20"/>
  <c r="L971" i="20"/>
  <c r="N970" i="20"/>
  <c r="M970" i="20"/>
  <c r="L970" i="20"/>
  <c r="N969" i="20"/>
  <c r="M969" i="20"/>
  <c r="L969" i="20"/>
  <c r="N968" i="20"/>
  <c r="M968" i="20"/>
  <c r="L968" i="20"/>
  <c r="N967" i="20"/>
  <c r="M967" i="20"/>
  <c r="L967" i="20"/>
  <c r="N966" i="20"/>
  <c r="M966" i="20"/>
  <c r="L966" i="20"/>
  <c r="N965" i="20"/>
  <c r="M965" i="20"/>
  <c r="L965" i="20"/>
  <c r="N964" i="20"/>
  <c r="M964" i="20"/>
  <c r="L964" i="20"/>
  <c r="N963" i="20"/>
  <c r="M963" i="20"/>
  <c r="L963" i="20"/>
  <c r="N962" i="20"/>
  <c r="M962" i="20"/>
  <c r="L962" i="20"/>
  <c r="N961" i="20"/>
  <c r="M961" i="20"/>
  <c r="L961" i="20"/>
  <c r="N960" i="20"/>
  <c r="M960" i="20"/>
  <c r="L960" i="20"/>
  <c r="N959" i="20"/>
  <c r="M959" i="20"/>
  <c r="L959" i="20"/>
  <c r="N958" i="20"/>
  <c r="M958" i="20"/>
  <c r="L958" i="20"/>
  <c r="N957" i="20"/>
  <c r="M957" i="20"/>
  <c r="L957" i="20"/>
  <c r="N956" i="20"/>
  <c r="M956" i="20"/>
  <c r="L956" i="20"/>
  <c r="N955" i="20"/>
  <c r="M955" i="20"/>
  <c r="L955" i="20"/>
  <c r="N954" i="20"/>
  <c r="M954" i="20"/>
  <c r="L954" i="20"/>
  <c r="N953" i="20"/>
  <c r="M953" i="20"/>
  <c r="L953" i="20"/>
  <c r="N952" i="20"/>
  <c r="M952" i="20"/>
  <c r="L952" i="20"/>
  <c r="N951" i="20"/>
  <c r="M951" i="20"/>
  <c r="L951" i="20"/>
  <c r="N950" i="20"/>
  <c r="M950" i="20"/>
  <c r="L950" i="20"/>
  <c r="N949" i="20"/>
  <c r="M949" i="20"/>
  <c r="L949" i="20"/>
  <c r="N948" i="20"/>
  <c r="M948" i="20"/>
  <c r="L948" i="20"/>
  <c r="N947" i="20"/>
  <c r="M947" i="20"/>
  <c r="L947" i="20"/>
  <c r="N946" i="20"/>
  <c r="M946" i="20"/>
  <c r="L946" i="20"/>
  <c r="N945" i="20"/>
  <c r="M945" i="20"/>
  <c r="L945" i="20"/>
  <c r="N944" i="20"/>
  <c r="M944" i="20"/>
  <c r="L944" i="20"/>
  <c r="N943" i="20"/>
  <c r="M943" i="20"/>
  <c r="L943" i="20"/>
  <c r="N942" i="20"/>
  <c r="M942" i="20"/>
  <c r="L942" i="20"/>
  <c r="N941" i="20"/>
  <c r="M941" i="20"/>
  <c r="L941" i="20"/>
  <c r="N940" i="20"/>
  <c r="M940" i="20"/>
  <c r="L940" i="20"/>
  <c r="N939" i="20"/>
  <c r="M939" i="20"/>
  <c r="L939" i="20"/>
  <c r="N938" i="20"/>
  <c r="M938" i="20"/>
  <c r="L938" i="20"/>
  <c r="N937" i="20"/>
  <c r="M937" i="20"/>
  <c r="L937" i="20"/>
  <c r="N936" i="20"/>
  <c r="M936" i="20"/>
  <c r="L936" i="20"/>
  <c r="N935" i="20"/>
  <c r="M935" i="20"/>
  <c r="L935" i="20"/>
  <c r="N934" i="20"/>
  <c r="M934" i="20"/>
  <c r="L934" i="20"/>
  <c r="N933" i="20"/>
  <c r="M933" i="20"/>
  <c r="L933" i="20"/>
  <c r="N932" i="20"/>
  <c r="M932" i="20"/>
  <c r="L932" i="20"/>
  <c r="N931" i="20"/>
  <c r="M931" i="20"/>
  <c r="L931" i="20"/>
  <c r="N930" i="20"/>
  <c r="M930" i="20"/>
  <c r="L930" i="20"/>
  <c r="N929" i="20"/>
  <c r="M929" i="20"/>
  <c r="L929" i="20"/>
  <c r="N928" i="20"/>
  <c r="M928" i="20"/>
  <c r="L928" i="20"/>
  <c r="N927" i="20"/>
  <c r="M927" i="20"/>
  <c r="L927" i="20"/>
  <c r="N926" i="20"/>
  <c r="M926" i="20"/>
  <c r="L926" i="20"/>
  <c r="N925" i="20"/>
  <c r="M925" i="20"/>
  <c r="L925" i="20"/>
  <c r="N924" i="20"/>
  <c r="M924" i="20"/>
  <c r="L924" i="20"/>
  <c r="N923" i="20"/>
  <c r="M923" i="20"/>
  <c r="L923" i="20"/>
  <c r="N922" i="20"/>
  <c r="M922" i="20"/>
  <c r="L922" i="20"/>
  <c r="N921" i="20"/>
  <c r="M921" i="20"/>
  <c r="L921" i="20"/>
  <c r="N920" i="20"/>
  <c r="M920" i="20"/>
  <c r="L920" i="20"/>
  <c r="N919" i="20"/>
  <c r="M919" i="20"/>
  <c r="L919" i="20"/>
  <c r="N918" i="20"/>
  <c r="M918" i="20"/>
  <c r="L918" i="20"/>
  <c r="N917" i="20"/>
  <c r="M917" i="20"/>
  <c r="L917" i="20"/>
  <c r="N916" i="20"/>
  <c r="M916" i="20"/>
  <c r="L916" i="20"/>
  <c r="N915" i="20"/>
  <c r="M915" i="20"/>
  <c r="L915" i="20"/>
  <c r="N914" i="20"/>
  <c r="M914" i="20"/>
  <c r="L914" i="20"/>
  <c r="N913" i="20"/>
  <c r="M913" i="20"/>
  <c r="L913" i="20"/>
  <c r="N912" i="20"/>
  <c r="M912" i="20"/>
  <c r="L912" i="20"/>
  <c r="N911" i="20"/>
  <c r="M911" i="20"/>
  <c r="L911" i="20"/>
  <c r="N910" i="20"/>
  <c r="M910" i="20"/>
  <c r="L910" i="20"/>
  <c r="N909" i="20"/>
  <c r="M909" i="20"/>
  <c r="L909" i="20"/>
  <c r="N908" i="20"/>
  <c r="M908" i="20"/>
  <c r="L908" i="20"/>
  <c r="N907" i="20"/>
  <c r="M907" i="20"/>
  <c r="L907" i="20"/>
  <c r="N906" i="20"/>
  <c r="M906" i="20"/>
  <c r="L906" i="20"/>
  <c r="N905" i="20"/>
  <c r="M905" i="20"/>
  <c r="L905" i="20"/>
  <c r="N904" i="20"/>
  <c r="M904" i="20"/>
  <c r="L904" i="20"/>
  <c r="N903" i="20"/>
  <c r="M903" i="20"/>
  <c r="L903" i="20"/>
  <c r="N902" i="20"/>
  <c r="M902" i="20"/>
  <c r="L902" i="20"/>
  <c r="N901" i="20"/>
  <c r="M901" i="20"/>
  <c r="L901" i="20"/>
  <c r="N900" i="20"/>
  <c r="M900" i="20"/>
  <c r="L900" i="20"/>
  <c r="N899" i="20"/>
  <c r="M899" i="20"/>
  <c r="L899" i="20"/>
  <c r="N898" i="20"/>
  <c r="M898" i="20"/>
  <c r="L898" i="20"/>
  <c r="N897" i="20"/>
  <c r="M897" i="20"/>
  <c r="L897" i="20"/>
  <c r="N896" i="20"/>
  <c r="M896" i="20"/>
  <c r="L896" i="20"/>
  <c r="N895" i="20"/>
  <c r="M895" i="20"/>
  <c r="L895" i="20"/>
  <c r="N894" i="20"/>
  <c r="M894" i="20"/>
  <c r="L894" i="20"/>
  <c r="N893" i="20"/>
  <c r="M893" i="20"/>
  <c r="L893" i="20"/>
  <c r="N892" i="20"/>
  <c r="M892" i="20"/>
  <c r="L892" i="20"/>
  <c r="N891" i="20"/>
  <c r="M891" i="20"/>
  <c r="L891" i="20"/>
  <c r="N890" i="20"/>
  <c r="M890" i="20"/>
  <c r="L890" i="20"/>
  <c r="N889" i="20"/>
  <c r="M889" i="20"/>
  <c r="L889" i="20"/>
  <c r="N888" i="20"/>
  <c r="M888" i="20"/>
  <c r="L888" i="20"/>
  <c r="N887" i="20"/>
  <c r="M887" i="20"/>
  <c r="L887" i="20"/>
  <c r="N886" i="20"/>
  <c r="M886" i="20"/>
  <c r="L886" i="20"/>
  <c r="N885" i="20"/>
  <c r="M885" i="20"/>
  <c r="L885" i="20"/>
  <c r="N884" i="20"/>
  <c r="M884" i="20"/>
  <c r="L884" i="20"/>
  <c r="N883" i="20"/>
  <c r="M883" i="20"/>
  <c r="L883" i="20"/>
  <c r="N882" i="20"/>
  <c r="M882" i="20"/>
  <c r="L882" i="20"/>
  <c r="N881" i="20"/>
  <c r="M881" i="20"/>
  <c r="L881" i="20"/>
  <c r="N880" i="20"/>
  <c r="M880" i="20"/>
  <c r="L880" i="20"/>
  <c r="N879" i="20"/>
  <c r="M879" i="20"/>
  <c r="L879" i="20"/>
  <c r="N878" i="20"/>
  <c r="M878" i="20"/>
  <c r="L878" i="20"/>
  <c r="N877" i="20"/>
  <c r="M877" i="20"/>
  <c r="L877" i="20"/>
  <c r="N876" i="20"/>
  <c r="M876" i="20"/>
  <c r="L876" i="20"/>
  <c r="N875" i="20"/>
  <c r="M875" i="20"/>
  <c r="L875" i="20"/>
  <c r="N874" i="20"/>
  <c r="M874" i="20"/>
  <c r="L874" i="20"/>
  <c r="N873" i="20"/>
  <c r="M873" i="20"/>
  <c r="L873" i="20"/>
  <c r="N872" i="20"/>
  <c r="M872" i="20"/>
  <c r="L872" i="20"/>
  <c r="N871" i="20"/>
  <c r="M871" i="20"/>
  <c r="L871" i="20"/>
  <c r="N870" i="20"/>
  <c r="M870" i="20"/>
  <c r="L870" i="20"/>
  <c r="N869" i="20"/>
  <c r="M869" i="20"/>
  <c r="L869" i="20"/>
  <c r="N868" i="20"/>
  <c r="M868" i="20"/>
  <c r="L868" i="20"/>
  <c r="N867" i="20"/>
  <c r="M867" i="20"/>
  <c r="L867" i="20"/>
  <c r="N866" i="20"/>
  <c r="M866" i="20"/>
  <c r="L866" i="20"/>
  <c r="N865" i="20"/>
  <c r="M865" i="20"/>
  <c r="L865" i="20"/>
  <c r="N864" i="20"/>
  <c r="M864" i="20"/>
  <c r="L864" i="20"/>
  <c r="N863" i="20"/>
  <c r="M863" i="20"/>
  <c r="L863" i="20"/>
  <c r="N862" i="20"/>
  <c r="M862" i="20"/>
  <c r="L862" i="20"/>
  <c r="N861" i="20"/>
  <c r="M861" i="20"/>
  <c r="L861" i="20"/>
  <c r="N860" i="20"/>
  <c r="M860" i="20"/>
  <c r="L860" i="20"/>
  <c r="N859" i="20"/>
  <c r="M859" i="20"/>
  <c r="L859" i="20"/>
  <c r="N858" i="20"/>
  <c r="M858" i="20"/>
  <c r="L858" i="20"/>
  <c r="N857" i="20"/>
  <c r="M857" i="20"/>
  <c r="L857" i="20"/>
  <c r="N856" i="20"/>
  <c r="M856" i="20"/>
  <c r="L856" i="20"/>
  <c r="N855" i="20"/>
  <c r="M855" i="20"/>
  <c r="L855" i="20"/>
  <c r="N854" i="20"/>
  <c r="M854" i="20"/>
  <c r="L854" i="20"/>
  <c r="N853" i="20"/>
  <c r="M853" i="20"/>
  <c r="L853" i="20"/>
  <c r="N852" i="20"/>
  <c r="M852" i="20"/>
  <c r="L852" i="20"/>
  <c r="N851" i="20"/>
  <c r="M851" i="20"/>
  <c r="L851" i="20"/>
  <c r="N850" i="20"/>
  <c r="M850" i="20"/>
  <c r="L850" i="20"/>
  <c r="N849" i="20"/>
  <c r="M849" i="20"/>
  <c r="L849" i="20"/>
  <c r="N848" i="20"/>
  <c r="M848" i="20"/>
  <c r="L848" i="20"/>
  <c r="N847" i="20"/>
  <c r="M847" i="20"/>
  <c r="L847" i="20"/>
  <c r="N846" i="20"/>
  <c r="M846" i="20"/>
  <c r="L846" i="20"/>
  <c r="N845" i="20"/>
  <c r="M845" i="20"/>
  <c r="L845" i="20"/>
  <c r="N844" i="20"/>
  <c r="M844" i="20"/>
  <c r="L844" i="20"/>
  <c r="N843" i="20"/>
  <c r="M843" i="20"/>
  <c r="L843" i="20"/>
  <c r="N842" i="20"/>
  <c r="M842" i="20"/>
  <c r="L842" i="20"/>
  <c r="N841" i="20"/>
  <c r="M841" i="20"/>
  <c r="L841" i="20"/>
  <c r="N840" i="20"/>
  <c r="M840" i="20"/>
  <c r="L840" i="20"/>
  <c r="N839" i="20"/>
  <c r="M839" i="20"/>
  <c r="L839" i="20"/>
  <c r="N838" i="20"/>
  <c r="M838" i="20"/>
  <c r="L838" i="20"/>
  <c r="N837" i="20"/>
  <c r="M837" i="20"/>
  <c r="L837" i="20"/>
  <c r="N836" i="20"/>
  <c r="M836" i="20"/>
  <c r="L836" i="20"/>
  <c r="N835" i="20"/>
  <c r="M835" i="20"/>
  <c r="L835" i="20"/>
  <c r="N834" i="20"/>
  <c r="M834" i="20"/>
  <c r="L834" i="20"/>
  <c r="N833" i="20"/>
  <c r="M833" i="20"/>
  <c r="L833" i="20"/>
  <c r="N832" i="20"/>
  <c r="M832" i="20"/>
  <c r="L832" i="20"/>
  <c r="N831" i="20"/>
  <c r="M831" i="20"/>
  <c r="L831" i="20"/>
  <c r="N830" i="20"/>
  <c r="M830" i="20"/>
  <c r="L830" i="20"/>
  <c r="N829" i="20"/>
  <c r="M829" i="20"/>
  <c r="L829" i="20"/>
  <c r="N828" i="20"/>
  <c r="M828" i="20"/>
  <c r="L828" i="20"/>
  <c r="N827" i="20"/>
  <c r="M827" i="20"/>
  <c r="L827" i="20"/>
  <c r="N826" i="20"/>
  <c r="M826" i="20"/>
  <c r="L826" i="20"/>
  <c r="N825" i="20"/>
  <c r="M825" i="20"/>
  <c r="L825" i="20"/>
  <c r="N824" i="20"/>
  <c r="M824" i="20"/>
  <c r="L824" i="20"/>
  <c r="N823" i="20"/>
  <c r="M823" i="20"/>
  <c r="L823" i="20"/>
  <c r="N822" i="20"/>
  <c r="M822" i="20"/>
  <c r="L822" i="20"/>
  <c r="N821" i="20"/>
  <c r="M821" i="20"/>
  <c r="L821" i="20"/>
  <c r="N820" i="20"/>
  <c r="M820" i="20"/>
  <c r="L820" i="20"/>
  <c r="N819" i="20"/>
  <c r="M819" i="20"/>
  <c r="L819" i="20"/>
  <c r="N818" i="20"/>
  <c r="M818" i="20"/>
  <c r="L818" i="20"/>
  <c r="N817" i="20"/>
  <c r="M817" i="20"/>
  <c r="L817" i="20"/>
  <c r="N816" i="20"/>
  <c r="M816" i="20"/>
  <c r="L816" i="20"/>
  <c r="N815" i="20"/>
  <c r="M815" i="20"/>
  <c r="L815" i="20"/>
  <c r="N814" i="20"/>
  <c r="M814" i="20"/>
  <c r="L814" i="20"/>
  <c r="N813" i="20"/>
  <c r="M813" i="20"/>
  <c r="L813" i="20"/>
  <c r="N812" i="20"/>
  <c r="M812" i="20"/>
  <c r="L812" i="20"/>
  <c r="N811" i="20"/>
  <c r="M811" i="20"/>
  <c r="L811" i="20"/>
  <c r="N810" i="20"/>
  <c r="M810" i="20"/>
  <c r="L810" i="20"/>
  <c r="N809" i="20"/>
  <c r="M809" i="20"/>
  <c r="L809" i="20"/>
  <c r="N808" i="20"/>
  <c r="M808" i="20"/>
  <c r="L808" i="20"/>
  <c r="N807" i="20"/>
  <c r="M807" i="20"/>
  <c r="L807" i="20"/>
  <c r="N806" i="20"/>
  <c r="M806" i="20"/>
  <c r="L806" i="20"/>
  <c r="N805" i="20"/>
  <c r="M805" i="20"/>
  <c r="L805" i="20"/>
  <c r="N804" i="20"/>
  <c r="M804" i="20"/>
  <c r="L804" i="20"/>
  <c r="N803" i="20"/>
  <c r="M803" i="20"/>
  <c r="L803" i="20"/>
  <c r="N802" i="20"/>
  <c r="M802" i="20"/>
  <c r="L802" i="20"/>
  <c r="N801" i="20"/>
  <c r="M801" i="20"/>
  <c r="L801" i="20"/>
  <c r="N800" i="20"/>
  <c r="M800" i="20"/>
  <c r="L800" i="20"/>
  <c r="N799" i="20"/>
  <c r="M799" i="20"/>
  <c r="L799" i="20"/>
  <c r="N798" i="20"/>
  <c r="M798" i="20"/>
  <c r="L798" i="20"/>
  <c r="N797" i="20"/>
  <c r="M797" i="20"/>
  <c r="L797" i="20"/>
  <c r="N796" i="20"/>
  <c r="M796" i="20"/>
  <c r="L796" i="20"/>
  <c r="N795" i="20"/>
  <c r="M795" i="20"/>
  <c r="L795" i="20"/>
  <c r="N794" i="20"/>
  <c r="M794" i="20"/>
  <c r="L794" i="20"/>
  <c r="N793" i="20"/>
  <c r="M793" i="20"/>
  <c r="L793" i="20"/>
  <c r="N792" i="20"/>
  <c r="M792" i="20"/>
  <c r="L792" i="20"/>
  <c r="N791" i="20"/>
  <c r="M791" i="20"/>
  <c r="L791" i="20"/>
  <c r="N790" i="20"/>
  <c r="M790" i="20"/>
  <c r="L790" i="20"/>
  <c r="N789" i="20"/>
  <c r="M789" i="20"/>
  <c r="L789" i="20"/>
  <c r="N788" i="20"/>
  <c r="M788" i="20"/>
  <c r="L788" i="20"/>
  <c r="N787" i="20"/>
  <c r="M787" i="20"/>
  <c r="L787" i="20"/>
  <c r="N786" i="20"/>
  <c r="M786" i="20"/>
  <c r="L786" i="20"/>
  <c r="N785" i="20"/>
  <c r="M785" i="20"/>
  <c r="L785" i="20"/>
  <c r="N784" i="20"/>
  <c r="M784" i="20"/>
  <c r="L784" i="20"/>
  <c r="N783" i="20"/>
  <c r="M783" i="20"/>
  <c r="L783" i="20"/>
  <c r="N782" i="20"/>
  <c r="M782" i="20"/>
  <c r="L782" i="20"/>
  <c r="N781" i="20"/>
  <c r="M781" i="20"/>
  <c r="L781" i="20"/>
  <c r="N780" i="20"/>
  <c r="M780" i="20"/>
  <c r="L780" i="20"/>
  <c r="N779" i="20"/>
  <c r="M779" i="20"/>
  <c r="L779" i="20"/>
  <c r="N778" i="20"/>
  <c r="M778" i="20"/>
  <c r="L778" i="20"/>
  <c r="N777" i="20"/>
  <c r="M777" i="20"/>
  <c r="L777" i="20"/>
  <c r="N776" i="20"/>
  <c r="M776" i="20"/>
  <c r="L776" i="20"/>
  <c r="N775" i="20"/>
  <c r="M775" i="20"/>
  <c r="L775" i="20"/>
  <c r="N774" i="20"/>
  <c r="M774" i="20"/>
  <c r="L774" i="20"/>
  <c r="N773" i="20"/>
  <c r="M773" i="20"/>
  <c r="L773" i="20"/>
  <c r="N772" i="20"/>
  <c r="M772" i="20"/>
  <c r="L772" i="20"/>
  <c r="N771" i="20"/>
  <c r="M771" i="20"/>
  <c r="L771" i="20"/>
  <c r="N770" i="20"/>
  <c r="M770" i="20"/>
  <c r="L770" i="20"/>
  <c r="N769" i="20"/>
  <c r="M769" i="20"/>
  <c r="L769" i="20"/>
  <c r="N768" i="20"/>
  <c r="M768" i="20"/>
  <c r="L768" i="20"/>
  <c r="N767" i="20"/>
  <c r="M767" i="20"/>
  <c r="L767" i="20"/>
  <c r="N766" i="20"/>
  <c r="M766" i="20"/>
  <c r="L766" i="20"/>
  <c r="N765" i="20"/>
  <c r="M765" i="20"/>
  <c r="L765" i="20"/>
  <c r="N764" i="20"/>
  <c r="M764" i="20"/>
  <c r="L764" i="20"/>
  <c r="N763" i="20"/>
  <c r="M763" i="20"/>
  <c r="L763" i="20"/>
  <c r="N762" i="20"/>
  <c r="M762" i="20"/>
  <c r="L762" i="20"/>
  <c r="N761" i="20"/>
  <c r="M761" i="20"/>
  <c r="L761" i="20"/>
  <c r="N760" i="20"/>
  <c r="M760" i="20"/>
  <c r="L760" i="20"/>
  <c r="N759" i="20"/>
  <c r="M759" i="20"/>
  <c r="L759" i="20"/>
  <c r="N758" i="20"/>
  <c r="M758" i="20"/>
  <c r="L758" i="20"/>
  <c r="N757" i="20"/>
  <c r="M757" i="20"/>
  <c r="L757" i="20"/>
  <c r="N756" i="20"/>
  <c r="M756" i="20"/>
  <c r="L756" i="20"/>
  <c r="N755" i="20"/>
  <c r="M755" i="20"/>
  <c r="L755" i="20"/>
  <c r="N754" i="20"/>
  <c r="M754" i="20"/>
  <c r="L754" i="20"/>
  <c r="N753" i="20"/>
  <c r="M753" i="20"/>
  <c r="L753" i="20"/>
  <c r="N752" i="20"/>
  <c r="M752" i="20"/>
  <c r="L752" i="20"/>
  <c r="N751" i="20"/>
  <c r="M751" i="20"/>
  <c r="L751" i="20"/>
  <c r="N750" i="20"/>
  <c r="M750" i="20"/>
  <c r="L750" i="20"/>
  <c r="N749" i="20"/>
  <c r="M749" i="20"/>
  <c r="L749" i="20"/>
  <c r="N748" i="20"/>
  <c r="M748" i="20"/>
  <c r="L748" i="20"/>
  <c r="N747" i="20"/>
  <c r="M747" i="20"/>
  <c r="L747" i="20"/>
  <c r="N746" i="20"/>
  <c r="M746" i="20"/>
  <c r="L746" i="20"/>
  <c r="N745" i="20"/>
  <c r="M745" i="20"/>
  <c r="L745" i="20"/>
  <c r="N744" i="20"/>
  <c r="M744" i="20"/>
  <c r="L744" i="20"/>
  <c r="N743" i="20"/>
  <c r="M743" i="20"/>
  <c r="L743" i="20"/>
  <c r="N742" i="20"/>
  <c r="M742" i="20"/>
  <c r="L742" i="20"/>
  <c r="N741" i="20"/>
  <c r="M741" i="20"/>
  <c r="L741" i="20"/>
  <c r="N740" i="20"/>
  <c r="M740" i="20"/>
  <c r="L740" i="20"/>
  <c r="N739" i="20"/>
  <c r="M739" i="20"/>
  <c r="L739" i="20"/>
  <c r="N738" i="20"/>
  <c r="M738" i="20"/>
  <c r="L738" i="20"/>
  <c r="N737" i="20"/>
  <c r="M737" i="20"/>
  <c r="L737" i="20"/>
  <c r="N736" i="20"/>
  <c r="M736" i="20"/>
  <c r="L736" i="20"/>
  <c r="N735" i="20"/>
  <c r="M735" i="20"/>
  <c r="L735" i="20"/>
  <c r="N734" i="20"/>
  <c r="M734" i="20"/>
  <c r="L734" i="20"/>
  <c r="N733" i="20"/>
  <c r="M733" i="20"/>
  <c r="L733" i="20"/>
  <c r="N732" i="20"/>
  <c r="M732" i="20"/>
  <c r="L732" i="20"/>
  <c r="N731" i="20"/>
  <c r="M731" i="20"/>
  <c r="L731" i="20"/>
  <c r="N730" i="20"/>
  <c r="M730" i="20"/>
  <c r="L730" i="20"/>
  <c r="N729" i="20"/>
  <c r="M729" i="20"/>
  <c r="L729" i="20"/>
  <c r="N728" i="20"/>
  <c r="M728" i="20"/>
  <c r="L728" i="20"/>
  <c r="N727" i="20"/>
  <c r="M727" i="20"/>
  <c r="L727" i="20"/>
  <c r="N726" i="20"/>
  <c r="M726" i="20"/>
  <c r="L726" i="20"/>
  <c r="N725" i="20"/>
  <c r="M725" i="20"/>
  <c r="L725" i="20"/>
  <c r="N724" i="20"/>
  <c r="M724" i="20"/>
  <c r="L724" i="20"/>
  <c r="N723" i="20"/>
  <c r="M723" i="20"/>
  <c r="L723" i="20"/>
  <c r="N722" i="20"/>
  <c r="M722" i="20"/>
  <c r="L722" i="20"/>
  <c r="N721" i="20"/>
  <c r="M721" i="20"/>
  <c r="L721" i="20"/>
  <c r="N720" i="20"/>
  <c r="M720" i="20"/>
  <c r="L720" i="20"/>
  <c r="N719" i="20"/>
  <c r="M719" i="20"/>
  <c r="L719" i="20"/>
  <c r="N718" i="20"/>
  <c r="M718" i="20"/>
  <c r="L718" i="20"/>
  <c r="N717" i="20"/>
  <c r="M717" i="20"/>
  <c r="L717" i="20"/>
  <c r="N716" i="20"/>
  <c r="M716" i="20"/>
  <c r="L716" i="20"/>
  <c r="N715" i="20"/>
  <c r="M715" i="20"/>
  <c r="L715" i="20"/>
  <c r="N714" i="20"/>
  <c r="M714" i="20"/>
  <c r="L714" i="20"/>
  <c r="N713" i="20"/>
  <c r="M713" i="20"/>
  <c r="L713" i="20"/>
  <c r="N712" i="20"/>
  <c r="M712" i="20"/>
  <c r="L712" i="20"/>
  <c r="N711" i="20"/>
  <c r="M711" i="20"/>
  <c r="L711" i="20"/>
  <c r="N710" i="20"/>
  <c r="M710" i="20"/>
  <c r="L710" i="20"/>
  <c r="N709" i="20"/>
  <c r="M709" i="20"/>
  <c r="L709" i="20"/>
  <c r="N708" i="20"/>
  <c r="M708" i="20"/>
  <c r="L708" i="20"/>
  <c r="N707" i="20"/>
  <c r="M707" i="20"/>
  <c r="L707" i="20"/>
  <c r="N706" i="20"/>
  <c r="M706" i="20"/>
  <c r="L706" i="20"/>
  <c r="N705" i="20"/>
  <c r="M705" i="20"/>
  <c r="L705" i="20"/>
  <c r="N704" i="20"/>
  <c r="M704" i="20"/>
  <c r="L704" i="20"/>
  <c r="N703" i="20"/>
  <c r="M703" i="20"/>
  <c r="L703" i="20"/>
  <c r="N702" i="20"/>
  <c r="M702" i="20"/>
  <c r="L702" i="20"/>
  <c r="N701" i="20"/>
  <c r="M701" i="20"/>
  <c r="L701" i="20"/>
  <c r="N700" i="20"/>
  <c r="M700" i="20"/>
  <c r="L700" i="20"/>
  <c r="N699" i="20"/>
  <c r="M699" i="20"/>
  <c r="L699" i="20"/>
  <c r="N698" i="20"/>
  <c r="M698" i="20"/>
  <c r="L698" i="20"/>
  <c r="N697" i="20"/>
  <c r="M697" i="20"/>
  <c r="L697" i="20"/>
  <c r="N696" i="20"/>
  <c r="M696" i="20"/>
  <c r="L696" i="20"/>
  <c r="N695" i="20"/>
  <c r="M695" i="20"/>
  <c r="L695" i="20"/>
  <c r="N694" i="20"/>
  <c r="M694" i="20"/>
  <c r="L694" i="20"/>
  <c r="N693" i="20"/>
  <c r="M693" i="20"/>
  <c r="L693" i="20"/>
  <c r="N692" i="20"/>
  <c r="M692" i="20"/>
  <c r="L692" i="20"/>
  <c r="N691" i="20"/>
  <c r="M691" i="20"/>
  <c r="L691" i="20"/>
  <c r="N690" i="20"/>
  <c r="M690" i="20"/>
  <c r="L690" i="20"/>
  <c r="N689" i="20"/>
  <c r="M689" i="20"/>
  <c r="L689" i="20"/>
  <c r="N688" i="20"/>
  <c r="M688" i="20"/>
  <c r="L688" i="20"/>
  <c r="N687" i="20"/>
  <c r="M687" i="20"/>
  <c r="L687" i="20"/>
  <c r="N686" i="20"/>
  <c r="M686" i="20"/>
  <c r="L686" i="20"/>
  <c r="N685" i="20"/>
  <c r="M685" i="20"/>
  <c r="L685" i="20"/>
  <c r="N684" i="20"/>
  <c r="M684" i="20"/>
  <c r="L684" i="20"/>
  <c r="N683" i="20"/>
  <c r="M683" i="20"/>
  <c r="L683" i="20"/>
  <c r="N682" i="20"/>
  <c r="M682" i="20"/>
  <c r="L682" i="20"/>
  <c r="N681" i="20"/>
  <c r="M681" i="20"/>
  <c r="L681" i="20"/>
  <c r="N680" i="20"/>
  <c r="M680" i="20"/>
  <c r="L680" i="20"/>
  <c r="N679" i="20"/>
  <c r="M679" i="20"/>
  <c r="L679" i="20"/>
  <c r="N678" i="20"/>
  <c r="M678" i="20"/>
  <c r="L678" i="20"/>
  <c r="N677" i="20"/>
  <c r="M677" i="20"/>
  <c r="L677" i="20"/>
  <c r="N676" i="20"/>
  <c r="M676" i="20"/>
  <c r="L676" i="20"/>
  <c r="N675" i="20"/>
  <c r="M675" i="20"/>
  <c r="L675" i="20"/>
  <c r="N674" i="20"/>
  <c r="M674" i="20"/>
  <c r="L674" i="20"/>
  <c r="N673" i="20"/>
  <c r="M673" i="20"/>
  <c r="L673" i="20"/>
  <c r="N672" i="20"/>
  <c r="M672" i="20"/>
  <c r="L672" i="20"/>
  <c r="N671" i="20"/>
  <c r="M671" i="20"/>
  <c r="L671" i="20"/>
  <c r="N670" i="20"/>
  <c r="M670" i="20"/>
  <c r="L670" i="20"/>
  <c r="N669" i="20"/>
  <c r="M669" i="20"/>
  <c r="L669" i="20"/>
  <c r="N668" i="20"/>
  <c r="M668" i="20"/>
  <c r="L668" i="20"/>
  <c r="N667" i="20"/>
  <c r="M667" i="20"/>
  <c r="L667" i="20"/>
  <c r="N666" i="20"/>
  <c r="M666" i="20"/>
  <c r="L666" i="20"/>
  <c r="N665" i="20"/>
  <c r="M665" i="20"/>
  <c r="L665" i="20"/>
  <c r="N664" i="20"/>
  <c r="M664" i="20"/>
  <c r="L664" i="20"/>
  <c r="N663" i="20"/>
  <c r="M663" i="20"/>
  <c r="L663" i="20"/>
  <c r="N662" i="20"/>
  <c r="M662" i="20"/>
  <c r="L662" i="20"/>
  <c r="N661" i="20"/>
  <c r="M661" i="20"/>
  <c r="L661" i="20"/>
  <c r="N660" i="20"/>
  <c r="M660" i="20"/>
  <c r="L660" i="20"/>
  <c r="N659" i="20"/>
  <c r="M659" i="20"/>
  <c r="L659" i="20"/>
  <c r="N658" i="20"/>
  <c r="M658" i="20"/>
  <c r="L658" i="20"/>
  <c r="N657" i="20"/>
  <c r="M657" i="20"/>
  <c r="L657" i="20"/>
  <c r="N656" i="20"/>
  <c r="M656" i="20"/>
  <c r="L656" i="20"/>
  <c r="N655" i="20"/>
  <c r="M655" i="20"/>
  <c r="L655" i="20"/>
  <c r="N654" i="20"/>
  <c r="M654" i="20"/>
  <c r="L654" i="20"/>
  <c r="N653" i="20"/>
  <c r="M653" i="20"/>
  <c r="L653" i="20"/>
  <c r="N652" i="20"/>
  <c r="M652" i="20"/>
  <c r="L652" i="20"/>
  <c r="N651" i="20"/>
  <c r="M651" i="20"/>
  <c r="L651" i="20"/>
  <c r="N650" i="20"/>
  <c r="M650" i="20"/>
  <c r="L650" i="20"/>
  <c r="N649" i="20"/>
  <c r="M649" i="20"/>
  <c r="L649" i="20"/>
  <c r="N648" i="20"/>
  <c r="M648" i="20"/>
  <c r="L648" i="20"/>
  <c r="N647" i="20"/>
  <c r="M647" i="20"/>
  <c r="L647" i="20"/>
  <c r="N646" i="20"/>
  <c r="M646" i="20"/>
  <c r="L646" i="20"/>
  <c r="N645" i="20"/>
  <c r="M645" i="20"/>
  <c r="L645" i="20"/>
  <c r="N644" i="20"/>
  <c r="M644" i="20"/>
  <c r="L644" i="20"/>
  <c r="N643" i="20"/>
  <c r="M643" i="20"/>
  <c r="L643" i="20"/>
  <c r="N642" i="20"/>
  <c r="M642" i="20"/>
  <c r="L642" i="20"/>
  <c r="N641" i="20"/>
  <c r="M641" i="20"/>
  <c r="L641" i="20"/>
  <c r="N640" i="20"/>
  <c r="M640" i="20"/>
  <c r="L640" i="20"/>
  <c r="N639" i="20"/>
  <c r="M639" i="20"/>
  <c r="L639" i="20"/>
  <c r="N638" i="20"/>
  <c r="M638" i="20"/>
  <c r="L638" i="20"/>
  <c r="N637" i="20"/>
  <c r="M637" i="20"/>
  <c r="L637" i="20"/>
  <c r="N636" i="20"/>
  <c r="M636" i="20"/>
  <c r="L636" i="20"/>
  <c r="N635" i="20"/>
  <c r="M635" i="20"/>
  <c r="L635" i="20"/>
  <c r="N634" i="20"/>
  <c r="M634" i="20"/>
  <c r="L634" i="20"/>
  <c r="N633" i="20"/>
  <c r="M633" i="20"/>
  <c r="L633" i="20"/>
  <c r="N632" i="20"/>
  <c r="M632" i="20"/>
  <c r="L632" i="20"/>
  <c r="N631" i="20"/>
  <c r="M631" i="20"/>
  <c r="L631" i="20"/>
  <c r="N630" i="20"/>
  <c r="M630" i="20"/>
  <c r="L630" i="20"/>
  <c r="N629" i="20"/>
  <c r="M629" i="20"/>
  <c r="L629" i="20"/>
  <c r="N628" i="20"/>
  <c r="M628" i="20"/>
  <c r="L628" i="20"/>
  <c r="N627" i="20"/>
  <c r="M627" i="20"/>
  <c r="L627" i="20"/>
  <c r="N626" i="20"/>
  <c r="M626" i="20"/>
  <c r="L626" i="20"/>
  <c r="N625" i="20"/>
  <c r="M625" i="20"/>
  <c r="L625" i="20"/>
  <c r="N624" i="20"/>
  <c r="M624" i="20"/>
  <c r="L624" i="20"/>
  <c r="N623" i="20"/>
  <c r="M623" i="20"/>
  <c r="L623" i="20"/>
  <c r="N622" i="20"/>
  <c r="M622" i="20"/>
  <c r="L622" i="20"/>
  <c r="N621" i="20"/>
  <c r="M621" i="20"/>
  <c r="L621" i="20"/>
  <c r="N620" i="20"/>
  <c r="M620" i="20"/>
  <c r="L620" i="20"/>
  <c r="N619" i="20"/>
  <c r="M619" i="20"/>
  <c r="L619" i="20"/>
  <c r="N618" i="20"/>
  <c r="M618" i="20"/>
  <c r="L618" i="20"/>
  <c r="N617" i="20"/>
  <c r="M617" i="20"/>
  <c r="L617" i="20"/>
  <c r="N616" i="20"/>
  <c r="M616" i="20"/>
  <c r="L616" i="20"/>
  <c r="N615" i="20"/>
  <c r="M615" i="20"/>
  <c r="L615" i="20"/>
  <c r="N614" i="20"/>
  <c r="M614" i="20"/>
  <c r="L614" i="20"/>
  <c r="N613" i="20"/>
  <c r="M613" i="20"/>
  <c r="L613" i="20"/>
  <c r="N612" i="20"/>
  <c r="M612" i="20"/>
  <c r="L612" i="20"/>
  <c r="N611" i="20"/>
  <c r="M611" i="20"/>
  <c r="L611" i="20"/>
  <c r="N610" i="20"/>
  <c r="M610" i="20"/>
  <c r="L610" i="20"/>
  <c r="N609" i="20"/>
  <c r="M609" i="20"/>
  <c r="L609" i="20"/>
  <c r="N608" i="20"/>
  <c r="M608" i="20"/>
  <c r="L608" i="20"/>
  <c r="N607" i="20"/>
  <c r="M607" i="20"/>
  <c r="L607" i="20"/>
  <c r="N606" i="20"/>
  <c r="M606" i="20"/>
  <c r="L606" i="20"/>
  <c r="N605" i="20"/>
  <c r="M605" i="20"/>
  <c r="L605" i="20"/>
  <c r="N604" i="20"/>
  <c r="M604" i="20"/>
  <c r="L604" i="20"/>
  <c r="N603" i="20"/>
  <c r="M603" i="20"/>
  <c r="L603" i="20"/>
  <c r="N602" i="20"/>
  <c r="M602" i="20"/>
  <c r="L602" i="20"/>
  <c r="N601" i="20"/>
  <c r="M601" i="20"/>
  <c r="L601" i="20"/>
  <c r="N600" i="20"/>
  <c r="M600" i="20"/>
  <c r="L600" i="20"/>
  <c r="N599" i="20"/>
  <c r="M599" i="20"/>
  <c r="L599" i="20"/>
  <c r="N598" i="20"/>
  <c r="M598" i="20"/>
  <c r="L598" i="20"/>
  <c r="N597" i="20"/>
  <c r="M597" i="20"/>
  <c r="L597" i="20"/>
  <c r="N596" i="20"/>
  <c r="M596" i="20"/>
  <c r="L596" i="20"/>
  <c r="N595" i="20"/>
  <c r="M595" i="20"/>
  <c r="L595" i="20"/>
  <c r="N594" i="20"/>
  <c r="M594" i="20"/>
  <c r="L594" i="20"/>
  <c r="N593" i="20"/>
  <c r="M593" i="20"/>
  <c r="L593" i="20"/>
  <c r="N592" i="20"/>
  <c r="M592" i="20"/>
  <c r="L592" i="20"/>
  <c r="N591" i="20"/>
  <c r="M591" i="20"/>
  <c r="L591" i="20"/>
  <c r="N590" i="20"/>
  <c r="M590" i="20"/>
  <c r="L590" i="20"/>
  <c r="N589" i="20"/>
  <c r="M589" i="20"/>
  <c r="L589" i="20"/>
  <c r="N588" i="20"/>
  <c r="M588" i="20"/>
  <c r="L588" i="20"/>
  <c r="N587" i="20"/>
  <c r="M587" i="20"/>
  <c r="L587" i="20"/>
  <c r="N586" i="20"/>
  <c r="M586" i="20"/>
  <c r="L586" i="20"/>
  <c r="N585" i="20"/>
  <c r="M585" i="20"/>
  <c r="L585" i="20"/>
  <c r="N584" i="20"/>
  <c r="M584" i="20"/>
  <c r="L584" i="20"/>
  <c r="N583" i="20"/>
  <c r="M583" i="20"/>
  <c r="L583" i="20"/>
  <c r="N582" i="20"/>
  <c r="M582" i="20"/>
  <c r="L582" i="20"/>
  <c r="N581" i="20"/>
  <c r="M581" i="20"/>
  <c r="L581" i="20"/>
  <c r="N580" i="20"/>
  <c r="M580" i="20"/>
  <c r="L580" i="20"/>
  <c r="N579" i="20"/>
  <c r="M579" i="20"/>
  <c r="L579" i="20"/>
  <c r="N578" i="20"/>
  <c r="M578" i="20"/>
  <c r="L578" i="20"/>
  <c r="N577" i="20"/>
  <c r="M577" i="20"/>
  <c r="L577" i="20"/>
  <c r="N576" i="20"/>
  <c r="M576" i="20"/>
  <c r="L576" i="20"/>
  <c r="N575" i="20"/>
  <c r="M575" i="20"/>
  <c r="L575" i="20"/>
  <c r="N574" i="20"/>
  <c r="M574" i="20"/>
  <c r="L574" i="20"/>
  <c r="N573" i="20"/>
  <c r="M573" i="20"/>
  <c r="L573" i="20"/>
  <c r="N572" i="20"/>
  <c r="M572" i="20"/>
  <c r="L572" i="20"/>
  <c r="N571" i="20"/>
  <c r="M571" i="20"/>
  <c r="L571" i="20"/>
  <c r="N570" i="20"/>
  <c r="M570" i="20"/>
  <c r="L570" i="20"/>
  <c r="N569" i="20"/>
  <c r="M569" i="20"/>
  <c r="L569" i="20"/>
  <c r="N568" i="20"/>
  <c r="M568" i="20"/>
  <c r="L568" i="20"/>
  <c r="N567" i="20"/>
  <c r="M567" i="20"/>
  <c r="L567" i="20"/>
  <c r="N566" i="20"/>
  <c r="M566" i="20"/>
  <c r="L566" i="20"/>
  <c r="N565" i="20"/>
  <c r="M565" i="20"/>
  <c r="L565" i="20"/>
  <c r="N564" i="20"/>
  <c r="M564" i="20"/>
  <c r="L564" i="20"/>
  <c r="N563" i="20"/>
  <c r="M563" i="20"/>
  <c r="L563" i="20"/>
  <c r="N562" i="20"/>
  <c r="M562" i="20"/>
  <c r="L562" i="20"/>
  <c r="N561" i="20"/>
  <c r="M561" i="20"/>
  <c r="L561" i="20"/>
  <c r="N560" i="20"/>
  <c r="M560" i="20"/>
  <c r="L560" i="20"/>
  <c r="N559" i="20"/>
  <c r="M559" i="20"/>
  <c r="L559" i="20"/>
  <c r="N558" i="20"/>
  <c r="M558" i="20"/>
  <c r="L558" i="20"/>
  <c r="N557" i="20"/>
  <c r="M557" i="20"/>
  <c r="L557" i="20"/>
  <c r="N556" i="20"/>
  <c r="M556" i="20"/>
  <c r="L556" i="20"/>
  <c r="N555" i="20"/>
  <c r="M555" i="20"/>
  <c r="L555" i="20"/>
  <c r="N554" i="20"/>
  <c r="M554" i="20"/>
  <c r="L554" i="20"/>
  <c r="N553" i="20"/>
  <c r="M553" i="20"/>
  <c r="L553" i="20"/>
  <c r="N552" i="20"/>
  <c r="M552" i="20"/>
  <c r="L552" i="20"/>
  <c r="N551" i="20"/>
  <c r="M551" i="20"/>
  <c r="L551" i="20"/>
  <c r="N550" i="20"/>
  <c r="M550" i="20"/>
  <c r="L550" i="20"/>
  <c r="N549" i="20"/>
  <c r="M549" i="20"/>
  <c r="L549" i="20"/>
  <c r="N548" i="20"/>
  <c r="M548" i="20"/>
  <c r="L548" i="20"/>
  <c r="N547" i="20"/>
  <c r="M547" i="20"/>
  <c r="L547" i="20"/>
  <c r="N546" i="20"/>
  <c r="M546" i="20"/>
  <c r="L546" i="20"/>
  <c r="N545" i="20"/>
  <c r="M545" i="20"/>
  <c r="L545" i="20"/>
  <c r="N544" i="20"/>
  <c r="M544" i="20"/>
  <c r="L544" i="20"/>
  <c r="N543" i="20"/>
  <c r="M543" i="20"/>
  <c r="L543" i="20"/>
  <c r="N542" i="20"/>
  <c r="M542" i="20"/>
  <c r="L542" i="20"/>
  <c r="N541" i="20"/>
  <c r="M541" i="20"/>
  <c r="L541" i="20"/>
  <c r="N540" i="20"/>
  <c r="M540" i="20"/>
  <c r="L540" i="20"/>
  <c r="N539" i="20"/>
  <c r="M539" i="20"/>
  <c r="L539" i="20"/>
  <c r="N538" i="20"/>
  <c r="M538" i="20"/>
  <c r="L538" i="20"/>
  <c r="N537" i="20"/>
  <c r="M537" i="20"/>
  <c r="L537" i="20"/>
  <c r="N536" i="20"/>
  <c r="M536" i="20"/>
  <c r="L536" i="20"/>
  <c r="N535" i="20"/>
  <c r="M535" i="20"/>
  <c r="L535" i="20"/>
  <c r="N534" i="20"/>
  <c r="M534" i="20"/>
  <c r="L534" i="20"/>
  <c r="N533" i="20"/>
  <c r="M533" i="20"/>
  <c r="L533" i="20"/>
  <c r="N532" i="20"/>
  <c r="M532" i="20"/>
  <c r="L532" i="20"/>
  <c r="N531" i="20"/>
  <c r="M531" i="20"/>
  <c r="L531" i="20"/>
  <c r="N530" i="20"/>
  <c r="M530" i="20"/>
  <c r="L530" i="20"/>
  <c r="N529" i="20"/>
  <c r="M529" i="20"/>
  <c r="L529" i="20"/>
  <c r="N528" i="20"/>
  <c r="M528" i="20"/>
  <c r="L528" i="20"/>
  <c r="N527" i="20"/>
  <c r="M527" i="20"/>
  <c r="L527" i="20"/>
  <c r="N526" i="20"/>
  <c r="M526" i="20"/>
  <c r="L526" i="20"/>
  <c r="N525" i="20"/>
  <c r="M525" i="20"/>
  <c r="L525" i="20"/>
  <c r="N524" i="20"/>
  <c r="M524" i="20"/>
  <c r="L524" i="20"/>
  <c r="N523" i="20"/>
  <c r="M523" i="20"/>
  <c r="L523" i="20"/>
  <c r="N522" i="20"/>
  <c r="M522" i="20"/>
  <c r="L522" i="20"/>
  <c r="N521" i="20"/>
  <c r="M521" i="20"/>
  <c r="L521" i="20"/>
  <c r="N520" i="20"/>
  <c r="M520" i="20"/>
  <c r="L520" i="20"/>
  <c r="N519" i="20"/>
  <c r="M519" i="20"/>
  <c r="L519" i="20"/>
  <c r="N518" i="20"/>
  <c r="M518" i="20"/>
  <c r="L518" i="20"/>
  <c r="N517" i="20"/>
  <c r="M517" i="20"/>
  <c r="L517" i="20"/>
  <c r="N516" i="20"/>
  <c r="M516" i="20"/>
  <c r="L516" i="20"/>
  <c r="N515" i="20"/>
  <c r="M515" i="20"/>
  <c r="L515" i="20"/>
  <c r="N514" i="20"/>
  <c r="M514" i="20"/>
  <c r="L514" i="20"/>
  <c r="N513" i="20"/>
  <c r="M513" i="20"/>
  <c r="L513" i="20"/>
  <c r="N512" i="20"/>
  <c r="M512" i="20"/>
  <c r="L512" i="20"/>
  <c r="N511" i="20"/>
  <c r="M511" i="20"/>
  <c r="L511" i="20"/>
  <c r="N510" i="20"/>
  <c r="M510" i="20"/>
  <c r="L510" i="20"/>
  <c r="N509" i="20"/>
  <c r="M509" i="20"/>
  <c r="L509" i="20"/>
  <c r="N508" i="20"/>
  <c r="M508" i="20"/>
  <c r="L508" i="20"/>
  <c r="N507" i="20"/>
  <c r="M507" i="20"/>
  <c r="L507" i="20"/>
  <c r="N506" i="20"/>
  <c r="M506" i="20"/>
  <c r="L506" i="20"/>
  <c r="N505" i="20"/>
  <c r="M505" i="20"/>
  <c r="L505" i="20"/>
  <c r="N504" i="20"/>
  <c r="M504" i="20"/>
  <c r="L504" i="20"/>
  <c r="N503" i="20"/>
  <c r="M503" i="20"/>
  <c r="L503" i="20"/>
  <c r="N502" i="20"/>
  <c r="M502" i="20"/>
  <c r="L502" i="20"/>
  <c r="N501" i="20"/>
  <c r="M501" i="20"/>
  <c r="L501" i="20"/>
  <c r="N500" i="20"/>
  <c r="M500" i="20"/>
  <c r="L500" i="20"/>
  <c r="N499" i="20"/>
  <c r="M499" i="20"/>
  <c r="L499" i="20"/>
  <c r="N498" i="20"/>
  <c r="M498" i="20"/>
  <c r="L498" i="20"/>
  <c r="N497" i="20"/>
  <c r="M497" i="20"/>
  <c r="L497" i="20"/>
  <c r="N496" i="20"/>
  <c r="M496" i="20"/>
  <c r="L496" i="20"/>
  <c r="N495" i="20"/>
  <c r="M495" i="20"/>
  <c r="L495" i="20"/>
  <c r="N494" i="20"/>
  <c r="M494" i="20"/>
  <c r="L494" i="20"/>
  <c r="N493" i="20"/>
  <c r="M493" i="20"/>
  <c r="L493" i="20"/>
  <c r="N492" i="20"/>
  <c r="M492" i="20"/>
  <c r="L492" i="20"/>
  <c r="N491" i="20"/>
  <c r="M491" i="20"/>
  <c r="L491" i="20"/>
  <c r="N490" i="20"/>
  <c r="M490" i="20"/>
  <c r="L490" i="20"/>
  <c r="N489" i="20"/>
  <c r="M489" i="20"/>
  <c r="L489" i="20"/>
  <c r="N488" i="20"/>
  <c r="M488" i="20"/>
  <c r="L488" i="20"/>
  <c r="N487" i="20"/>
  <c r="M487" i="20"/>
  <c r="L487" i="20"/>
  <c r="N486" i="20"/>
  <c r="M486" i="20"/>
  <c r="L486" i="20"/>
  <c r="N485" i="20"/>
  <c r="M485" i="20"/>
  <c r="L485" i="20"/>
  <c r="N484" i="20"/>
  <c r="M484" i="20"/>
  <c r="L484" i="20"/>
  <c r="N483" i="20"/>
  <c r="M483" i="20"/>
  <c r="L483" i="20"/>
  <c r="N482" i="20"/>
  <c r="M482" i="20"/>
  <c r="L482" i="20"/>
  <c r="N481" i="20"/>
  <c r="M481" i="20"/>
  <c r="L481" i="20"/>
  <c r="N480" i="20"/>
  <c r="M480" i="20"/>
  <c r="L480" i="20"/>
  <c r="N479" i="20"/>
  <c r="M479" i="20"/>
  <c r="L479" i="20"/>
  <c r="N478" i="20"/>
  <c r="M478" i="20"/>
  <c r="L478" i="20"/>
  <c r="N477" i="20"/>
  <c r="M477" i="20"/>
  <c r="L477" i="20"/>
  <c r="N476" i="20"/>
  <c r="M476" i="20"/>
  <c r="L476" i="20"/>
  <c r="N475" i="20"/>
  <c r="M475" i="20"/>
  <c r="L475" i="20"/>
  <c r="N474" i="20"/>
  <c r="M474" i="20"/>
  <c r="L474" i="20"/>
  <c r="N473" i="20"/>
  <c r="M473" i="20"/>
  <c r="L473" i="20"/>
  <c r="N472" i="20"/>
  <c r="M472" i="20"/>
  <c r="L472" i="20"/>
  <c r="N471" i="20"/>
  <c r="M471" i="20"/>
  <c r="L471" i="20"/>
  <c r="N470" i="20"/>
  <c r="M470" i="20"/>
  <c r="L470" i="20"/>
  <c r="N469" i="20"/>
  <c r="M469" i="20"/>
  <c r="L469" i="20"/>
  <c r="N468" i="20"/>
  <c r="M468" i="20"/>
  <c r="L468" i="20"/>
  <c r="N467" i="20"/>
  <c r="M467" i="20"/>
  <c r="L467" i="20"/>
  <c r="N466" i="20"/>
  <c r="M466" i="20"/>
  <c r="L466" i="20"/>
  <c r="N465" i="20"/>
  <c r="M465" i="20"/>
  <c r="L465" i="20"/>
  <c r="N464" i="20"/>
  <c r="M464" i="20"/>
  <c r="L464" i="20"/>
  <c r="N463" i="20"/>
  <c r="M463" i="20"/>
  <c r="L463" i="20"/>
  <c r="N462" i="20"/>
  <c r="M462" i="20"/>
  <c r="L462" i="20"/>
  <c r="N461" i="20"/>
  <c r="M461" i="20"/>
  <c r="L461" i="20"/>
  <c r="N460" i="20"/>
  <c r="M460" i="20"/>
  <c r="L460" i="20"/>
  <c r="N459" i="20"/>
  <c r="M459" i="20"/>
  <c r="L459" i="20"/>
  <c r="N458" i="20"/>
  <c r="M458" i="20"/>
  <c r="L458" i="20"/>
  <c r="N457" i="20"/>
  <c r="M457" i="20"/>
  <c r="L457" i="20"/>
  <c r="N456" i="20"/>
  <c r="M456" i="20"/>
  <c r="L456" i="20"/>
  <c r="N455" i="20"/>
  <c r="M455" i="20"/>
  <c r="L455" i="20"/>
  <c r="N454" i="20"/>
  <c r="M454" i="20"/>
  <c r="L454" i="20"/>
  <c r="N453" i="20"/>
  <c r="M453" i="20"/>
  <c r="L453" i="20"/>
  <c r="N452" i="20"/>
  <c r="M452" i="20"/>
  <c r="L452" i="20"/>
  <c r="N451" i="20"/>
  <c r="M451" i="20"/>
  <c r="L451" i="20"/>
  <c r="N450" i="20"/>
  <c r="M450" i="20"/>
  <c r="L450" i="20"/>
  <c r="N449" i="20"/>
  <c r="M449" i="20"/>
  <c r="L449" i="20"/>
  <c r="N448" i="20"/>
  <c r="M448" i="20"/>
  <c r="L448" i="20"/>
  <c r="N447" i="20"/>
  <c r="M447" i="20"/>
  <c r="L447" i="20"/>
  <c r="N446" i="20"/>
  <c r="M446" i="20"/>
  <c r="L446" i="20"/>
  <c r="N445" i="20"/>
  <c r="M445" i="20"/>
  <c r="L445" i="20"/>
  <c r="N444" i="20"/>
  <c r="M444" i="20"/>
  <c r="L444" i="20"/>
  <c r="N443" i="20"/>
  <c r="M443" i="20"/>
  <c r="L443" i="20"/>
  <c r="N442" i="20"/>
  <c r="M442" i="20"/>
  <c r="L442" i="20"/>
  <c r="N441" i="20"/>
  <c r="M441" i="20"/>
  <c r="L441" i="20"/>
  <c r="N440" i="20"/>
  <c r="M440" i="20"/>
  <c r="L440" i="20"/>
  <c r="N439" i="20"/>
  <c r="M439" i="20"/>
  <c r="L439" i="20"/>
  <c r="N438" i="20"/>
  <c r="M438" i="20"/>
  <c r="L438" i="20"/>
  <c r="N437" i="20"/>
  <c r="M437" i="20"/>
  <c r="L437" i="20"/>
  <c r="N436" i="20"/>
  <c r="M436" i="20"/>
  <c r="L436" i="20"/>
  <c r="N435" i="20"/>
  <c r="M435" i="20"/>
  <c r="L435" i="20"/>
  <c r="N434" i="20"/>
  <c r="M434" i="20"/>
  <c r="L434" i="20"/>
  <c r="N433" i="20"/>
  <c r="M433" i="20"/>
  <c r="L433" i="20"/>
  <c r="N432" i="20"/>
  <c r="M432" i="20"/>
  <c r="L432" i="20"/>
  <c r="N431" i="20"/>
  <c r="M431" i="20"/>
  <c r="L431" i="20"/>
  <c r="N430" i="20"/>
  <c r="M430" i="20"/>
  <c r="L430" i="20"/>
  <c r="N429" i="20"/>
  <c r="M429" i="20"/>
  <c r="L429" i="20"/>
  <c r="N428" i="20"/>
  <c r="M428" i="20"/>
  <c r="L428" i="20"/>
  <c r="N427" i="20"/>
  <c r="M427" i="20"/>
  <c r="L427" i="20"/>
  <c r="N426" i="20"/>
  <c r="M426" i="20"/>
  <c r="L426" i="20"/>
  <c r="N425" i="20"/>
  <c r="M425" i="20"/>
  <c r="L425" i="20"/>
  <c r="N424" i="20"/>
  <c r="M424" i="20"/>
  <c r="L424" i="20"/>
  <c r="N423" i="20"/>
  <c r="M423" i="20"/>
  <c r="L423" i="20"/>
  <c r="N422" i="20"/>
  <c r="M422" i="20"/>
  <c r="L422" i="20"/>
  <c r="N421" i="20"/>
  <c r="M421" i="20"/>
  <c r="L421" i="20"/>
  <c r="N420" i="20"/>
  <c r="M420" i="20"/>
  <c r="L420" i="20"/>
  <c r="N419" i="20"/>
  <c r="M419" i="20"/>
  <c r="L419" i="20"/>
  <c r="N418" i="20"/>
  <c r="M418" i="20"/>
  <c r="L418" i="20"/>
  <c r="N417" i="20"/>
  <c r="M417" i="20"/>
  <c r="L417" i="20"/>
  <c r="N416" i="20"/>
  <c r="M416" i="20"/>
  <c r="L416" i="20"/>
  <c r="N415" i="20"/>
  <c r="M415" i="20"/>
  <c r="L415" i="20"/>
  <c r="N414" i="20"/>
  <c r="M414" i="20"/>
  <c r="L414" i="20"/>
  <c r="N413" i="20"/>
  <c r="M413" i="20"/>
  <c r="L413" i="20"/>
  <c r="N412" i="20"/>
  <c r="M412" i="20"/>
  <c r="L412" i="20"/>
  <c r="N411" i="20"/>
  <c r="M411" i="20"/>
  <c r="L411" i="20"/>
  <c r="N410" i="20"/>
  <c r="M410" i="20"/>
  <c r="L410" i="20"/>
  <c r="N409" i="20"/>
  <c r="M409" i="20"/>
  <c r="L409" i="20"/>
  <c r="N408" i="20"/>
  <c r="M408" i="20"/>
  <c r="L408" i="20"/>
  <c r="N407" i="20"/>
  <c r="M407" i="20"/>
  <c r="L407" i="20"/>
  <c r="N406" i="20"/>
  <c r="M406" i="20"/>
  <c r="L406" i="20"/>
  <c r="N405" i="20"/>
  <c r="M405" i="20"/>
  <c r="L405" i="20"/>
  <c r="N404" i="20"/>
  <c r="M404" i="20"/>
  <c r="L404" i="20"/>
  <c r="N403" i="20"/>
  <c r="M403" i="20"/>
  <c r="L403" i="20"/>
  <c r="N402" i="20"/>
  <c r="M402" i="20"/>
  <c r="L402" i="20"/>
  <c r="N401" i="20"/>
  <c r="M401" i="20"/>
  <c r="L401" i="20"/>
  <c r="N400" i="20"/>
  <c r="M400" i="20"/>
  <c r="L400" i="20"/>
  <c r="N399" i="20"/>
  <c r="M399" i="20"/>
  <c r="L399" i="20"/>
  <c r="N398" i="20"/>
  <c r="M398" i="20"/>
  <c r="L398" i="20"/>
  <c r="N397" i="20"/>
  <c r="M397" i="20"/>
  <c r="L397" i="20"/>
  <c r="N396" i="20"/>
  <c r="M396" i="20"/>
  <c r="L396" i="20"/>
  <c r="N395" i="20"/>
  <c r="M395" i="20"/>
  <c r="L395" i="20"/>
  <c r="N394" i="20"/>
  <c r="M394" i="20"/>
  <c r="L394" i="20"/>
  <c r="N393" i="20"/>
  <c r="M393" i="20"/>
  <c r="L393" i="20"/>
  <c r="N392" i="20"/>
  <c r="M392" i="20"/>
  <c r="L392" i="20"/>
  <c r="N391" i="20"/>
  <c r="M391" i="20"/>
  <c r="L391" i="20"/>
  <c r="N390" i="20"/>
  <c r="M390" i="20"/>
  <c r="L390" i="20"/>
  <c r="N389" i="20"/>
  <c r="M389" i="20"/>
  <c r="L389" i="20"/>
  <c r="N388" i="20"/>
  <c r="M388" i="20"/>
  <c r="L388" i="20"/>
  <c r="N387" i="20"/>
  <c r="M387" i="20"/>
  <c r="L387" i="20"/>
  <c r="N386" i="20"/>
  <c r="M386" i="20"/>
  <c r="L386" i="20"/>
  <c r="N385" i="20"/>
  <c r="M385" i="20"/>
  <c r="L385" i="20"/>
  <c r="N384" i="20"/>
  <c r="M384" i="20"/>
  <c r="L384" i="20"/>
  <c r="N383" i="20"/>
  <c r="M383" i="20"/>
  <c r="L383" i="20"/>
  <c r="N382" i="20"/>
  <c r="M382" i="20"/>
  <c r="L382" i="20"/>
  <c r="N381" i="20"/>
  <c r="M381" i="20"/>
  <c r="L381" i="20"/>
  <c r="N380" i="20"/>
  <c r="M380" i="20"/>
  <c r="L380" i="20"/>
  <c r="N379" i="20"/>
  <c r="M379" i="20"/>
  <c r="L379" i="20"/>
  <c r="N378" i="20"/>
  <c r="M378" i="20"/>
  <c r="L378" i="20"/>
  <c r="N377" i="20"/>
  <c r="M377" i="20"/>
  <c r="L377" i="20"/>
  <c r="N376" i="20"/>
  <c r="M376" i="20"/>
  <c r="L376" i="20"/>
  <c r="N375" i="20"/>
  <c r="M375" i="20"/>
  <c r="L375" i="20"/>
  <c r="N374" i="20"/>
  <c r="M374" i="20"/>
  <c r="L374" i="20"/>
  <c r="N373" i="20"/>
  <c r="M373" i="20"/>
  <c r="L373" i="20"/>
  <c r="N372" i="20"/>
  <c r="M372" i="20"/>
  <c r="L372" i="20"/>
  <c r="N371" i="20"/>
  <c r="M371" i="20"/>
  <c r="L371" i="20"/>
  <c r="N370" i="20"/>
  <c r="M370" i="20"/>
  <c r="L370" i="20"/>
  <c r="N369" i="20"/>
  <c r="M369" i="20"/>
  <c r="L369" i="20"/>
  <c r="N368" i="20"/>
  <c r="M368" i="20"/>
  <c r="L368" i="20"/>
  <c r="N367" i="20"/>
  <c r="M367" i="20"/>
  <c r="L367" i="20"/>
  <c r="N366" i="20"/>
  <c r="M366" i="20"/>
  <c r="L366" i="20"/>
  <c r="N365" i="20"/>
  <c r="M365" i="20"/>
  <c r="L365" i="20"/>
  <c r="N364" i="20"/>
  <c r="M364" i="20"/>
  <c r="L364" i="20"/>
  <c r="N363" i="20"/>
  <c r="M363" i="20"/>
  <c r="L363" i="20"/>
  <c r="N362" i="20"/>
  <c r="M362" i="20"/>
  <c r="L362" i="20"/>
  <c r="N361" i="20"/>
  <c r="M361" i="20"/>
  <c r="L361" i="20"/>
  <c r="N360" i="20"/>
  <c r="M360" i="20"/>
  <c r="L360" i="20"/>
  <c r="N359" i="20"/>
  <c r="M359" i="20"/>
  <c r="L359" i="20"/>
  <c r="N358" i="20"/>
  <c r="M358" i="20"/>
  <c r="L358" i="20"/>
  <c r="N357" i="20"/>
  <c r="M357" i="20"/>
  <c r="L357" i="20"/>
  <c r="N356" i="20"/>
  <c r="M356" i="20"/>
  <c r="L356" i="20"/>
  <c r="N355" i="20"/>
  <c r="M355" i="20"/>
  <c r="L355" i="20"/>
  <c r="N354" i="20"/>
  <c r="M354" i="20"/>
  <c r="L354" i="20"/>
  <c r="N353" i="20"/>
  <c r="M353" i="20"/>
  <c r="L353" i="20"/>
  <c r="N352" i="20"/>
  <c r="M352" i="20"/>
  <c r="L352" i="20"/>
  <c r="N351" i="20"/>
  <c r="M351" i="20"/>
  <c r="L351" i="20"/>
  <c r="N350" i="20"/>
  <c r="M350" i="20"/>
  <c r="L350" i="20"/>
  <c r="N349" i="20"/>
  <c r="M349" i="20"/>
  <c r="L349" i="20"/>
  <c r="N348" i="20"/>
  <c r="M348" i="20"/>
  <c r="L348" i="20"/>
  <c r="N347" i="20"/>
  <c r="M347" i="20"/>
  <c r="L347" i="20"/>
  <c r="N346" i="20"/>
  <c r="M346" i="20"/>
  <c r="L346" i="20"/>
  <c r="N345" i="20"/>
  <c r="M345" i="20"/>
  <c r="L345" i="20"/>
  <c r="N344" i="20"/>
  <c r="M344" i="20"/>
  <c r="L344" i="20"/>
  <c r="N343" i="20"/>
  <c r="M343" i="20"/>
  <c r="L343" i="20"/>
  <c r="N342" i="20"/>
  <c r="M342" i="20"/>
  <c r="L342" i="20"/>
  <c r="N341" i="20"/>
  <c r="M341" i="20"/>
  <c r="L341" i="20"/>
  <c r="N340" i="20"/>
  <c r="M340" i="20"/>
  <c r="L340" i="20"/>
  <c r="N339" i="20"/>
  <c r="M339" i="20"/>
  <c r="L339" i="20"/>
  <c r="N338" i="20"/>
  <c r="M338" i="20"/>
  <c r="L338" i="20"/>
  <c r="N337" i="20"/>
  <c r="M337" i="20"/>
  <c r="L337" i="20"/>
  <c r="N336" i="20"/>
  <c r="M336" i="20"/>
  <c r="L336" i="20"/>
  <c r="N335" i="20"/>
  <c r="M335" i="20"/>
  <c r="L335" i="20"/>
  <c r="N334" i="20"/>
  <c r="M334" i="20"/>
  <c r="L334" i="20"/>
  <c r="N333" i="20"/>
  <c r="M333" i="20"/>
  <c r="L333" i="20"/>
  <c r="N332" i="20"/>
  <c r="M332" i="20"/>
  <c r="L332" i="20"/>
  <c r="N331" i="20"/>
  <c r="M331" i="20"/>
  <c r="L331" i="20"/>
  <c r="N330" i="20"/>
  <c r="M330" i="20"/>
  <c r="L330" i="20"/>
  <c r="N329" i="20"/>
  <c r="M329" i="20"/>
  <c r="L329" i="20"/>
  <c r="N328" i="20"/>
  <c r="M328" i="20"/>
  <c r="L328" i="20"/>
  <c r="N327" i="20"/>
  <c r="M327" i="20"/>
  <c r="L327" i="20"/>
  <c r="N326" i="20"/>
  <c r="M326" i="20"/>
  <c r="L326" i="20"/>
  <c r="N325" i="20"/>
  <c r="M325" i="20"/>
  <c r="L325" i="20"/>
  <c r="N324" i="20"/>
  <c r="M324" i="20"/>
  <c r="L324" i="20"/>
  <c r="N323" i="20"/>
  <c r="M323" i="20"/>
  <c r="L323" i="20"/>
  <c r="N322" i="20"/>
  <c r="M322" i="20"/>
  <c r="L322" i="20"/>
  <c r="N321" i="20"/>
  <c r="M321" i="20"/>
  <c r="L321" i="20"/>
  <c r="N320" i="20"/>
  <c r="M320" i="20"/>
  <c r="L320" i="20"/>
  <c r="N319" i="20"/>
  <c r="M319" i="20"/>
  <c r="L319" i="20"/>
  <c r="N318" i="20"/>
  <c r="M318" i="20"/>
  <c r="L318" i="20"/>
  <c r="N317" i="20"/>
  <c r="M317" i="20"/>
  <c r="L317" i="20"/>
  <c r="N316" i="20"/>
  <c r="M316" i="20"/>
  <c r="L316" i="20"/>
  <c r="N315" i="20"/>
  <c r="M315" i="20"/>
  <c r="L315" i="20"/>
  <c r="N314" i="20"/>
  <c r="M314" i="20"/>
  <c r="L314" i="20"/>
  <c r="N313" i="20"/>
  <c r="M313" i="20"/>
  <c r="L313" i="20"/>
  <c r="N312" i="20"/>
  <c r="M312" i="20"/>
  <c r="L312" i="20"/>
  <c r="N311" i="20"/>
  <c r="M311" i="20"/>
  <c r="L311" i="20"/>
  <c r="N310" i="20"/>
  <c r="M310" i="20"/>
  <c r="L310" i="20"/>
  <c r="N309" i="20"/>
  <c r="M309" i="20"/>
  <c r="L309" i="20"/>
  <c r="N308" i="20"/>
  <c r="M308" i="20"/>
  <c r="L308" i="20"/>
  <c r="N307" i="20"/>
  <c r="M307" i="20"/>
  <c r="L307" i="20"/>
  <c r="N306" i="20"/>
  <c r="M306" i="20"/>
  <c r="L306" i="20"/>
  <c r="N305" i="20"/>
  <c r="M305" i="20"/>
  <c r="L305" i="20"/>
  <c r="N304" i="20"/>
  <c r="M304" i="20"/>
  <c r="L304" i="20"/>
  <c r="N303" i="20"/>
  <c r="M303" i="20"/>
  <c r="L303" i="20"/>
  <c r="N302" i="20"/>
  <c r="M302" i="20"/>
  <c r="L302" i="20"/>
  <c r="N301" i="20"/>
  <c r="M301" i="20"/>
  <c r="L301" i="20"/>
  <c r="N300" i="20"/>
  <c r="M300" i="20"/>
  <c r="L300" i="20"/>
  <c r="N299" i="20"/>
  <c r="M299" i="20"/>
  <c r="L299" i="20"/>
  <c r="N298" i="20"/>
  <c r="M298" i="20"/>
  <c r="L298" i="20"/>
  <c r="N297" i="20"/>
  <c r="M297" i="20"/>
  <c r="L297" i="20"/>
  <c r="N296" i="20"/>
  <c r="M296" i="20"/>
  <c r="L296" i="20"/>
  <c r="N295" i="20"/>
  <c r="M295" i="20"/>
  <c r="L295" i="20"/>
  <c r="N294" i="20"/>
  <c r="M294" i="20"/>
  <c r="L294" i="20"/>
  <c r="N293" i="20"/>
  <c r="M293" i="20"/>
  <c r="L293" i="20"/>
  <c r="N292" i="20"/>
  <c r="M292" i="20"/>
  <c r="L292" i="20"/>
  <c r="N291" i="20"/>
  <c r="M291" i="20"/>
  <c r="L291" i="20"/>
  <c r="N290" i="20"/>
  <c r="M290" i="20"/>
  <c r="L290" i="20"/>
  <c r="N289" i="20"/>
  <c r="M289" i="20"/>
  <c r="L289" i="20"/>
  <c r="N288" i="20"/>
  <c r="M288" i="20"/>
  <c r="L288" i="20"/>
  <c r="N287" i="20"/>
  <c r="M287" i="20"/>
  <c r="L287" i="20"/>
  <c r="N286" i="20"/>
  <c r="M286" i="20"/>
  <c r="L286" i="20"/>
  <c r="N285" i="20"/>
  <c r="M285" i="20"/>
  <c r="L285" i="20"/>
  <c r="N284" i="20"/>
  <c r="M284" i="20"/>
  <c r="L284" i="20"/>
  <c r="N283" i="20"/>
  <c r="M283" i="20"/>
  <c r="L283" i="20"/>
  <c r="N282" i="20"/>
  <c r="M282" i="20"/>
  <c r="L282" i="20"/>
  <c r="N281" i="20"/>
  <c r="M281" i="20"/>
  <c r="L281" i="20"/>
  <c r="N280" i="20"/>
  <c r="M280" i="20"/>
  <c r="L280" i="20"/>
  <c r="N279" i="20"/>
  <c r="M279" i="20"/>
  <c r="L279" i="20"/>
  <c r="N278" i="20"/>
  <c r="M278" i="20"/>
  <c r="L278" i="20"/>
  <c r="N277" i="20"/>
  <c r="M277" i="20"/>
  <c r="L277" i="20"/>
  <c r="N276" i="20"/>
  <c r="M276" i="20"/>
  <c r="L276" i="20"/>
  <c r="N275" i="20"/>
  <c r="M275" i="20"/>
  <c r="L275" i="20"/>
  <c r="N274" i="20"/>
  <c r="M274" i="20"/>
  <c r="L274" i="20"/>
  <c r="N273" i="20"/>
  <c r="M273" i="20"/>
  <c r="L273" i="20"/>
  <c r="N272" i="20"/>
  <c r="M272" i="20"/>
  <c r="L272" i="20"/>
  <c r="N271" i="20"/>
  <c r="M271" i="20"/>
  <c r="L271" i="20"/>
  <c r="N270" i="20"/>
  <c r="M270" i="20"/>
  <c r="L270" i="20"/>
  <c r="N269" i="20"/>
  <c r="M269" i="20"/>
  <c r="L269" i="20"/>
  <c r="N268" i="20"/>
  <c r="M268" i="20"/>
  <c r="L268" i="20"/>
  <c r="N267" i="20"/>
  <c r="M267" i="20"/>
  <c r="L267" i="20"/>
  <c r="N266" i="20"/>
  <c r="M266" i="20"/>
  <c r="L266" i="20"/>
  <c r="N265" i="20"/>
  <c r="M265" i="20"/>
  <c r="L265" i="20"/>
  <c r="N264" i="20"/>
  <c r="M264" i="20"/>
  <c r="L264" i="20"/>
  <c r="N263" i="20"/>
  <c r="M263" i="20"/>
  <c r="L263" i="20"/>
  <c r="N262" i="20"/>
  <c r="M262" i="20"/>
  <c r="L262" i="20"/>
  <c r="N261" i="20"/>
  <c r="M261" i="20"/>
  <c r="L261" i="20"/>
  <c r="N260" i="20"/>
  <c r="M260" i="20"/>
  <c r="L260" i="20"/>
  <c r="N259" i="20"/>
  <c r="M259" i="20"/>
  <c r="L259" i="20"/>
  <c r="N258" i="20"/>
  <c r="M258" i="20"/>
  <c r="L258" i="20"/>
  <c r="N257" i="20"/>
  <c r="M257" i="20"/>
  <c r="L257" i="20"/>
  <c r="N256" i="20"/>
  <c r="M256" i="20"/>
  <c r="L256" i="20"/>
  <c r="N255" i="20"/>
  <c r="M255" i="20"/>
  <c r="L255" i="20"/>
  <c r="N254" i="20"/>
  <c r="M254" i="20"/>
  <c r="L254" i="20"/>
  <c r="N253" i="20"/>
  <c r="M253" i="20"/>
  <c r="L253" i="20"/>
  <c r="N252" i="20"/>
  <c r="M252" i="20"/>
  <c r="L252" i="20"/>
  <c r="N251" i="20"/>
  <c r="M251" i="20"/>
  <c r="L251" i="20"/>
  <c r="N250" i="20"/>
  <c r="M250" i="20"/>
  <c r="L250" i="20"/>
  <c r="N249" i="20"/>
  <c r="M249" i="20"/>
  <c r="L249" i="20"/>
  <c r="N248" i="20"/>
  <c r="M248" i="20"/>
  <c r="L248" i="20"/>
  <c r="N247" i="20"/>
  <c r="M247" i="20"/>
  <c r="L247" i="20"/>
  <c r="N246" i="20"/>
  <c r="M246" i="20"/>
  <c r="L246" i="20"/>
  <c r="N245" i="20"/>
  <c r="M245" i="20"/>
  <c r="L245" i="20"/>
  <c r="N244" i="20"/>
  <c r="M244" i="20"/>
  <c r="L244" i="20"/>
  <c r="N243" i="20"/>
  <c r="M243" i="20"/>
  <c r="L243" i="20"/>
  <c r="N242" i="20"/>
  <c r="M242" i="20"/>
  <c r="L242" i="20"/>
  <c r="N241" i="20"/>
  <c r="M241" i="20"/>
  <c r="L241" i="20"/>
  <c r="N240" i="20"/>
  <c r="M240" i="20"/>
  <c r="L240" i="20"/>
  <c r="N239" i="20"/>
  <c r="M239" i="20"/>
  <c r="L239" i="20"/>
  <c r="N238" i="20"/>
  <c r="M238" i="20"/>
  <c r="L238" i="20"/>
  <c r="N237" i="20"/>
  <c r="M237" i="20"/>
  <c r="L237" i="20"/>
  <c r="N236" i="20"/>
  <c r="M236" i="20"/>
  <c r="L236" i="20"/>
  <c r="N235" i="20"/>
  <c r="M235" i="20"/>
  <c r="L235" i="20"/>
  <c r="N234" i="20"/>
  <c r="M234" i="20"/>
  <c r="L234" i="20"/>
  <c r="N233" i="20"/>
  <c r="M233" i="20"/>
  <c r="L233" i="20"/>
  <c r="N232" i="20"/>
  <c r="M232" i="20"/>
  <c r="L232" i="20"/>
  <c r="N231" i="20"/>
  <c r="M231" i="20"/>
  <c r="L231" i="20"/>
  <c r="N230" i="20"/>
  <c r="M230" i="20"/>
  <c r="L230" i="20"/>
  <c r="N229" i="20"/>
  <c r="M229" i="20"/>
  <c r="L229" i="20"/>
  <c r="N228" i="20"/>
  <c r="M228" i="20"/>
  <c r="L228" i="20"/>
  <c r="N227" i="20"/>
  <c r="M227" i="20"/>
  <c r="L227" i="20"/>
  <c r="N226" i="20"/>
  <c r="M226" i="20"/>
  <c r="L226" i="20"/>
  <c r="N225" i="20"/>
  <c r="M225" i="20"/>
  <c r="L225" i="20"/>
  <c r="N224" i="20"/>
  <c r="M224" i="20"/>
  <c r="L224" i="20"/>
  <c r="N223" i="20"/>
  <c r="M223" i="20"/>
  <c r="L223" i="20"/>
  <c r="N222" i="20"/>
  <c r="M222" i="20"/>
  <c r="L222" i="20"/>
  <c r="N221" i="20"/>
  <c r="M221" i="20"/>
  <c r="L221" i="20"/>
  <c r="N220" i="20"/>
  <c r="M220" i="20"/>
  <c r="L220" i="20"/>
  <c r="N219" i="20"/>
  <c r="M219" i="20"/>
  <c r="L219" i="20"/>
  <c r="N218" i="20"/>
  <c r="M218" i="20"/>
  <c r="L218" i="20"/>
  <c r="N217" i="20"/>
  <c r="M217" i="20"/>
  <c r="L217" i="20"/>
  <c r="N216" i="20"/>
  <c r="M216" i="20"/>
  <c r="L216" i="20"/>
  <c r="N215" i="20"/>
  <c r="M215" i="20"/>
  <c r="L215" i="20"/>
  <c r="N214" i="20"/>
  <c r="M214" i="20"/>
  <c r="L214" i="20"/>
  <c r="N213" i="20"/>
  <c r="M213" i="20"/>
  <c r="L213" i="20"/>
  <c r="N212" i="20"/>
  <c r="M212" i="20"/>
  <c r="L212" i="20"/>
  <c r="N211" i="20"/>
  <c r="M211" i="20"/>
  <c r="L211" i="20"/>
  <c r="N210" i="20"/>
  <c r="M210" i="20"/>
  <c r="L210" i="20"/>
  <c r="N209" i="20"/>
  <c r="M209" i="20"/>
  <c r="L209" i="20"/>
  <c r="N208" i="20"/>
  <c r="M208" i="20"/>
  <c r="L208" i="20"/>
  <c r="N207" i="20"/>
  <c r="M207" i="20"/>
  <c r="L207" i="20"/>
  <c r="N206" i="20"/>
  <c r="M206" i="20"/>
  <c r="L206" i="20"/>
  <c r="N205" i="20"/>
  <c r="M205" i="20"/>
  <c r="L205" i="20"/>
  <c r="N204" i="20"/>
  <c r="M204" i="20"/>
  <c r="L204" i="20"/>
  <c r="N203" i="20"/>
  <c r="M203" i="20"/>
  <c r="L203" i="20"/>
  <c r="N202" i="20"/>
  <c r="M202" i="20"/>
  <c r="L202" i="20"/>
  <c r="N201" i="20"/>
  <c r="M201" i="20"/>
  <c r="L201" i="20"/>
  <c r="N200" i="20"/>
  <c r="M200" i="20"/>
  <c r="L200" i="20"/>
  <c r="N199" i="20"/>
  <c r="M199" i="20"/>
  <c r="L199" i="20"/>
  <c r="N198" i="20"/>
  <c r="M198" i="20"/>
  <c r="L198" i="20"/>
  <c r="N197" i="20"/>
  <c r="M197" i="20"/>
  <c r="L197" i="20"/>
  <c r="N196" i="20"/>
  <c r="M196" i="20"/>
  <c r="L196" i="20"/>
  <c r="N195" i="20"/>
  <c r="M195" i="20"/>
  <c r="L195" i="20"/>
  <c r="N194" i="20"/>
  <c r="M194" i="20"/>
  <c r="L194" i="20"/>
  <c r="N193" i="20"/>
  <c r="M193" i="20"/>
  <c r="L193" i="20"/>
  <c r="N192" i="20"/>
  <c r="M192" i="20"/>
  <c r="L192" i="20"/>
  <c r="N191" i="20"/>
  <c r="M191" i="20"/>
  <c r="L191" i="20"/>
  <c r="N190" i="20"/>
  <c r="M190" i="20"/>
  <c r="L190" i="20"/>
  <c r="N189" i="20"/>
  <c r="M189" i="20"/>
  <c r="L189" i="20"/>
  <c r="N188" i="20"/>
  <c r="M188" i="20"/>
  <c r="L188" i="20"/>
  <c r="N187" i="20"/>
  <c r="M187" i="20"/>
  <c r="L187" i="20"/>
  <c r="N186" i="20"/>
  <c r="M186" i="20"/>
  <c r="L186" i="20"/>
  <c r="N185" i="20"/>
  <c r="M185" i="20"/>
  <c r="L185" i="20"/>
  <c r="N184" i="20"/>
  <c r="M184" i="20"/>
  <c r="L184" i="20"/>
  <c r="N183" i="20"/>
  <c r="M183" i="20"/>
  <c r="L183" i="20"/>
  <c r="N182" i="20"/>
  <c r="M182" i="20"/>
  <c r="L182" i="20"/>
  <c r="N181" i="20"/>
  <c r="M181" i="20"/>
  <c r="L181" i="20"/>
  <c r="N180" i="20"/>
  <c r="M180" i="20"/>
  <c r="L180" i="20"/>
  <c r="N179" i="20"/>
  <c r="M179" i="20"/>
  <c r="L179" i="20"/>
  <c r="N178" i="20"/>
  <c r="M178" i="20"/>
  <c r="L178" i="20"/>
  <c r="N177" i="20"/>
  <c r="M177" i="20"/>
  <c r="L177" i="20"/>
  <c r="N176" i="20"/>
  <c r="M176" i="20"/>
  <c r="L176" i="20"/>
  <c r="N175" i="20"/>
  <c r="M175" i="20"/>
  <c r="L175" i="20"/>
  <c r="N174" i="20"/>
  <c r="M174" i="20"/>
  <c r="L174" i="20"/>
  <c r="N173" i="20"/>
  <c r="M173" i="20"/>
  <c r="L173" i="20"/>
  <c r="N172" i="20"/>
  <c r="M172" i="20"/>
  <c r="L172" i="20"/>
  <c r="N171" i="20"/>
  <c r="M171" i="20"/>
  <c r="L171" i="20"/>
  <c r="N170" i="20"/>
  <c r="M170" i="20"/>
  <c r="L170" i="20"/>
  <c r="N169" i="20"/>
  <c r="M169" i="20"/>
  <c r="L169" i="20"/>
  <c r="N168" i="20"/>
  <c r="M168" i="20"/>
  <c r="L168" i="20"/>
  <c r="N167" i="20"/>
  <c r="M167" i="20"/>
  <c r="L167" i="20"/>
  <c r="N166" i="20"/>
  <c r="M166" i="20"/>
  <c r="L166" i="20"/>
  <c r="N165" i="20"/>
  <c r="M165" i="20"/>
  <c r="L165" i="20"/>
  <c r="N164" i="20"/>
  <c r="M164" i="20"/>
  <c r="L164" i="20"/>
  <c r="N163" i="20"/>
  <c r="M163" i="20"/>
  <c r="L163" i="20"/>
  <c r="N162" i="20"/>
  <c r="M162" i="20"/>
  <c r="L162" i="20"/>
  <c r="N161" i="20"/>
  <c r="M161" i="20"/>
  <c r="L161" i="20"/>
  <c r="N160" i="20"/>
  <c r="M160" i="20"/>
  <c r="L160" i="20"/>
  <c r="N159" i="20"/>
  <c r="M159" i="20"/>
  <c r="L159" i="20"/>
  <c r="N158" i="20"/>
  <c r="M158" i="20"/>
  <c r="L158" i="20"/>
  <c r="N157" i="20"/>
  <c r="M157" i="20"/>
  <c r="L157" i="20"/>
  <c r="N156" i="20"/>
  <c r="M156" i="20"/>
  <c r="L156" i="20"/>
  <c r="N155" i="20"/>
  <c r="M155" i="20"/>
  <c r="L155" i="20"/>
  <c r="N154" i="20"/>
  <c r="M154" i="20"/>
  <c r="L154" i="20"/>
  <c r="N153" i="20"/>
  <c r="M153" i="20"/>
  <c r="L153" i="20"/>
  <c r="N152" i="20"/>
  <c r="M152" i="20"/>
  <c r="L152" i="20"/>
  <c r="N151" i="20"/>
  <c r="M151" i="20"/>
  <c r="L151" i="20"/>
  <c r="N150" i="20"/>
  <c r="M150" i="20"/>
  <c r="L150" i="20"/>
  <c r="N149" i="20"/>
  <c r="M149" i="20"/>
  <c r="L149" i="20"/>
  <c r="N148" i="20"/>
  <c r="M148" i="20"/>
  <c r="L148" i="20"/>
  <c r="N147" i="20"/>
  <c r="M147" i="20"/>
  <c r="L147" i="20"/>
  <c r="N146" i="20"/>
  <c r="M146" i="20"/>
  <c r="L146" i="20"/>
  <c r="N145" i="20"/>
  <c r="M145" i="20"/>
  <c r="L145" i="20"/>
  <c r="N144" i="20"/>
  <c r="M144" i="20"/>
  <c r="L144" i="20"/>
  <c r="N143" i="20"/>
  <c r="M143" i="20"/>
  <c r="L143" i="20"/>
  <c r="N142" i="20"/>
  <c r="M142" i="20"/>
  <c r="L142" i="20"/>
  <c r="N141" i="20"/>
  <c r="M141" i="20"/>
  <c r="L141" i="20"/>
  <c r="N140" i="20"/>
  <c r="M140" i="20"/>
  <c r="L140" i="20"/>
  <c r="N139" i="20"/>
  <c r="M139" i="20"/>
  <c r="L139" i="20"/>
  <c r="N138" i="20"/>
  <c r="M138" i="20"/>
  <c r="L138" i="20"/>
  <c r="N137" i="20"/>
  <c r="M137" i="20"/>
  <c r="L137" i="20"/>
  <c r="N136" i="20"/>
  <c r="M136" i="20"/>
  <c r="L136" i="20"/>
  <c r="N135" i="20"/>
  <c r="M135" i="20"/>
  <c r="L135" i="20"/>
  <c r="N134" i="20"/>
  <c r="M134" i="20"/>
  <c r="L134" i="20"/>
  <c r="N133" i="20"/>
  <c r="M133" i="20"/>
  <c r="L133" i="20"/>
  <c r="N132" i="20"/>
  <c r="M132" i="20"/>
  <c r="L132" i="20"/>
  <c r="N131" i="20"/>
  <c r="M131" i="20"/>
  <c r="L131" i="20"/>
  <c r="N130" i="20"/>
  <c r="M130" i="20"/>
  <c r="L130" i="20"/>
  <c r="N129" i="20"/>
  <c r="M129" i="20"/>
  <c r="L129" i="20"/>
  <c r="N128" i="20"/>
  <c r="M128" i="20"/>
  <c r="L128" i="20"/>
  <c r="N127" i="20"/>
  <c r="M127" i="20"/>
  <c r="L127" i="20"/>
  <c r="N126" i="20"/>
  <c r="M126" i="20"/>
  <c r="L126" i="20"/>
  <c r="N125" i="20"/>
  <c r="M125" i="20"/>
  <c r="L125" i="20"/>
  <c r="N124" i="20"/>
  <c r="M124" i="20"/>
  <c r="L124" i="20"/>
  <c r="N123" i="20"/>
  <c r="M123" i="20"/>
  <c r="L123" i="20"/>
  <c r="N122" i="20"/>
  <c r="M122" i="20"/>
  <c r="L122" i="20"/>
  <c r="N121" i="20"/>
  <c r="M121" i="20"/>
  <c r="L121" i="20"/>
  <c r="N120" i="20"/>
  <c r="M120" i="20"/>
  <c r="L120" i="20"/>
  <c r="N119" i="20"/>
  <c r="M119" i="20"/>
  <c r="L119" i="20"/>
  <c r="N118" i="20"/>
  <c r="M118" i="20"/>
  <c r="L118" i="20"/>
  <c r="N117" i="20"/>
  <c r="M117" i="20"/>
  <c r="L117" i="20"/>
  <c r="N116" i="20"/>
  <c r="M116" i="20"/>
  <c r="L116" i="20"/>
  <c r="N115" i="20"/>
  <c r="M115" i="20"/>
  <c r="L115" i="20"/>
  <c r="N114" i="20"/>
  <c r="M114" i="20"/>
  <c r="L114" i="20"/>
  <c r="N113" i="20"/>
  <c r="M113" i="20"/>
  <c r="L113" i="20"/>
  <c r="N112" i="20"/>
  <c r="M112" i="20"/>
  <c r="L112" i="20"/>
  <c r="N111" i="20"/>
  <c r="M111" i="20"/>
  <c r="L111" i="20"/>
  <c r="N110" i="20"/>
  <c r="M110" i="20"/>
  <c r="L110" i="20"/>
  <c r="N109" i="20"/>
  <c r="M109" i="20"/>
  <c r="L109" i="20"/>
  <c r="N108" i="20"/>
  <c r="M108" i="20"/>
  <c r="L108" i="20"/>
  <c r="N107" i="20"/>
  <c r="M107" i="20"/>
  <c r="L107" i="20"/>
  <c r="N106" i="20"/>
  <c r="M106" i="20"/>
  <c r="L106" i="20"/>
  <c r="N105" i="20"/>
  <c r="M105" i="20"/>
  <c r="L105" i="20"/>
  <c r="N104" i="20"/>
  <c r="M104" i="20"/>
  <c r="L104" i="20"/>
  <c r="N103" i="20"/>
  <c r="M103" i="20"/>
  <c r="L103" i="20"/>
  <c r="N102" i="20"/>
  <c r="M102" i="20"/>
  <c r="L102" i="20"/>
  <c r="N101" i="20"/>
  <c r="M101" i="20"/>
  <c r="L101" i="20"/>
  <c r="N100" i="20"/>
  <c r="M100" i="20"/>
  <c r="L100" i="20"/>
  <c r="N99" i="20"/>
  <c r="M99" i="20"/>
  <c r="L99" i="20"/>
  <c r="N98" i="20"/>
  <c r="M98" i="20"/>
  <c r="L98" i="20"/>
  <c r="N97" i="20"/>
  <c r="M97" i="20"/>
  <c r="L97" i="20"/>
  <c r="N96" i="20"/>
  <c r="M96" i="20"/>
  <c r="L96" i="20"/>
  <c r="N95" i="20"/>
  <c r="M95" i="20"/>
  <c r="L95" i="20"/>
  <c r="N94" i="20"/>
  <c r="M94" i="20"/>
  <c r="L94" i="20"/>
  <c r="N93" i="20"/>
  <c r="M93" i="20"/>
  <c r="L93" i="20"/>
  <c r="N92" i="20"/>
  <c r="M92" i="20"/>
  <c r="L92" i="20"/>
  <c r="N91" i="20"/>
  <c r="M91" i="20"/>
  <c r="L91" i="20"/>
  <c r="N90" i="20"/>
  <c r="M90" i="20"/>
  <c r="L90" i="20"/>
  <c r="N89" i="20"/>
  <c r="M89" i="20"/>
  <c r="L89" i="20"/>
  <c r="N88" i="20"/>
  <c r="M88" i="20"/>
  <c r="L88" i="20"/>
  <c r="N87" i="20"/>
  <c r="M87" i="20"/>
  <c r="L87" i="20"/>
  <c r="N86" i="20"/>
  <c r="M86" i="20"/>
  <c r="L86" i="20"/>
  <c r="N85" i="20"/>
  <c r="M85" i="20"/>
  <c r="L85" i="20"/>
  <c r="N84" i="20"/>
  <c r="M84" i="20"/>
  <c r="L84" i="20"/>
  <c r="N83" i="20"/>
  <c r="M83" i="20"/>
  <c r="L83" i="20"/>
  <c r="N82" i="20"/>
  <c r="M82" i="20"/>
  <c r="L82" i="20"/>
  <c r="N81" i="20"/>
  <c r="M81" i="20"/>
  <c r="L81" i="20"/>
  <c r="N80" i="20"/>
  <c r="M80" i="20"/>
  <c r="L80" i="20"/>
  <c r="N79" i="20"/>
  <c r="M79" i="20"/>
  <c r="L79" i="20"/>
  <c r="N78" i="20"/>
  <c r="M78" i="20"/>
  <c r="L78" i="20"/>
  <c r="N77" i="20"/>
  <c r="M77" i="20"/>
  <c r="L77" i="20"/>
  <c r="N76" i="20"/>
  <c r="M76" i="20"/>
  <c r="L76" i="20"/>
  <c r="N75" i="20"/>
  <c r="M75" i="20"/>
  <c r="L75" i="20"/>
  <c r="N74" i="20"/>
  <c r="M74" i="20"/>
  <c r="L74" i="20"/>
  <c r="N73" i="20"/>
  <c r="M73" i="20"/>
  <c r="L73" i="20"/>
  <c r="N72" i="20"/>
  <c r="M72" i="20"/>
  <c r="L72" i="20"/>
  <c r="N71" i="20"/>
  <c r="M71" i="20"/>
  <c r="L71" i="20"/>
  <c r="N70" i="20"/>
  <c r="M70" i="20"/>
  <c r="L70" i="20"/>
  <c r="N69" i="20"/>
  <c r="M69" i="20"/>
  <c r="L69" i="20"/>
  <c r="N68" i="20"/>
  <c r="M68" i="20"/>
  <c r="L68" i="20"/>
  <c r="N67" i="20"/>
  <c r="M67" i="20"/>
  <c r="L67" i="20"/>
  <c r="N66" i="20"/>
  <c r="M66" i="20"/>
  <c r="L66" i="20"/>
  <c r="N65" i="20"/>
  <c r="M65" i="20"/>
  <c r="L65" i="20"/>
  <c r="N64" i="20"/>
  <c r="M64" i="20"/>
  <c r="L64" i="20"/>
  <c r="N63" i="20"/>
  <c r="M63" i="20"/>
  <c r="L63" i="20"/>
  <c r="N62" i="20"/>
  <c r="M62" i="20"/>
  <c r="L62" i="20"/>
  <c r="N61" i="20"/>
  <c r="M61" i="20"/>
  <c r="L61" i="20"/>
  <c r="N60" i="20"/>
  <c r="M60" i="20"/>
  <c r="L60" i="20"/>
  <c r="N59" i="20"/>
  <c r="M59" i="20"/>
  <c r="L59" i="20"/>
  <c r="N58" i="20"/>
  <c r="M58" i="20"/>
  <c r="L58" i="20"/>
  <c r="N57" i="20"/>
  <c r="M57" i="20"/>
  <c r="L57" i="20"/>
  <c r="N56" i="20"/>
  <c r="M56" i="20"/>
  <c r="L56" i="20"/>
  <c r="N55" i="20"/>
  <c r="M55" i="20"/>
  <c r="L55" i="20"/>
  <c r="N54" i="20"/>
  <c r="M54" i="20"/>
  <c r="L54" i="20"/>
  <c r="N53" i="20"/>
  <c r="M53" i="20"/>
  <c r="L53" i="20"/>
  <c r="N52" i="20"/>
  <c r="M52" i="20"/>
  <c r="L52" i="20"/>
  <c r="N51" i="20"/>
  <c r="M51" i="20"/>
  <c r="L51" i="20"/>
  <c r="N50" i="20"/>
  <c r="M50" i="20"/>
  <c r="L50" i="20"/>
  <c r="N49" i="20"/>
  <c r="M49" i="20"/>
  <c r="L49" i="20"/>
  <c r="N48" i="20"/>
  <c r="M48" i="20"/>
  <c r="L48" i="20"/>
  <c r="N47" i="20"/>
  <c r="M47" i="20"/>
  <c r="L47" i="20"/>
  <c r="N46" i="20"/>
  <c r="M46" i="20"/>
  <c r="L46" i="20"/>
  <c r="N45" i="20"/>
  <c r="M45" i="20"/>
  <c r="L45" i="20"/>
  <c r="N44" i="20"/>
  <c r="M44" i="20"/>
  <c r="L44" i="20"/>
  <c r="N43" i="20"/>
  <c r="M43" i="20"/>
  <c r="L43" i="20"/>
  <c r="N42" i="20"/>
  <c r="M42" i="20"/>
  <c r="L42" i="20"/>
  <c r="N41" i="20"/>
  <c r="M41" i="20"/>
  <c r="L41" i="20"/>
  <c r="N40" i="20"/>
  <c r="M40" i="20"/>
  <c r="L40" i="20"/>
  <c r="N39" i="20"/>
  <c r="M39" i="20"/>
  <c r="L39" i="20"/>
  <c r="N38" i="20"/>
  <c r="M38" i="20"/>
  <c r="L38" i="20"/>
  <c r="N37" i="20"/>
  <c r="M37" i="20"/>
  <c r="L37" i="20"/>
  <c r="N36" i="20"/>
  <c r="M36" i="20"/>
  <c r="L36" i="20"/>
  <c r="N35" i="20"/>
  <c r="M35" i="20"/>
  <c r="L35" i="20"/>
  <c r="N34" i="20"/>
  <c r="M34" i="20"/>
  <c r="L34" i="20"/>
  <c r="N33" i="20"/>
  <c r="M33" i="20"/>
  <c r="L33" i="20"/>
  <c r="N32" i="20"/>
  <c r="M32" i="20"/>
  <c r="L32" i="20"/>
  <c r="N31" i="20"/>
  <c r="M31" i="20"/>
  <c r="L31" i="20"/>
  <c r="N30" i="20"/>
  <c r="M30" i="20"/>
  <c r="L30" i="20"/>
  <c r="N29" i="20"/>
  <c r="M29" i="20"/>
  <c r="L29" i="20"/>
  <c r="N28" i="20"/>
  <c r="M28" i="20"/>
  <c r="L28" i="20"/>
  <c r="N27" i="20"/>
  <c r="M27" i="20"/>
  <c r="L27" i="20"/>
  <c r="N26" i="20"/>
  <c r="M26" i="20"/>
  <c r="L26" i="20"/>
  <c r="N25" i="20"/>
  <c r="M25" i="20"/>
  <c r="P25" i="20" s="1"/>
  <c r="L25" i="20"/>
  <c r="N24" i="20"/>
  <c r="M24" i="20"/>
  <c r="L24" i="20"/>
  <c r="N23" i="20"/>
  <c r="M23" i="20"/>
  <c r="L23" i="20"/>
  <c r="N22" i="20"/>
  <c r="M22" i="20"/>
  <c r="L22" i="20"/>
  <c r="N21" i="20"/>
  <c r="M21" i="20"/>
  <c r="L21" i="20"/>
  <c r="N20" i="20"/>
  <c r="M20" i="20"/>
  <c r="L20" i="20"/>
  <c r="N19" i="20"/>
  <c r="M19" i="20"/>
  <c r="L19" i="20"/>
  <c r="N18" i="20"/>
  <c r="M18" i="20"/>
  <c r="L18" i="20"/>
  <c r="N17" i="20"/>
  <c r="M17" i="20"/>
  <c r="L17" i="20"/>
  <c r="N16" i="20"/>
  <c r="M16" i="20"/>
  <c r="L16" i="20"/>
  <c r="N15" i="20"/>
  <c r="M15" i="20"/>
  <c r="L15" i="20"/>
  <c r="N14" i="20"/>
  <c r="M14" i="20"/>
  <c r="L14" i="20"/>
  <c r="N13" i="20"/>
  <c r="M13" i="20"/>
  <c r="L13" i="20"/>
  <c r="N12" i="20"/>
  <c r="M12" i="20"/>
  <c r="L12" i="20"/>
  <c r="N11" i="20"/>
  <c r="M11" i="20"/>
  <c r="L11" i="20"/>
  <c r="N10" i="20"/>
  <c r="M10" i="20"/>
  <c r="L10" i="20"/>
  <c r="N9" i="20"/>
  <c r="M9" i="20"/>
  <c r="L9" i="20"/>
  <c r="N8" i="20"/>
  <c r="M8" i="20"/>
  <c r="L8" i="20"/>
  <c r="N7" i="20"/>
  <c r="M7" i="20"/>
  <c r="L7" i="20"/>
  <c r="N6" i="20"/>
  <c r="M6" i="20"/>
  <c r="L6" i="20"/>
  <c r="N5" i="20"/>
  <c r="M5" i="20"/>
  <c r="L5" i="20"/>
  <c r="N4" i="20"/>
  <c r="M4" i="20"/>
  <c r="L4" i="20"/>
  <c r="N3" i="20"/>
  <c r="M3" i="20"/>
  <c r="L3" i="20"/>
  <c r="N2" i="20"/>
  <c r="M2" i="20"/>
  <c r="L2" i="20"/>
  <c r="F59" i="19"/>
  <c r="H59" i="19" s="1"/>
  <c r="D59" i="19"/>
  <c r="H58" i="19"/>
  <c r="F58" i="19"/>
  <c r="D58" i="19"/>
  <c r="F57" i="19"/>
  <c r="H57" i="19" s="1"/>
  <c r="D57" i="19"/>
  <c r="F56" i="19"/>
  <c r="H56" i="19" s="1"/>
  <c r="D56" i="19"/>
  <c r="F55" i="19"/>
  <c r="H55" i="19" s="1"/>
  <c r="D55" i="19"/>
  <c r="H54" i="19"/>
  <c r="F54" i="19"/>
  <c r="D54" i="19"/>
  <c r="F53" i="19"/>
  <c r="H53" i="19" s="1"/>
  <c r="D53" i="19"/>
  <c r="F52" i="19"/>
  <c r="H52" i="19" s="1"/>
  <c r="D52" i="19"/>
  <c r="H51" i="19"/>
  <c r="F51" i="19"/>
  <c r="D51" i="19"/>
  <c r="H50" i="19"/>
  <c r="F50" i="19"/>
  <c r="D50" i="19"/>
  <c r="F49" i="19"/>
  <c r="H49" i="19" s="1"/>
  <c r="D49" i="19"/>
  <c r="F48" i="19"/>
  <c r="H48" i="19" s="1"/>
  <c r="D48" i="19"/>
  <c r="H47" i="19"/>
  <c r="F47" i="19"/>
  <c r="D47" i="19"/>
  <c r="H46" i="19"/>
  <c r="F46" i="19"/>
  <c r="D46" i="19"/>
  <c r="F45" i="19"/>
  <c r="H45" i="19" s="1"/>
  <c r="D45" i="19"/>
  <c r="F44" i="19"/>
  <c r="H44" i="19" s="1"/>
  <c r="D44" i="19"/>
  <c r="H43" i="19"/>
  <c r="F43" i="19"/>
  <c r="D43" i="19"/>
  <c r="H42" i="19"/>
  <c r="F42" i="19"/>
  <c r="D42" i="19"/>
  <c r="F41" i="19"/>
  <c r="H41" i="19" s="1"/>
  <c r="D41" i="19"/>
  <c r="F40" i="19"/>
  <c r="H40" i="19" s="1"/>
  <c r="D40" i="19"/>
  <c r="H39" i="19"/>
  <c r="F39" i="19"/>
  <c r="D39" i="19"/>
  <c r="H38" i="19"/>
  <c r="F38" i="19"/>
  <c r="D38" i="19"/>
  <c r="F37" i="19"/>
  <c r="H37" i="19" s="1"/>
  <c r="D37" i="19"/>
  <c r="F36" i="19"/>
  <c r="H36" i="19" s="1"/>
  <c r="D36" i="19"/>
  <c r="H35" i="19"/>
  <c r="F35" i="19"/>
  <c r="D35" i="19"/>
  <c r="H34" i="19"/>
  <c r="F34" i="19"/>
  <c r="D34" i="19"/>
  <c r="F33" i="19"/>
  <c r="H33" i="19" s="1"/>
  <c r="D33" i="19"/>
  <c r="F32" i="19"/>
  <c r="H32" i="19" s="1"/>
  <c r="D32" i="19"/>
  <c r="H31" i="19"/>
  <c r="F31" i="19"/>
  <c r="D31" i="19"/>
  <c r="H30" i="19"/>
  <c r="F30" i="19"/>
  <c r="D30" i="19"/>
  <c r="F29" i="19"/>
  <c r="H29" i="19" s="1"/>
  <c r="D29" i="19"/>
  <c r="F28" i="19"/>
  <c r="H28" i="19" s="1"/>
  <c r="D28" i="19"/>
  <c r="F27" i="19"/>
  <c r="H27" i="19" s="1"/>
  <c r="D27" i="19"/>
  <c r="H26" i="19"/>
  <c r="F26" i="19"/>
  <c r="D26" i="19"/>
  <c r="F25" i="19"/>
  <c r="H25" i="19" s="1"/>
  <c r="D25" i="19"/>
  <c r="F24" i="19"/>
  <c r="H24" i="19" s="1"/>
  <c r="D24" i="19"/>
  <c r="F23" i="19"/>
  <c r="H23" i="19" s="1"/>
  <c r="D23" i="19"/>
  <c r="H22" i="19"/>
  <c r="F22" i="19"/>
  <c r="D22" i="19"/>
  <c r="F21" i="19"/>
  <c r="H21" i="19" s="1"/>
  <c r="D21" i="19"/>
  <c r="F20" i="19"/>
  <c r="H20" i="19" s="1"/>
  <c r="D20" i="19"/>
  <c r="F19" i="19"/>
  <c r="H19" i="19" s="1"/>
  <c r="D19" i="19"/>
  <c r="H18" i="19"/>
  <c r="F18" i="19"/>
  <c r="D18" i="19"/>
  <c r="F17" i="19"/>
  <c r="H17" i="19" s="1"/>
  <c r="D17" i="19"/>
  <c r="F16" i="19"/>
  <c r="H16" i="19" s="1"/>
  <c r="D16" i="19"/>
  <c r="F15" i="19"/>
  <c r="H15" i="19" s="1"/>
  <c r="D15" i="19"/>
  <c r="H14" i="19"/>
  <c r="F14" i="19"/>
  <c r="D14" i="19"/>
  <c r="F13" i="19"/>
  <c r="H13" i="19" s="1"/>
  <c r="D13" i="19"/>
  <c r="F12" i="19"/>
  <c r="H12" i="19" s="1"/>
  <c r="D12" i="19"/>
  <c r="F11" i="19"/>
  <c r="H11" i="19" s="1"/>
  <c r="D11" i="19"/>
  <c r="H10" i="19"/>
  <c r="F10" i="19"/>
  <c r="D10" i="19"/>
  <c r="F9" i="19"/>
  <c r="H9" i="19" s="1"/>
  <c r="D9" i="19"/>
  <c r="F8" i="19"/>
  <c r="H8" i="19" s="1"/>
  <c r="D8" i="19"/>
  <c r="F7" i="19"/>
  <c r="H7" i="19" s="1"/>
  <c r="D7" i="19"/>
  <c r="H6" i="19"/>
  <c r="F6" i="19"/>
  <c r="D6" i="19"/>
  <c r="F5" i="19"/>
  <c r="H5" i="19" s="1"/>
  <c r="D5" i="19"/>
  <c r="F4" i="19"/>
  <c r="H4" i="19" s="1"/>
  <c r="D4" i="19"/>
  <c r="F3" i="19"/>
  <c r="H3" i="19" s="1"/>
  <c r="F59" i="18" l="1"/>
  <c r="H59" i="18" s="1"/>
  <c r="D59" i="18"/>
  <c r="H58" i="18"/>
  <c r="F58" i="18"/>
  <c r="D58" i="18"/>
  <c r="F57" i="18"/>
  <c r="H57" i="18" s="1"/>
  <c r="D57" i="18"/>
  <c r="F56" i="18"/>
  <c r="H56" i="18" s="1"/>
  <c r="D56" i="18"/>
  <c r="F55" i="18"/>
  <c r="H55" i="18" s="1"/>
  <c r="D55" i="18"/>
  <c r="H54" i="18"/>
  <c r="F54" i="18"/>
  <c r="D54" i="18"/>
  <c r="F53" i="18"/>
  <c r="H53" i="18" s="1"/>
  <c r="D53" i="18"/>
  <c r="F52" i="18"/>
  <c r="H52" i="18" s="1"/>
  <c r="D52" i="18"/>
  <c r="F51" i="18"/>
  <c r="H51" i="18" s="1"/>
  <c r="D51" i="18"/>
  <c r="H50" i="18"/>
  <c r="F50" i="18"/>
  <c r="D50" i="18"/>
  <c r="F49" i="18"/>
  <c r="H49" i="18" s="1"/>
  <c r="D49" i="18"/>
  <c r="F48" i="18"/>
  <c r="H48" i="18" s="1"/>
  <c r="D48" i="18"/>
  <c r="F47" i="18"/>
  <c r="H47" i="18" s="1"/>
  <c r="D47" i="18"/>
  <c r="H46" i="18"/>
  <c r="F46" i="18"/>
  <c r="D46" i="18"/>
  <c r="F45" i="18"/>
  <c r="H45" i="18" s="1"/>
  <c r="D45" i="18"/>
  <c r="F44" i="18"/>
  <c r="H44" i="18" s="1"/>
  <c r="D44" i="18"/>
  <c r="F43" i="18"/>
  <c r="H43" i="18" s="1"/>
  <c r="D43" i="18"/>
  <c r="H42" i="18"/>
  <c r="F42" i="18"/>
  <c r="D42" i="18"/>
  <c r="F41" i="18"/>
  <c r="H41" i="18" s="1"/>
  <c r="D41" i="18"/>
  <c r="F40" i="18"/>
  <c r="H40" i="18" s="1"/>
  <c r="D40" i="18"/>
  <c r="F39" i="18"/>
  <c r="H39" i="18" s="1"/>
  <c r="D39" i="18"/>
  <c r="H38" i="18"/>
  <c r="F38" i="18"/>
  <c r="D38" i="18"/>
  <c r="F37" i="18"/>
  <c r="H37" i="18" s="1"/>
  <c r="D37" i="18"/>
  <c r="F36" i="18"/>
  <c r="H36" i="18" s="1"/>
  <c r="D36" i="18"/>
  <c r="F35" i="18"/>
  <c r="H35" i="18" s="1"/>
  <c r="D35" i="18"/>
  <c r="H34" i="18"/>
  <c r="F34" i="18"/>
  <c r="D34" i="18"/>
  <c r="F33" i="18"/>
  <c r="H33" i="18" s="1"/>
  <c r="D33" i="18"/>
  <c r="F32" i="18"/>
  <c r="H32" i="18" s="1"/>
  <c r="D32" i="18"/>
  <c r="F31" i="18"/>
  <c r="H31" i="18" s="1"/>
  <c r="D31" i="18"/>
  <c r="H30" i="18"/>
  <c r="F30" i="18"/>
  <c r="D30" i="18"/>
  <c r="F29" i="18"/>
  <c r="H29" i="18" s="1"/>
  <c r="D29" i="18"/>
  <c r="F28" i="18"/>
  <c r="H28" i="18" s="1"/>
  <c r="D28" i="18"/>
  <c r="F27" i="18"/>
  <c r="H27" i="18" s="1"/>
  <c r="D27" i="18"/>
  <c r="H26" i="18"/>
  <c r="F26" i="18"/>
  <c r="D26" i="18"/>
  <c r="F25" i="18"/>
  <c r="H25" i="18" s="1"/>
  <c r="D25" i="18"/>
  <c r="F24" i="18"/>
  <c r="H24" i="18" s="1"/>
  <c r="D24" i="18"/>
  <c r="F23" i="18"/>
  <c r="H23" i="18" s="1"/>
  <c r="D23" i="18"/>
  <c r="H22" i="18"/>
  <c r="F22" i="18"/>
  <c r="D22" i="18"/>
  <c r="F21" i="18"/>
  <c r="H21" i="18" s="1"/>
  <c r="D21" i="18"/>
  <c r="F20" i="18"/>
  <c r="H20" i="18" s="1"/>
  <c r="D20" i="18"/>
  <c r="F19" i="18"/>
  <c r="H19" i="18" s="1"/>
  <c r="D19" i="18"/>
  <c r="H18" i="18"/>
  <c r="F18" i="18"/>
  <c r="D18" i="18"/>
  <c r="F17" i="18"/>
  <c r="H17" i="18" s="1"/>
  <c r="D17" i="18"/>
  <c r="F16" i="18"/>
  <c r="H16" i="18" s="1"/>
  <c r="D16" i="18"/>
  <c r="F15" i="18"/>
  <c r="H15" i="18" s="1"/>
  <c r="D15" i="18"/>
  <c r="H14" i="18"/>
  <c r="F14" i="18"/>
  <c r="D14" i="18"/>
  <c r="F13" i="18"/>
  <c r="H13" i="18" s="1"/>
  <c r="D13" i="18"/>
  <c r="F12" i="18"/>
  <c r="H12" i="18" s="1"/>
  <c r="D12" i="18"/>
  <c r="F11" i="18"/>
  <c r="H11" i="18" s="1"/>
  <c r="D11" i="18"/>
  <c r="H10" i="18"/>
  <c r="F10" i="18"/>
  <c r="D10" i="18"/>
  <c r="F9" i="18"/>
  <c r="H9" i="18" s="1"/>
  <c r="D9" i="18"/>
  <c r="F8" i="18"/>
  <c r="H8" i="18" s="1"/>
  <c r="D8" i="18"/>
  <c r="F7" i="18"/>
  <c r="H7" i="18" s="1"/>
  <c r="D7" i="18"/>
  <c r="H6" i="18"/>
  <c r="F6" i="18"/>
  <c r="D6" i="18"/>
  <c r="F5" i="18"/>
  <c r="H5" i="18" s="1"/>
  <c r="D5" i="18"/>
  <c r="F4" i="18"/>
  <c r="H4" i="18" s="1"/>
  <c r="D4" i="18"/>
  <c r="F3" i="18"/>
  <c r="H3" i="18" s="1"/>
  <c r="F59" i="17" l="1"/>
  <c r="H59" i="17" s="1"/>
  <c r="D59" i="17"/>
  <c r="H58" i="17"/>
  <c r="F58" i="17"/>
  <c r="D58" i="17"/>
  <c r="F57" i="17"/>
  <c r="H57" i="17" s="1"/>
  <c r="D57" i="17"/>
  <c r="F56" i="17"/>
  <c r="H56" i="17" s="1"/>
  <c r="D56" i="17"/>
  <c r="F55" i="17"/>
  <c r="H55" i="17" s="1"/>
  <c r="D55" i="17"/>
  <c r="H54" i="17"/>
  <c r="F54" i="17"/>
  <c r="D54" i="17"/>
  <c r="F53" i="17"/>
  <c r="H53" i="17" s="1"/>
  <c r="D53" i="17"/>
  <c r="F52" i="17"/>
  <c r="H52" i="17" s="1"/>
  <c r="D52" i="17"/>
  <c r="F51" i="17"/>
  <c r="H51" i="17" s="1"/>
  <c r="D51" i="17"/>
  <c r="H50" i="17"/>
  <c r="F50" i="17"/>
  <c r="D50" i="17"/>
  <c r="F49" i="17"/>
  <c r="H49" i="17" s="1"/>
  <c r="D49" i="17"/>
  <c r="F48" i="17"/>
  <c r="H48" i="17" s="1"/>
  <c r="D48" i="17"/>
  <c r="F47" i="17"/>
  <c r="H47" i="17" s="1"/>
  <c r="D47" i="17"/>
  <c r="H46" i="17"/>
  <c r="F46" i="17"/>
  <c r="D46" i="17"/>
  <c r="F45" i="17"/>
  <c r="H45" i="17" s="1"/>
  <c r="D45" i="17"/>
  <c r="F44" i="17"/>
  <c r="H44" i="17" s="1"/>
  <c r="D44" i="17"/>
  <c r="F43" i="17"/>
  <c r="H43" i="17" s="1"/>
  <c r="D43" i="17"/>
  <c r="H42" i="17"/>
  <c r="F42" i="17"/>
  <c r="D42" i="17"/>
  <c r="F41" i="17"/>
  <c r="H41" i="17" s="1"/>
  <c r="D41" i="17"/>
  <c r="F40" i="17"/>
  <c r="H40" i="17" s="1"/>
  <c r="D40" i="17"/>
  <c r="F39" i="17"/>
  <c r="H39" i="17" s="1"/>
  <c r="D39" i="17"/>
  <c r="H38" i="17"/>
  <c r="F38" i="17"/>
  <c r="D38" i="17"/>
  <c r="F37" i="17"/>
  <c r="H37" i="17" s="1"/>
  <c r="D37" i="17"/>
  <c r="F36" i="17"/>
  <c r="H36" i="17" s="1"/>
  <c r="D36" i="17"/>
  <c r="F35" i="17"/>
  <c r="H35" i="17" s="1"/>
  <c r="D35" i="17"/>
  <c r="H34" i="17"/>
  <c r="F34" i="17"/>
  <c r="D34" i="17"/>
  <c r="F33" i="17"/>
  <c r="H33" i="17" s="1"/>
  <c r="D33" i="17"/>
  <c r="F32" i="17"/>
  <c r="H32" i="17" s="1"/>
  <c r="D32" i="17"/>
  <c r="F31" i="17"/>
  <c r="H31" i="17" s="1"/>
  <c r="D31" i="17"/>
  <c r="H30" i="17"/>
  <c r="F30" i="17"/>
  <c r="D30" i="17"/>
  <c r="F29" i="17"/>
  <c r="H29" i="17" s="1"/>
  <c r="D29" i="17"/>
  <c r="F28" i="17"/>
  <c r="H28" i="17" s="1"/>
  <c r="D28" i="17"/>
  <c r="F27" i="17"/>
  <c r="H27" i="17" s="1"/>
  <c r="D27" i="17"/>
  <c r="H26" i="17"/>
  <c r="F26" i="17"/>
  <c r="D26" i="17"/>
  <c r="F25" i="17"/>
  <c r="H25" i="17" s="1"/>
  <c r="D25" i="17"/>
  <c r="F24" i="17"/>
  <c r="H24" i="17" s="1"/>
  <c r="D24" i="17"/>
  <c r="H23" i="17"/>
  <c r="F23" i="17"/>
  <c r="D23" i="17"/>
  <c r="H22" i="17"/>
  <c r="F22" i="17"/>
  <c r="D22" i="17"/>
  <c r="F21" i="17"/>
  <c r="H21" i="17" s="1"/>
  <c r="D21" i="17"/>
  <c r="F20" i="17"/>
  <c r="H20" i="17" s="1"/>
  <c r="D20" i="17"/>
  <c r="H19" i="17"/>
  <c r="F19" i="17"/>
  <c r="D19" i="17"/>
  <c r="H18" i="17"/>
  <c r="F18" i="17"/>
  <c r="D18" i="17"/>
  <c r="F17" i="17"/>
  <c r="H17" i="17" s="1"/>
  <c r="D17" i="17"/>
  <c r="F16" i="17"/>
  <c r="H16" i="17" s="1"/>
  <c r="D16" i="17"/>
  <c r="H15" i="17"/>
  <c r="F15" i="17"/>
  <c r="D15" i="17"/>
  <c r="H14" i="17"/>
  <c r="F14" i="17"/>
  <c r="D14" i="17"/>
  <c r="F13" i="17"/>
  <c r="H13" i="17" s="1"/>
  <c r="D13" i="17"/>
  <c r="F12" i="17"/>
  <c r="H12" i="17" s="1"/>
  <c r="D12" i="17"/>
  <c r="H11" i="17"/>
  <c r="F11" i="17"/>
  <c r="D11" i="17"/>
  <c r="H10" i="17"/>
  <c r="F10" i="17"/>
  <c r="D10" i="17"/>
  <c r="F9" i="17"/>
  <c r="H9" i="17" s="1"/>
  <c r="D9" i="17"/>
  <c r="F8" i="17"/>
  <c r="H8" i="17" s="1"/>
  <c r="D8" i="17"/>
  <c r="H7" i="17"/>
  <c r="F7" i="17"/>
  <c r="D7" i="17"/>
  <c r="H6" i="17"/>
  <c r="F6" i="17"/>
  <c r="D6" i="17"/>
  <c r="F5" i="17"/>
  <c r="H5" i="17" s="1"/>
  <c r="D5" i="17"/>
  <c r="F4" i="17"/>
  <c r="H4" i="17" s="1"/>
  <c r="D4" i="17"/>
  <c r="H3" i="17"/>
  <c r="F3" i="17"/>
  <c r="F59" i="16" l="1"/>
  <c r="H59" i="16" s="1"/>
  <c r="D59" i="16"/>
  <c r="H58" i="16"/>
  <c r="F58" i="16"/>
  <c r="D58" i="16"/>
  <c r="F57" i="16"/>
  <c r="H57" i="16" s="1"/>
  <c r="D57" i="16"/>
  <c r="F56" i="16"/>
  <c r="H56" i="16" s="1"/>
  <c r="D56" i="16"/>
  <c r="F55" i="16"/>
  <c r="H55" i="16" s="1"/>
  <c r="D55" i="16"/>
  <c r="H54" i="16"/>
  <c r="F54" i="16"/>
  <c r="D54" i="16"/>
  <c r="F53" i="16"/>
  <c r="H53" i="16" s="1"/>
  <c r="D53" i="16"/>
  <c r="F52" i="16"/>
  <c r="H52" i="16" s="1"/>
  <c r="D52" i="16"/>
  <c r="F51" i="16"/>
  <c r="H51" i="16" s="1"/>
  <c r="D51" i="16"/>
  <c r="H50" i="16"/>
  <c r="F50" i="16"/>
  <c r="D50" i="16"/>
  <c r="F49" i="16"/>
  <c r="H49" i="16" s="1"/>
  <c r="D49" i="16"/>
  <c r="F48" i="16"/>
  <c r="H48" i="16" s="1"/>
  <c r="D48" i="16"/>
  <c r="F47" i="16"/>
  <c r="H47" i="16" s="1"/>
  <c r="D47" i="16"/>
  <c r="H46" i="16"/>
  <c r="F46" i="16"/>
  <c r="D46" i="16"/>
  <c r="F45" i="16"/>
  <c r="H45" i="16" s="1"/>
  <c r="D45" i="16"/>
  <c r="F44" i="16"/>
  <c r="H44" i="16" s="1"/>
  <c r="D44" i="16"/>
  <c r="F43" i="16"/>
  <c r="H43" i="16" s="1"/>
  <c r="D43" i="16"/>
  <c r="H42" i="16"/>
  <c r="F42" i="16"/>
  <c r="D42" i="16"/>
  <c r="F41" i="16"/>
  <c r="H41" i="16" s="1"/>
  <c r="D41" i="16"/>
  <c r="F40" i="16"/>
  <c r="H40" i="16" s="1"/>
  <c r="D40" i="16"/>
  <c r="F39" i="16"/>
  <c r="H39" i="16" s="1"/>
  <c r="D39" i="16"/>
  <c r="H38" i="16"/>
  <c r="F38" i="16"/>
  <c r="D38" i="16"/>
  <c r="F37" i="16"/>
  <c r="H37" i="16" s="1"/>
  <c r="D37" i="16"/>
  <c r="F36" i="16"/>
  <c r="H36" i="16" s="1"/>
  <c r="D36" i="16"/>
  <c r="F35" i="16"/>
  <c r="H35" i="16" s="1"/>
  <c r="D35" i="16"/>
  <c r="H34" i="16"/>
  <c r="F34" i="16"/>
  <c r="D34" i="16"/>
  <c r="F33" i="16"/>
  <c r="H33" i="16" s="1"/>
  <c r="D33" i="16"/>
  <c r="F32" i="16"/>
  <c r="H32" i="16" s="1"/>
  <c r="D32" i="16"/>
  <c r="F31" i="16"/>
  <c r="H31" i="16" s="1"/>
  <c r="D31" i="16"/>
  <c r="H30" i="16"/>
  <c r="F30" i="16"/>
  <c r="D30" i="16"/>
  <c r="F29" i="16"/>
  <c r="H29" i="16" s="1"/>
  <c r="D29" i="16"/>
  <c r="F28" i="16"/>
  <c r="H28" i="16" s="1"/>
  <c r="D28" i="16"/>
  <c r="F27" i="16"/>
  <c r="H27" i="16" s="1"/>
  <c r="D27" i="16"/>
  <c r="H26" i="16"/>
  <c r="F26" i="16"/>
  <c r="D26" i="16"/>
  <c r="F25" i="16"/>
  <c r="H25" i="16" s="1"/>
  <c r="D25" i="16"/>
  <c r="F24" i="16"/>
  <c r="H24" i="16" s="1"/>
  <c r="D24" i="16"/>
  <c r="F23" i="16"/>
  <c r="H23" i="16" s="1"/>
  <c r="D23" i="16"/>
  <c r="H22" i="16"/>
  <c r="F22" i="16"/>
  <c r="D22" i="16"/>
  <c r="F21" i="16"/>
  <c r="H21" i="16" s="1"/>
  <c r="D21" i="16"/>
  <c r="F20" i="16"/>
  <c r="H20" i="16" s="1"/>
  <c r="D20" i="16"/>
  <c r="F19" i="16"/>
  <c r="H19" i="16" s="1"/>
  <c r="D19" i="16"/>
  <c r="H18" i="16"/>
  <c r="F18" i="16"/>
  <c r="D18" i="16"/>
  <c r="F17" i="16"/>
  <c r="H17" i="16" s="1"/>
  <c r="D17" i="16"/>
  <c r="F16" i="16"/>
  <c r="H16" i="16" s="1"/>
  <c r="D16" i="16"/>
  <c r="F15" i="16"/>
  <c r="H15" i="16" s="1"/>
  <c r="D15" i="16"/>
  <c r="H14" i="16"/>
  <c r="F14" i="16"/>
  <c r="D14" i="16"/>
  <c r="F13" i="16"/>
  <c r="H13" i="16" s="1"/>
  <c r="D13" i="16"/>
  <c r="F12" i="16"/>
  <c r="H12" i="16" s="1"/>
  <c r="D12" i="16"/>
  <c r="F11" i="16"/>
  <c r="H11" i="16" s="1"/>
  <c r="D11" i="16"/>
  <c r="H10" i="16"/>
  <c r="F10" i="16"/>
  <c r="D10" i="16"/>
  <c r="F9" i="16"/>
  <c r="H9" i="16" s="1"/>
  <c r="D9" i="16"/>
  <c r="F8" i="16"/>
  <c r="H8" i="16" s="1"/>
  <c r="D8" i="16"/>
  <c r="F7" i="16"/>
  <c r="H7" i="16" s="1"/>
  <c r="D7" i="16"/>
  <c r="H6" i="16"/>
  <c r="F6" i="16"/>
  <c r="D6" i="16"/>
  <c r="F5" i="16"/>
  <c r="H5" i="16" s="1"/>
  <c r="D5" i="16"/>
  <c r="F4" i="16"/>
  <c r="H4" i="16" s="1"/>
  <c r="D4" i="16"/>
  <c r="F3" i="16"/>
  <c r="H3" i="16" s="1"/>
  <c r="F59" i="15" l="1"/>
  <c r="H59" i="15" s="1"/>
  <c r="D59" i="15"/>
  <c r="H58" i="15"/>
  <c r="F58" i="15"/>
  <c r="D58" i="15"/>
  <c r="F57" i="15"/>
  <c r="H57" i="15" s="1"/>
  <c r="D57" i="15"/>
  <c r="F56" i="15"/>
  <c r="H56" i="15" s="1"/>
  <c r="D56" i="15"/>
  <c r="F55" i="15"/>
  <c r="H55" i="15" s="1"/>
  <c r="D55" i="15"/>
  <c r="H54" i="15"/>
  <c r="F54" i="15"/>
  <c r="D54" i="15"/>
  <c r="F53" i="15"/>
  <c r="H53" i="15" s="1"/>
  <c r="D53" i="15"/>
  <c r="F52" i="15"/>
  <c r="H52" i="15" s="1"/>
  <c r="D52" i="15"/>
  <c r="F51" i="15"/>
  <c r="H51" i="15" s="1"/>
  <c r="D51" i="15"/>
  <c r="H50" i="15"/>
  <c r="F50" i="15"/>
  <c r="D50" i="15"/>
  <c r="F49" i="15"/>
  <c r="H49" i="15" s="1"/>
  <c r="D49" i="15"/>
  <c r="F48" i="15"/>
  <c r="H48" i="15" s="1"/>
  <c r="D48" i="15"/>
  <c r="F47" i="15"/>
  <c r="H47" i="15" s="1"/>
  <c r="D47" i="15"/>
  <c r="H46" i="15"/>
  <c r="F46" i="15"/>
  <c r="D46" i="15"/>
  <c r="F45" i="15"/>
  <c r="H45" i="15" s="1"/>
  <c r="D45" i="15"/>
  <c r="F44" i="15"/>
  <c r="H44" i="15" s="1"/>
  <c r="D44" i="15"/>
  <c r="F43" i="15"/>
  <c r="H43" i="15" s="1"/>
  <c r="D43" i="15"/>
  <c r="H42" i="15"/>
  <c r="F42" i="15"/>
  <c r="D42" i="15"/>
  <c r="F41" i="15"/>
  <c r="H41" i="15" s="1"/>
  <c r="D41" i="15"/>
  <c r="F40" i="15"/>
  <c r="H40" i="15" s="1"/>
  <c r="D40" i="15"/>
  <c r="F39" i="15"/>
  <c r="H39" i="15" s="1"/>
  <c r="D39" i="15"/>
  <c r="H38" i="15"/>
  <c r="F38" i="15"/>
  <c r="D38" i="15"/>
  <c r="F37" i="15"/>
  <c r="H37" i="15" s="1"/>
  <c r="D37" i="15"/>
  <c r="F36" i="15"/>
  <c r="H36" i="15" s="1"/>
  <c r="D36" i="15"/>
  <c r="F35" i="15"/>
  <c r="H35" i="15" s="1"/>
  <c r="D35" i="15"/>
  <c r="H34" i="15"/>
  <c r="F34" i="15"/>
  <c r="D34" i="15"/>
  <c r="F33" i="15"/>
  <c r="H33" i="15" s="1"/>
  <c r="D33" i="15"/>
  <c r="F32" i="15"/>
  <c r="H32" i="15" s="1"/>
  <c r="D32" i="15"/>
  <c r="F31" i="15"/>
  <c r="H31" i="15" s="1"/>
  <c r="D31" i="15"/>
  <c r="H30" i="15"/>
  <c r="F30" i="15"/>
  <c r="D30" i="15"/>
  <c r="F29" i="15"/>
  <c r="H29" i="15" s="1"/>
  <c r="D29" i="15"/>
  <c r="F28" i="15"/>
  <c r="H28" i="15" s="1"/>
  <c r="D28" i="15"/>
  <c r="F27" i="15"/>
  <c r="H27" i="15" s="1"/>
  <c r="D27" i="15"/>
  <c r="H26" i="15"/>
  <c r="F26" i="15"/>
  <c r="D26" i="15"/>
  <c r="F25" i="15"/>
  <c r="H25" i="15" s="1"/>
  <c r="D25" i="15"/>
  <c r="F24" i="15"/>
  <c r="H24" i="15" s="1"/>
  <c r="D24" i="15"/>
  <c r="F23" i="15"/>
  <c r="H23" i="15" s="1"/>
  <c r="D23" i="15"/>
  <c r="H22" i="15"/>
  <c r="F22" i="15"/>
  <c r="D22" i="15"/>
  <c r="F21" i="15"/>
  <c r="H21" i="15" s="1"/>
  <c r="D21" i="15"/>
  <c r="F20" i="15"/>
  <c r="H20" i="15" s="1"/>
  <c r="D20" i="15"/>
  <c r="F19" i="15"/>
  <c r="H19" i="15" s="1"/>
  <c r="D19" i="15"/>
  <c r="H18" i="15"/>
  <c r="F18" i="15"/>
  <c r="D18" i="15"/>
  <c r="F17" i="15"/>
  <c r="H17" i="15" s="1"/>
  <c r="D17" i="15"/>
  <c r="F16" i="15"/>
  <c r="H16" i="15" s="1"/>
  <c r="D16" i="15"/>
  <c r="F15" i="15"/>
  <c r="H15" i="15" s="1"/>
  <c r="D15" i="15"/>
  <c r="H14" i="15"/>
  <c r="F14" i="15"/>
  <c r="D14" i="15"/>
  <c r="F13" i="15"/>
  <c r="H13" i="15" s="1"/>
  <c r="D13" i="15"/>
  <c r="F12" i="15"/>
  <c r="H12" i="15" s="1"/>
  <c r="D12" i="15"/>
  <c r="F11" i="15"/>
  <c r="H11" i="15" s="1"/>
  <c r="D11" i="15"/>
  <c r="H10" i="15"/>
  <c r="F10" i="15"/>
  <c r="D10" i="15"/>
  <c r="F9" i="15"/>
  <c r="H9" i="15" s="1"/>
  <c r="D9" i="15"/>
  <c r="F8" i="15"/>
  <c r="H8" i="15" s="1"/>
  <c r="D8" i="15"/>
  <c r="F7" i="15"/>
  <c r="H7" i="15" s="1"/>
  <c r="D7" i="15"/>
  <c r="H6" i="15"/>
  <c r="F6" i="15"/>
  <c r="D6" i="15"/>
  <c r="F5" i="15"/>
  <c r="H5" i="15" s="1"/>
  <c r="D5" i="15"/>
  <c r="F4" i="15"/>
  <c r="H4" i="15" s="1"/>
  <c r="D4" i="15"/>
  <c r="F3" i="15"/>
  <c r="H3" i="15" s="1"/>
  <c r="F59" i="14" l="1"/>
  <c r="H59" i="14" s="1"/>
  <c r="D59" i="14"/>
  <c r="H58" i="14"/>
  <c r="F58" i="14"/>
  <c r="D58" i="14"/>
  <c r="F57" i="14"/>
  <c r="H57" i="14" s="1"/>
  <c r="D57" i="14"/>
  <c r="F56" i="14"/>
  <c r="H56" i="14" s="1"/>
  <c r="D56" i="14"/>
  <c r="F55" i="14"/>
  <c r="H55" i="14" s="1"/>
  <c r="D55" i="14"/>
  <c r="H54" i="14"/>
  <c r="F54" i="14"/>
  <c r="D54" i="14"/>
  <c r="F53" i="14"/>
  <c r="H53" i="14" s="1"/>
  <c r="D53" i="14"/>
  <c r="F52" i="14"/>
  <c r="H52" i="14" s="1"/>
  <c r="D52" i="14"/>
  <c r="F51" i="14"/>
  <c r="H51" i="14" s="1"/>
  <c r="D51" i="14"/>
  <c r="H50" i="14"/>
  <c r="F50" i="14"/>
  <c r="D50" i="14"/>
  <c r="F49" i="14"/>
  <c r="H49" i="14" s="1"/>
  <c r="D49" i="14"/>
  <c r="F48" i="14"/>
  <c r="H48" i="14" s="1"/>
  <c r="D48" i="14"/>
  <c r="F47" i="14"/>
  <c r="H47" i="14" s="1"/>
  <c r="D47" i="14"/>
  <c r="H46" i="14"/>
  <c r="F46" i="14"/>
  <c r="D46" i="14"/>
  <c r="F45" i="14"/>
  <c r="H45" i="14" s="1"/>
  <c r="D45" i="14"/>
  <c r="F44" i="14"/>
  <c r="H44" i="14" s="1"/>
  <c r="D44" i="14"/>
  <c r="F43" i="14"/>
  <c r="H43" i="14" s="1"/>
  <c r="D43" i="14"/>
  <c r="H42" i="14"/>
  <c r="F42" i="14"/>
  <c r="D42" i="14"/>
  <c r="F41" i="14"/>
  <c r="H41" i="14" s="1"/>
  <c r="D41" i="14"/>
  <c r="F40" i="14"/>
  <c r="H40" i="14" s="1"/>
  <c r="D40" i="14"/>
  <c r="F39" i="14"/>
  <c r="H39" i="14" s="1"/>
  <c r="D39" i="14"/>
  <c r="H38" i="14"/>
  <c r="F38" i="14"/>
  <c r="D38" i="14"/>
  <c r="F37" i="14"/>
  <c r="H37" i="14" s="1"/>
  <c r="D37" i="14"/>
  <c r="F36" i="14"/>
  <c r="H36" i="14" s="1"/>
  <c r="D36" i="14"/>
  <c r="F35" i="14"/>
  <c r="H35" i="14" s="1"/>
  <c r="D35" i="14"/>
  <c r="H34" i="14"/>
  <c r="F34" i="14"/>
  <c r="D34" i="14"/>
  <c r="F33" i="14"/>
  <c r="H33" i="14" s="1"/>
  <c r="D33" i="14"/>
  <c r="F32" i="14"/>
  <c r="H32" i="14" s="1"/>
  <c r="D32" i="14"/>
  <c r="F31" i="14"/>
  <c r="H31" i="14" s="1"/>
  <c r="D31" i="14"/>
  <c r="H30" i="14"/>
  <c r="F30" i="14"/>
  <c r="D30" i="14"/>
  <c r="F29" i="14"/>
  <c r="H29" i="14" s="1"/>
  <c r="D29" i="14"/>
  <c r="F28" i="14"/>
  <c r="H28" i="14" s="1"/>
  <c r="D28" i="14"/>
  <c r="F27" i="14"/>
  <c r="H27" i="14" s="1"/>
  <c r="D27" i="14"/>
  <c r="H26" i="14"/>
  <c r="F26" i="14"/>
  <c r="D26" i="14"/>
  <c r="F25" i="14"/>
  <c r="H25" i="14" s="1"/>
  <c r="D25" i="14"/>
  <c r="F24" i="14"/>
  <c r="H24" i="14" s="1"/>
  <c r="D24" i="14"/>
  <c r="F23" i="14"/>
  <c r="H23" i="14" s="1"/>
  <c r="D23" i="14"/>
  <c r="H22" i="14"/>
  <c r="F22" i="14"/>
  <c r="D22" i="14"/>
  <c r="F21" i="14"/>
  <c r="H21" i="14" s="1"/>
  <c r="D21" i="14"/>
  <c r="F20" i="14"/>
  <c r="H20" i="14" s="1"/>
  <c r="D20" i="14"/>
  <c r="F19" i="14"/>
  <c r="H19" i="14" s="1"/>
  <c r="D19" i="14"/>
  <c r="H18" i="14"/>
  <c r="F18" i="14"/>
  <c r="D18" i="14"/>
  <c r="F17" i="14"/>
  <c r="H17" i="14" s="1"/>
  <c r="D17" i="14"/>
  <c r="F16" i="14"/>
  <c r="H16" i="14" s="1"/>
  <c r="D16" i="14"/>
  <c r="F15" i="14"/>
  <c r="H15" i="14" s="1"/>
  <c r="D15" i="14"/>
  <c r="H14" i="14"/>
  <c r="F14" i="14"/>
  <c r="D14" i="14"/>
  <c r="F13" i="14"/>
  <c r="H13" i="14" s="1"/>
  <c r="D13" i="14"/>
  <c r="F12" i="14"/>
  <c r="H12" i="14" s="1"/>
  <c r="D12" i="14"/>
  <c r="F11" i="14"/>
  <c r="H11" i="14" s="1"/>
  <c r="D11" i="14"/>
  <c r="H10" i="14"/>
  <c r="F10" i="14"/>
  <c r="D10" i="14"/>
  <c r="F9" i="14"/>
  <c r="H9" i="14" s="1"/>
  <c r="D9" i="14"/>
  <c r="F8" i="14"/>
  <c r="H8" i="14" s="1"/>
  <c r="D8" i="14"/>
  <c r="H7" i="14"/>
  <c r="F7" i="14"/>
  <c r="D7" i="14"/>
  <c r="F6" i="14"/>
  <c r="H6" i="14" s="1"/>
  <c r="D6" i="14"/>
  <c r="F5" i="14"/>
  <c r="H5" i="14" s="1"/>
  <c r="D5" i="14"/>
  <c r="F4" i="14"/>
  <c r="H4" i="14" s="1"/>
  <c r="D4" i="14"/>
  <c r="H3" i="14"/>
  <c r="F3" i="14"/>
  <c r="F59" i="13" l="1"/>
  <c r="H59" i="13" s="1"/>
  <c r="D59" i="13"/>
  <c r="H58" i="13"/>
  <c r="F58" i="13"/>
  <c r="D58" i="13"/>
  <c r="F57" i="13"/>
  <c r="H57" i="13" s="1"/>
  <c r="D57" i="13"/>
  <c r="F56" i="13"/>
  <c r="H56" i="13" s="1"/>
  <c r="D56" i="13"/>
  <c r="F55" i="13"/>
  <c r="H55" i="13" s="1"/>
  <c r="D55" i="13"/>
  <c r="H54" i="13"/>
  <c r="F54" i="13"/>
  <c r="D54" i="13"/>
  <c r="F53" i="13"/>
  <c r="H53" i="13" s="1"/>
  <c r="D53" i="13"/>
  <c r="F52" i="13"/>
  <c r="H52" i="13" s="1"/>
  <c r="D52" i="13"/>
  <c r="F51" i="13"/>
  <c r="H51" i="13" s="1"/>
  <c r="D51" i="13"/>
  <c r="H50" i="13"/>
  <c r="F50" i="13"/>
  <c r="D50" i="13"/>
  <c r="F49" i="13"/>
  <c r="H49" i="13" s="1"/>
  <c r="D49" i="13"/>
  <c r="F48" i="13"/>
  <c r="H48" i="13" s="1"/>
  <c r="D48" i="13"/>
  <c r="F47" i="13"/>
  <c r="H47" i="13" s="1"/>
  <c r="D47" i="13"/>
  <c r="H46" i="13"/>
  <c r="F46" i="13"/>
  <c r="D46" i="13"/>
  <c r="F45" i="13"/>
  <c r="H45" i="13" s="1"/>
  <c r="D45" i="13"/>
  <c r="F44" i="13"/>
  <c r="H44" i="13" s="1"/>
  <c r="D44" i="13"/>
  <c r="F43" i="13"/>
  <c r="H43" i="13" s="1"/>
  <c r="D43" i="13"/>
  <c r="H42" i="13"/>
  <c r="F42" i="13"/>
  <c r="D42" i="13"/>
  <c r="F41" i="13"/>
  <c r="H41" i="13" s="1"/>
  <c r="D41" i="13"/>
  <c r="F40" i="13"/>
  <c r="H40" i="13" s="1"/>
  <c r="D40" i="13"/>
  <c r="F39" i="13"/>
  <c r="H39" i="13" s="1"/>
  <c r="D39" i="13"/>
  <c r="H38" i="13"/>
  <c r="F38" i="13"/>
  <c r="D38" i="13"/>
  <c r="F37" i="13"/>
  <c r="H37" i="13" s="1"/>
  <c r="D37" i="13"/>
  <c r="F36" i="13"/>
  <c r="H36" i="13" s="1"/>
  <c r="D36" i="13"/>
  <c r="F35" i="13"/>
  <c r="H35" i="13" s="1"/>
  <c r="D35" i="13"/>
  <c r="H34" i="13"/>
  <c r="F34" i="13"/>
  <c r="D34" i="13"/>
  <c r="F33" i="13"/>
  <c r="H33" i="13" s="1"/>
  <c r="D33" i="13"/>
  <c r="F32" i="13"/>
  <c r="H32" i="13" s="1"/>
  <c r="D32" i="13"/>
  <c r="F31" i="13"/>
  <c r="H31" i="13" s="1"/>
  <c r="D31" i="13"/>
  <c r="H30" i="13"/>
  <c r="F30" i="13"/>
  <c r="D30" i="13"/>
  <c r="F29" i="13"/>
  <c r="H29" i="13" s="1"/>
  <c r="D29" i="13"/>
  <c r="F28" i="13"/>
  <c r="H28" i="13" s="1"/>
  <c r="D28" i="13"/>
  <c r="F27" i="13"/>
  <c r="H27" i="13" s="1"/>
  <c r="D27" i="13"/>
  <c r="H26" i="13"/>
  <c r="F26" i="13"/>
  <c r="D26" i="13"/>
  <c r="F25" i="13"/>
  <c r="H25" i="13" s="1"/>
  <c r="D25" i="13"/>
  <c r="F24" i="13"/>
  <c r="H24" i="13" s="1"/>
  <c r="D24" i="13"/>
  <c r="F23" i="13"/>
  <c r="H23" i="13" s="1"/>
  <c r="D23" i="13"/>
  <c r="H22" i="13"/>
  <c r="F22" i="13"/>
  <c r="D22" i="13"/>
  <c r="F21" i="13"/>
  <c r="H21" i="13" s="1"/>
  <c r="D21" i="13"/>
  <c r="F20" i="13"/>
  <c r="H20" i="13" s="1"/>
  <c r="D20" i="13"/>
  <c r="F19" i="13"/>
  <c r="H19" i="13" s="1"/>
  <c r="D19" i="13"/>
  <c r="H18" i="13"/>
  <c r="F18" i="13"/>
  <c r="D18" i="13"/>
  <c r="F17" i="13"/>
  <c r="H17" i="13" s="1"/>
  <c r="D17" i="13"/>
  <c r="F16" i="13"/>
  <c r="H16" i="13" s="1"/>
  <c r="D16" i="13"/>
  <c r="F15" i="13"/>
  <c r="H15" i="13" s="1"/>
  <c r="D15" i="13"/>
  <c r="H14" i="13"/>
  <c r="F14" i="13"/>
  <c r="D14" i="13"/>
  <c r="F13" i="13"/>
  <c r="H13" i="13" s="1"/>
  <c r="D13" i="13"/>
  <c r="F12" i="13"/>
  <c r="H12" i="13" s="1"/>
  <c r="D12" i="13"/>
  <c r="F11" i="13"/>
  <c r="H11" i="13" s="1"/>
  <c r="D11" i="13"/>
  <c r="H10" i="13"/>
  <c r="F10" i="13"/>
  <c r="D10" i="13"/>
  <c r="F9" i="13"/>
  <c r="H9" i="13" s="1"/>
  <c r="D9" i="13"/>
  <c r="F8" i="13"/>
  <c r="H8" i="13" s="1"/>
  <c r="D8" i="13"/>
  <c r="F7" i="13"/>
  <c r="H7" i="13" s="1"/>
  <c r="D7" i="13"/>
  <c r="H6" i="13"/>
  <c r="F6" i="13"/>
  <c r="D6" i="13"/>
  <c r="F5" i="13"/>
  <c r="H5" i="13" s="1"/>
  <c r="D5" i="13"/>
  <c r="F4" i="13"/>
  <c r="H4" i="13" s="1"/>
  <c r="D4" i="13"/>
  <c r="F3" i="13"/>
  <c r="H3" i="13" s="1"/>
  <c r="F59" i="12" l="1"/>
  <c r="H59" i="12" s="1"/>
  <c r="D59" i="12"/>
  <c r="H58" i="12"/>
  <c r="F58" i="12"/>
  <c r="D58" i="12"/>
  <c r="F57" i="12"/>
  <c r="H57" i="12" s="1"/>
  <c r="D57" i="12"/>
  <c r="F56" i="12"/>
  <c r="H56" i="12" s="1"/>
  <c r="D56" i="12"/>
  <c r="F55" i="12"/>
  <c r="H55" i="12" s="1"/>
  <c r="D55" i="12"/>
  <c r="H54" i="12"/>
  <c r="F54" i="12"/>
  <c r="D54" i="12"/>
  <c r="F53" i="12"/>
  <c r="H53" i="12" s="1"/>
  <c r="D53" i="12"/>
  <c r="F52" i="12"/>
  <c r="H52" i="12" s="1"/>
  <c r="D52" i="12"/>
  <c r="F51" i="12"/>
  <c r="H51" i="12" s="1"/>
  <c r="D51" i="12"/>
  <c r="H50" i="12"/>
  <c r="F50" i="12"/>
  <c r="D50" i="12"/>
  <c r="F49" i="12"/>
  <c r="H49" i="12" s="1"/>
  <c r="D49" i="12"/>
  <c r="F48" i="12"/>
  <c r="H48" i="12" s="1"/>
  <c r="D48" i="12"/>
  <c r="F47" i="12"/>
  <c r="H47" i="12" s="1"/>
  <c r="D47" i="12"/>
  <c r="H46" i="12"/>
  <c r="F46" i="12"/>
  <c r="D46" i="12"/>
  <c r="F45" i="12"/>
  <c r="H45" i="12" s="1"/>
  <c r="D45" i="12"/>
  <c r="F44" i="12"/>
  <c r="H44" i="12" s="1"/>
  <c r="D44" i="12"/>
  <c r="F43" i="12"/>
  <c r="H43" i="12" s="1"/>
  <c r="D43" i="12"/>
  <c r="H42" i="12"/>
  <c r="F42" i="12"/>
  <c r="D42" i="12"/>
  <c r="F41" i="12"/>
  <c r="H41" i="12" s="1"/>
  <c r="D41" i="12"/>
  <c r="F40" i="12"/>
  <c r="H40" i="12" s="1"/>
  <c r="D40" i="12"/>
  <c r="F39" i="12"/>
  <c r="H39" i="12" s="1"/>
  <c r="D39" i="12"/>
  <c r="H38" i="12"/>
  <c r="F38" i="12"/>
  <c r="D38" i="12"/>
  <c r="F37" i="12"/>
  <c r="H37" i="12" s="1"/>
  <c r="D37" i="12"/>
  <c r="F36" i="12"/>
  <c r="H36" i="12" s="1"/>
  <c r="D36" i="12"/>
  <c r="F35" i="12"/>
  <c r="H35" i="12" s="1"/>
  <c r="D35" i="12"/>
  <c r="H34" i="12"/>
  <c r="F34" i="12"/>
  <c r="D34" i="12"/>
  <c r="F33" i="12"/>
  <c r="H33" i="12" s="1"/>
  <c r="D33" i="12"/>
  <c r="F32" i="12"/>
  <c r="H32" i="12" s="1"/>
  <c r="D32" i="12"/>
  <c r="F31" i="12"/>
  <c r="H31" i="12" s="1"/>
  <c r="D31" i="12"/>
  <c r="H30" i="12"/>
  <c r="F30" i="12"/>
  <c r="D30" i="12"/>
  <c r="F29" i="12"/>
  <c r="H29" i="12" s="1"/>
  <c r="D29" i="12"/>
  <c r="F28" i="12"/>
  <c r="H28" i="12" s="1"/>
  <c r="D28" i="12"/>
  <c r="F27" i="12"/>
  <c r="H27" i="12" s="1"/>
  <c r="D27" i="12"/>
  <c r="H26" i="12"/>
  <c r="F26" i="12"/>
  <c r="D26" i="12"/>
  <c r="F25" i="12"/>
  <c r="H25" i="12" s="1"/>
  <c r="D25" i="12"/>
  <c r="F24" i="12"/>
  <c r="H24" i="12" s="1"/>
  <c r="D24" i="12"/>
  <c r="F23" i="12"/>
  <c r="H23" i="12" s="1"/>
  <c r="D23" i="12"/>
  <c r="H22" i="12"/>
  <c r="F22" i="12"/>
  <c r="D22" i="12"/>
  <c r="F21" i="12"/>
  <c r="H21" i="12" s="1"/>
  <c r="D21" i="12"/>
  <c r="F20" i="12"/>
  <c r="H20" i="12" s="1"/>
  <c r="D20" i="12"/>
  <c r="F19" i="12"/>
  <c r="H19" i="12" s="1"/>
  <c r="D19" i="12"/>
  <c r="H18" i="12"/>
  <c r="F18" i="12"/>
  <c r="D18" i="12"/>
  <c r="F17" i="12"/>
  <c r="H17" i="12" s="1"/>
  <c r="D17" i="12"/>
  <c r="F16" i="12"/>
  <c r="H16" i="12" s="1"/>
  <c r="D16" i="12"/>
  <c r="F15" i="12"/>
  <c r="H15" i="12" s="1"/>
  <c r="D15" i="12"/>
  <c r="H14" i="12"/>
  <c r="F14" i="12"/>
  <c r="D14" i="12"/>
  <c r="F13" i="12"/>
  <c r="H13" i="12" s="1"/>
  <c r="D13" i="12"/>
  <c r="F12" i="12"/>
  <c r="H12" i="12" s="1"/>
  <c r="D12" i="12"/>
  <c r="F11" i="12"/>
  <c r="H11" i="12" s="1"/>
  <c r="D11" i="12"/>
  <c r="H10" i="12"/>
  <c r="F10" i="12"/>
  <c r="D10" i="12"/>
  <c r="F9" i="12"/>
  <c r="H9" i="12" s="1"/>
  <c r="D9" i="12"/>
  <c r="F8" i="12"/>
  <c r="H8" i="12" s="1"/>
  <c r="D8" i="12"/>
  <c r="F7" i="12"/>
  <c r="H7" i="12" s="1"/>
  <c r="D7" i="12"/>
  <c r="H6" i="12"/>
  <c r="F6" i="12"/>
  <c r="D6" i="12"/>
  <c r="F5" i="12"/>
  <c r="H5" i="12" s="1"/>
  <c r="D5" i="12"/>
  <c r="F4" i="12"/>
  <c r="H4" i="12" s="1"/>
  <c r="D4" i="12"/>
  <c r="F3" i="12"/>
  <c r="H3" i="12" s="1"/>
  <c r="F59" i="11" l="1"/>
  <c r="D59" i="11"/>
  <c r="F58" i="11"/>
  <c r="M58" i="11" s="1"/>
  <c r="D58" i="11"/>
  <c r="F57" i="11"/>
  <c r="D57" i="11"/>
  <c r="F56" i="11"/>
  <c r="D56" i="11"/>
  <c r="F55" i="11"/>
  <c r="D55" i="11"/>
  <c r="F54" i="11"/>
  <c r="D54" i="11"/>
  <c r="F53" i="11"/>
  <c r="M53" i="11" s="1"/>
  <c r="D53" i="11"/>
  <c r="F52" i="11"/>
  <c r="M52" i="11" s="1"/>
  <c r="D52" i="11"/>
  <c r="F51" i="11"/>
  <c r="D51" i="11"/>
  <c r="F50" i="11"/>
  <c r="M50" i="11" s="1"/>
  <c r="D50" i="11"/>
  <c r="F49" i="11"/>
  <c r="M49" i="11" s="1"/>
  <c r="D49" i="11"/>
  <c r="M48" i="11"/>
  <c r="F48" i="11"/>
  <c r="D48" i="11"/>
  <c r="F47" i="11"/>
  <c r="D47" i="11"/>
  <c r="F46" i="11"/>
  <c r="D46" i="11"/>
  <c r="F45" i="11"/>
  <c r="M45" i="11" s="1"/>
  <c r="D45" i="11"/>
  <c r="F44" i="11"/>
  <c r="M44" i="11" s="1"/>
  <c r="D44" i="11"/>
  <c r="F43" i="11"/>
  <c r="M43" i="11" s="1"/>
  <c r="D43" i="11"/>
  <c r="M42" i="11"/>
  <c r="F42" i="11"/>
  <c r="D42" i="11"/>
  <c r="F41" i="11"/>
  <c r="M41" i="11" s="1"/>
  <c r="D41" i="11"/>
  <c r="F40" i="11"/>
  <c r="D40" i="11"/>
  <c r="M39" i="11"/>
  <c r="F39" i="11"/>
  <c r="D39" i="11"/>
  <c r="F38" i="11"/>
  <c r="D38" i="11"/>
  <c r="F37" i="11"/>
  <c r="D37" i="11"/>
  <c r="F36" i="11"/>
  <c r="M36" i="11" s="1"/>
  <c r="D36" i="11"/>
  <c r="F35" i="11"/>
  <c r="M35" i="11" s="1"/>
  <c r="D35" i="11"/>
  <c r="F34" i="11"/>
  <c r="D34" i="11"/>
  <c r="F33" i="11"/>
  <c r="D33" i="11"/>
  <c r="F32" i="11"/>
  <c r="M32" i="11" s="1"/>
  <c r="D32" i="11"/>
  <c r="F31" i="11"/>
  <c r="D31" i="11"/>
  <c r="F30" i="11"/>
  <c r="D30" i="11"/>
  <c r="F29" i="11"/>
  <c r="D29" i="11"/>
  <c r="F28" i="11"/>
  <c r="M28" i="11" s="1"/>
  <c r="D28" i="11"/>
  <c r="F27" i="11"/>
  <c r="M27" i="11" s="1"/>
  <c r="D27" i="11"/>
  <c r="F26" i="11"/>
  <c r="D26" i="11"/>
  <c r="F25" i="11"/>
  <c r="M25" i="11" s="1"/>
  <c r="D25" i="11"/>
  <c r="F24" i="11"/>
  <c r="M24" i="11" s="1"/>
  <c r="D24" i="11"/>
  <c r="M23" i="11"/>
  <c r="F23" i="11"/>
  <c r="D23" i="11"/>
  <c r="F22" i="11"/>
  <c r="M22" i="11" s="1"/>
  <c r="D22" i="11"/>
  <c r="F21" i="11"/>
  <c r="M21" i="11" s="1"/>
  <c r="D21" i="11"/>
  <c r="F20" i="11"/>
  <c r="D20" i="11"/>
  <c r="F19" i="11"/>
  <c r="M19" i="11" s="1"/>
  <c r="D19" i="11"/>
  <c r="F18" i="11"/>
  <c r="M18" i="11" s="1"/>
  <c r="D18" i="11"/>
  <c r="F17" i="11"/>
  <c r="M17" i="11" s="1"/>
  <c r="D17" i="11"/>
  <c r="M16" i="11"/>
  <c r="F16" i="11"/>
  <c r="D16" i="11"/>
  <c r="F15" i="11"/>
  <c r="M15" i="11" s="1"/>
  <c r="D15" i="11"/>
  <c r="F14" i="11"/>
  <c r="M14" i="11" s="1"/>
  <c r="D14" i="11"/>
  <c r="F13" i="11"/>
  <c r="D13" i="11"/>
  <c r="F12" i="11"/>
  <c r="M12" i="11" s="1"/>
  <c r="D12" i="11"/>
  <c r="F11" i="11"/>
  <c r="D11" i="11"/>
  <c r="F10" i="11"/>
  <c r="D10" i="11"/>
  <c r="F9" i="11"/>
  <c r="M9" i="11" s="1"/>
  <c r="D9" i="11"/>
  <c r="F8" i="11"/>
  <c r="D8" i="11"/>
  <c r="F7" i="11"/>
  <c r="M7" i="11" s="1"/>
  <c r="D7" i="11"/>
  <c r="F6" i="11"/>
  <c r="M6" i="11" s="1"/>
  <c r="D6" i="11"/>
  <c r="F5" i="11"/>
  <c r="M5" i="11" s="1"/>
  <c r="D5" i="11"/>
  <c r="F4" i="11"/>
  <c r="D4" i="11"/>
  <c r="F3" i="11"/>
  <c r="F59" i="10"/>
  <c r="H59" i="10" s="1"/>
  <c r="D59" i="10"/>
  <c r="H58" i="10"/>
  <c r="F58" i="10"/>
  <c r="D58" i="10"/>
  <c r="F57" i="10"/>
  <c r="H57" i="10" s="1"/>
  <c r="D57" i="10"/>
  <c r="F56" i="10"/>
  <c r="H56" i="10" s="1"/>
  <c r="D56" i="10"/>
  <c r="F55" i="10"/>
  <c r="H55" i="10" s="1"/>
  <c r="D55" i="10"/>
  <c r="H54" i="10"/>
  <c r="F54" i="10"/>
  <c r="D54" i="10"/>
  <c r="F53" i="10"/>
  <c r="H53" i="10" s="1"/>
  <c r="D53" i="10"/>
  <c r="F52" i="10"/>
  <c r="H52" i="10" s="1"/>
  <c r="D52" i="10"/>
  <c r="F51" i="10"/>
  <c r="H51" i="10" s="1"/>
  <c r="D51" i="10"/>
  <c r="H50" i="10"/>
  <c r="F50" i="10"/>
  <c r="D50" i="10"/>
  <c r="F49" i="10"/>
  <c r="H49" i="10" s="1"/>
  <c r="D49" i="10"/>
  <c r="F48" i="10"/>
  <c r="H48" i="10" s="1"/>
  <c r="D48" i="10"/>
  <c r="F47" i="10"/>
  <c r="H47" i="10" s="1"/>
  <c r="D47" i="10"/>
  <c r="H46" i="10"/>
  <c r="F46" i="10"/>
  <c r="D46" i="10"/>
  <c r="F45" i="10"/>
  <c r="H45" i="10" s="1"/>
  <c r="D45" i="10"/>
  <c r="F44" i="10"/>
  <c r="H44" i="10" s="1"/>
  <c r="D44" i="10"/>
  <c r="F43" i="10"/>
  <c r="H43" i="10" s="1"/>
  <c r="D43" i="10"/>
  <c r="H42" i="10"/>
  <c r="F42" i="10"/>
  <c r="D42" i="10"/>
  <c r="F41" i="10"/>
  <c r="H41" i="10" s="1"/>
  <c r="D41" i="10"/>
  <c r="F40" i="10"/>
  <c r="H40" i="10" s="1"/>
  <c r="D40" i="10"/>
  <c r="F39" i="10"/>
  <c r="H39" i="10" s="1"/>
  <c r="D39" i="10"/>
  <c r="H38" i="10"/>
  <c r="F38" i="10"/>
  <c r="D38" i="10"/>
  <c r="F37" i="10"/>
  <c r="H37" i="10" s="1"/>
  <c r="D37" i="10"/>
  <c r="F36" i="10"/>
  <c r="H36" i="10" s="1"/>
  <c r="D36" i="10"/>
  <c r="F35" i="10"/>
  <c r="H35" i="10" s="1"/>
  <c r="D35" i="10"/>
  <c r="H34" i="10"/>
  <c r="F34" i="10"/>
  <c r="D34" i="10"/>
  <c r="F33" i="10"/>
  <c r="H33" i="10" s="1"/>
  <c r="D33" i="10"/>
  <c r="F32" i="10"/>
  <c r="H32" i="10" s="1"/>
  <c r="D32" i="10"/>
  <c r="F31" i="10"/>
  <c r="H31" i="10" s="1"/>
  <c r="D31" i="10"/>
  <c r="H30" i="10"/>
  <c r="F30" i="10"/>
  <c r="D30" i="10"/>
  <c r="F29" i="10"/>
  <c r="H29" i="10" s="1"/>
  <c r="D29" i="10"/>
  <c r="F28" i="10"/>
  <c r="H28" i="10" s="1"/>
  <c r="D28" i="10"/>
  <c r="F27" i="10"/>
  <c r="H27" i="10" s="1"/>
  <c r="D27" i="10"/>
  <c r="H26" i="10"/>
  <c r="F26" i="10"/>
  <c r="D26" i="10"/>
  <c r="F25" i="10"/>
  <c r="H25" i="10" s="1"/>
  <c r="D25" i="10"/>
  <c r="F24" i="10"/>
  <c r="H24" i="10" s="1"/>
  <c r="D24" i="10"/>
  <c r="F23" i="10"/>
  <c r="H23" i="10" s="1"/>
  <c r="D23" i="10"/>
  <c r="H22" i="10"/>
  <c r="F22" i="10"/>
  <c r="D22" i="10"/>
  <c r="F21" i="10"/>
  <c r="H21" i="10" s="1"/>
  <c r="D21" i="10"/>
  <c r="F20" i="10"/>
  <c r="H20" i="10" s="1"/>
  <c r="D20" i="10"/>
  <c r="H19" i="10"/>
  <c r="F19" i="10"/>
  <c r="D19" i="10"/>
  <c r="H18" i="10"/>
  <c r="F18" i="10"/>
  <c r="D18" i="10"/>
  <c r="F17" i="10"/>
  <c r="H17" i="10" s="1"/>
  <c r="D17" i="10"/>
  <c r="F16" i="10"/>
  <c r="H16" i="10" s="1"/>
  <c r="D16" i="10"/>
  <c r="H15" i="10"/>
  <c r="F15" i="10"/>
  <c r="D15" i="10"/>
  <c r="H14" i="10"/>
  <c r="F14" i="10"/>
  <c r="D14" i="10"/>
  <c r="F13" i="10"/>
  <c r="H13" i="10" s="1"/>
  <c r="D13" i="10"/>
  <c r="F12" i="10"/>
  <c r="H12" i="10" s="1"/>
  <c r="D12" i="10"/>
  <c r="H11" i="10"/>
  <c r="F11" i="10"/>
  <c r="D11" i="10"/>
  <c r="H10" i="10"/>
  <c r="F10" i="10"/>
  <c r="D10" i="10"/>
  <c r="F9" i="10"/>
  <c r="H9" i="10" s="1"/>
  <c r="D9" i="10"/>
  <c r="F8" i="10"/>
  <c r="H8" i="10" s="1"/>
  <c r="D8" i="10"/>
  <c r="H7" i="10"/>
  <c r="F7" i="10"/>
  <c r="D7" i="10"/>
  <c r="H6" i="10"/>
  <c r="F6" i="10"/>
  <c r="D6" i="10"/>
  <c r="F5" i="10"/>
  <c r="H5" i="10" s="1"/>
  <c r="D5" i="10"/>
  <c r="F4" i="10"/>
  <c r="H4" i="10" s="1"/>
  <c r="D4" i="10"/>
  <c r="H3" i="10"/>
  <c r="F3" i="10"/>
  <c r="F59" i="9" l="1"/>
  <c r="H59" i="9" s="1"/>
  <c r="D59" i="9"/>
  <c r="H58" i="9"/>
  <c r="F58" i="9"/>
  <c r="D58" i="9"/>
  <c r="F57" i="9"/>
  <c r="H57" i="9" s="1"/>
  <c r="D57" i="9"/>
  <c r="F56" i="9"/>
  <c r="H56" i="9" s="1"/>
  <c r="D56" i="9"/>
  <c r="H55" i="9"/>
  <c r="F55" i="9"/>
  <c r="D55" i="9"/>
  <c r="H54" i="9"/>
  <c r="F54" i="9"/>
  <c r="D54" i="9"/>
  <c r="F53" i="9"/>
  <c r="H53" i="9" s="1"/>
  <c r="D53" i="9"/>
  <c r="F52" i="9"/>
  <c r="H52" i="9" s="1"/>
  <c r="D52" i="9"/>
  <c r="H51" i="9"/>
  <c r="F51" i="9"/>
  <c r="D51" i="9"/>
  <c r="H50" i="9"/>
  <c r="F50" i="9"/>
  <c r="D50" i="9"/>
  <c r="F49" i="9"/>
  <c r="H49" i="9" s="1"/>
  <c r="D49" i="9"/>
  <c r="F48" i="9"/>
  <c r="H48" i="9" s="1"/>
  <c r="D48" i="9"/>
  <c r="H47" i="9"/>
  <c r="F47" i="9"/>
  <c r="D47" i="9"/>
  <c r="H46" i="9"/>
  <c r="F46" i="9"/>
  <c r="D46" i="9"/>
  <c r="F45" i="9"/>
  <c r="H45" i="9" s="1"/>
  <c r="D45" i="9"/>
  <c r="F44" i="9"/>
  <c r="H44" i="9" s="1"/>
  <c r="D44" i="9"/>
  <c r="H43" i="9"/>
  <c r="F43" i="9"/>
  <c r="D43" i="9"/>
  <c r="H42" i="9"/>
  <c r="F42" i="9"/>
  <c r="D42" i="9"/>
  <c r="F41" i="9"/>
  <c r="H41" i="9" s="1"/>
  <c r="D41" i="9"/>
  <c r="F40" i="9"/>
  <c r="H40" i="9" s="1"/>
  <c r="D40" i="9"/>
  <c r="H39" i="9"/>
  <c r="F39" i="9"/>
  <c r="D39" i="9"/>
  <c r="H38" i="9"/>
  <c r="F38" i="9"/>
  <c r="D38" i="9"/>
  <c r="F37" i="9"/>
  <c r="H37" i="9" s="1"/>
  <c r="D37" i="9"/>
  <c r="F36" i="9"/>
  <c r="H36" i="9" s="1"/>
  <c r="D36" i="9"/>
  <c r="H35" i="9"/>
  <c r="F35" i="9"/>
  <c r="D35" i="9"/>
  <c r="H34" i="9"/>
  <c r="F34" i="9"/>
  <c r="D34" i="9"/>
  <c r="F33" i="9"/>
  <c r="H33" i="9" s="1"/>
  <c r="D33" i="9"/>
  <c r="F32" i="9"/>
  <c r="H32" i="9" s="1"/>
  <c r="D32" i="9"/>
  <c r="H31" i="9"/>
  <c r="F31" i="9"/>
  <c r="D31" i="9"/>
  <c r="H30" i="9"/>
  <c r="F30" i="9"/>
  <c r="D30" i="9"/>
  <c r="F29" i="9"/>
  <c r="H29" i="9" s="1"/>
  <c r="D29" i="9"/>
  <c r="F28" i="9"/>
  <c r="H28" i="9" s="1"/>
  <c r="D28" i="9"/>
  <c r="H27" i="9"/>
  <c r="F27" i="9"/>
  <c r="D27" i="9"/>
  <c r="H26" i="9"/>
  <c r="F26" i="9"/>
  <c r="D26" i="9"/>
  <c r="F25" i="9"/>
  <c r="H25" i="9" s="1"/>
  <c r="D25" i="9"/>
  <c r="F24" i="9"/>
  <c r="H24" i="9" s="1"/>
  <c r="D24" i="9"/>
  <c r="H23" i="9"/>
  <c r="F23" i="9"/>
  <c r="D23" i="9"/>
  <c r="H22" i="9"/>
  <c r="F22" i="9"/>
  <c r="D22" i="9"/>
  <c r="F21" i="9"/>
  <c r="H21" i="9" s="1"/>
  <c r="D21" i="9"/>
  <c r="F20" i="9"/>
  <c r="H20" i="9" s="1"/>
  <c r="D20" i="9"/>
  <c r="H19" i="9"/>
  <c r="F19" i="9"/>
  <c r="D19" i="9"/>
  <c r="H18" i="9"/>
  <c r="F18" i="9"/>
  <c r="D18" i="9"/>
  <c r="F17" i="9"/>
  <c r="H17" i="9" s="1"/>
  <c r="D17" i="9"/>
  <c r="F16" i="9"/>
  <c r="H16" i="9" s="1"/>
  <c r="D16" i="9"/>
  <c r="H15" i="9"/>
  <c r="F15" i="9"/>
  <c r="D15" i="9"/>
  <c r="H14" i="9"/>
  <c r="F14" i="9"/>
  <c r="D14" i="9"/>
  <c r="F13" i="9"/>
  <c r="H13" i="9" s="1"/>
  <c r="D13" i="9"/>
  <c r="F12" i="9"/>
  <c r="H12" i="9" s="1"/>
  <c r="D12" i="9"/>
  <c r="H11" i="9"/>
  <c r="F11" i="9"/>
  <c r="D11" i="9"/>
  <c r="H10" i="9"/>
  <c r="F10" i="9"/>
  <c r="D10" i="9"/>
  <c r="F9" i="9"/>
  <c r="H9" i="9" s="1"/>
  <c r="D9" i="9"/>
  <c r="F8" i="9"/>
  <c r="H8" i="9" s="1"/>
  <c r="D8" i="9"/>
  <c r="H7" i="9"/>
  <c r="F7" i="9"/>
  <c r="D7" i="9"/>
  <c r="H6" i="9"/>
  <c r="F6" i="9"/>
  <c r="D6" i="9"/>
  <c r="F5" i="9"/>
  <c r="H5" i="9" s="1"/>
  <c r="D5" i="9"/>
  <c r="F4" i="9"/>
  <c r="H4" i="9" s="1"/>
  <c r="D4" i="9"/>
  <c r="H3" i="9"/>
  <c r="F3" i="9"/>
  <c r="F59" i="8" l="1"/>
  <c r="H59" i="8" s="1"/>
  <c r="D59" i="8"/>
  <c r="F58" i="8"/>
  <c r="H58" i="8" s="1"/>
  <c r="D58" i="8"/>
  <c r="F57" i="8"/>
  <c r="H57" i="8" s="1"/>
  <c r="D57" i="8"/>
  <c r="F56" i="8"/>
  <c r="H56" i="8" s="1"/>
  <c r="D56" i="8"/>
  <c r="H55" i="8"/>
  <c r="F55" i="8"/>
  <c r="D55" i="8"/>
  <c r="F54" i="8"/>
  <c r="H54" i="8" s="1"/>
  <c r="D54" i="8"/>
  <c r="F53" i="8"/>
  <c r="H53" i="8" s="1"/>
  <c r="D53" i="8"/>
  <c r="F52" i="8"/>
  <c r="H52" i="8" s="1"/>
  <c r="D52" i="8"/>
  <c r="H51" i="8"/>
  <c r="F51" i="8"/>
  <c r="D51" i="8"/>
  <c r="F50" i="8"/>
  <c r="H50" i="8" s="1"/>
  <c r="D50" i="8"/>
  <c r="F49" i="8"/>
  <c r="H49" i="8" s="1"/>
  <c r="D49" i="8"/>
  <c r="F48" i="8"/>
  <c r="H48" i="8" s="1"/>
  <c r="D48" i="8"/>
  <c r="H47" i="8"/>
  <c r="F47" i="8"/>
  <c r="D47" i="8"/>
  <c r="F46" i="8"/>
  <c r="H46" i="8" s="1"/>
  <c r="D46" i="8"/>
  <c r="F45" i="8"/>
  <c r="H45" i="8" s="1"/>
  <c r="D45" i="8"/>
  <c r="F44" i="8"/>
  <c r="H44" i="8" s="1"/>
  <c r="D44" i="8"/>
  <c r="H43" i="8"/>
  <c r="F43" i="8"/>
  <c r="D43" i="8"/>
  <c r="F42" i="8"/>
  <c r="H42" i="8" s="1"/>
  <c r="D42" i="8"/>
  <c r="F41" i="8"/>
  <c r="H41" i="8" s="1"/>
  <c r="D41" i="8"/>
  <c r="F40" i="8"/>
  <c r="H40" i="8" s="1"/>
  <c r="D40" i="8"/>
  <c r="H39" i="8"/>
  <c r="F39" i="8"/>
  <c r="D39" i="8"/>
  <c r="F38" i="8"/>
  <c r="H38" i="8" s="1"/>
  <c r="D38" i="8"/>
  <c r="F37" i="8"/>
  <c r="H37" i="8" s="1"/>
  <c r="D37" i="8"/>
  <c r="F36" i="8"/>
  <c r="H36" i="8" s="1"/>
  <c r="D36" i="8"/>
  <c r="H35" i="8"/>
  <c r="F35" i="8"/>
  <c r="D35" i="8"/>
  <c r="F34" i="8"/>
  <c r="H34" i="8" s="1"/>
  <c r="D34" i="8"/>
  <c r="F33" i="8"/>
  <c r="H33" i="8" s="1"/>
  <c r="D33" i="8"/>
  <c r="F32" i="8"/>
  <c r="H32" i="8" s="1"/>
  <c r="D32" i="8"/>
  <c r="H31" i="8"/>
  <c r="F31" i="8"/>
  <c r="D31" i="8"/>
  <c r="F30" i="8"/>
  <c r="H30" i="8" s="1"/>
  <c r="D30" i="8"/>
  <c r="F29" i="8"/>
  <c r="H29" i="8" s="1"/>
  <c r="D29" i="8"/>
  <c r="F28" i="8"/>
  <c r="H28" i="8" s="1"/>
  <c r="D28" i="8"/>
  <c r="H27" i="8"/>
  <c r="F27" i="8"/>
  <c r="D27" i="8"/>
  <c r="F26" i="8"/>
  <c r="H26" i="8" s="1"/>
  <c r="D26" i="8"/>
  <c r="F25" i="8"/>
  <c r="H25" i="8" s="1"/>
  <c r="D25" i="8"/>
  <c r="F24" i="8"/>
  <c r="H24" i="8" s="1"/>
  <c r="D24" i="8"/>
  <c r="H23" i="8"/>
  <c r="F23" i="8"/>
  <c r="D23" i="8"/>
  <c r="F22" i="8"/>
  <c r="H22" i="8" s="1"/>
  <c r="D22" i="8"/>
  <c r="F21" i="8"/>
  <c r="H21" i="8" s="1"/>
  <c r="D21" i="8"/>
  <c r="F20" i="8"/>
  <c r="H20" i="8" s="1"/>
  <c r="D20" i="8"/>
  <c r="H19" i="8"/>
  <c r="F19" i="8"/>
  <c r="D19" i="8"/>
  <c r="F18" i="8"/>
  <c r="H18" i="8" s="1"/>
  <c r="D18" i="8"/>
  <c r="F17" i="8"/>
  <c r="H17" i="8" s="1"/>
  <c r="D17" i="8"/>
  <c r="F16" i="8"/>
  <c r="H16" i="8" s="1"/>
  <c r="D16" i="8"/>
  <c r="H15" i="8"/>
  <c r="F15" i="8"/>
  <c r="D15" i="8"/>
  <c r="F14" i="8"/>
  <c r="H14" i="8" s="1"/>
  <c r="D14" i="8"/>
  <c r="F13" i="8"/>
  <c r="H13" i="8" s="1"/>
  <c r="D13" i="8"/>
  <c r="F12" i="8"/>
  <c r="H12" i="8" s="1"/>
  <c r="D12" i="8"/>
  <c r="H11" i="8"/>
  <c r="F11" i="8"/>
  <c r="D11" i="8"/>
  <c r="F10" i="8"/>
  <c r="H10" i="8" s="1"/>
  <c r="D10" i="8"/>
  <c r="F9" i="8"/>
  <c r="H9" i="8" s="1"/>
  <c r="D9" i="8"/>
  <c r="F8" i="8"/>
  <c r="H8" i="8" s="1"/>
  <c r="D8" i="8"/>
  <c r="H7" i="8"/>
  <c r="F7" i="8"/>
  <c r="D7" i="8"/>
  <c r="F6" i="8"/>
  <c r="H6" i="8" s="1"/>
  <c r="D6" i="8"/>
  <c r="F5" i="8"/>
  <c r="H5" i="8" s="1"/>
  <c r="D5" i="8"/>
  <c r="F4" i="8"/>
  <c r="H4" i="8" s="1"/>
  <c r="D4" i="8"/>
  <c r="H3" i="8"/>
  <c r="F3" i="8"/>
  <c r="F59" i="7" l="1"/>
  <c r="H59" i="7" s="1"/>
  <c r="D59" i="7"/>
  <c r="H58" i="7"/>
  <c r="F58" i="7"/>
  <c r="D58" i="7"/>
  <c r="F57" i="7"/>
  <c r="H57" i="7" s="1"/>
  <c r="D57" i="7"/>
  <c r="F56" i="7"/>
  <c r="H56" i="7" s="1"/>
  <c r="D56" i="7"/>
  <c r="F55" i="7"/>
  <c r="H55" i="7" s="1"/>
  <c r="D55" i="7"/>
  <c r="H54" i="7"/>
  <c r="F54" i="7"/>
  <c r="D54" i="7"/>
  <c r="F53" i="7"/>
  <c r="H53" i="7" s="1"/>
  <c r="D53" i="7"/>
  <c r="F52" i="7"/>
  <c r="H52" i="7" s="1"/>
  <c r="D52" i="7"/>
  <c r="F51" i="7"/>
  <c r="H51" i="7" s="1"/>
  <c r="D51" i="7"/>
  <c r="H50" i="7"/>
  <c r="F50" i="7"/>
  <c r="D50" i="7"/>
  <c r="F49" i="7"/>
  <c r="H49" i="7" s="1"/>
  <c r="D49" i="7"/>
  <c r="F48" i="7"/>
  <c r="H48" i="7" s="1"/>
  <c r="D48" i="7"/>
  <c r="F47" i="7"/>
  <c r="H47" i="7" s="1"/>
  <c r="D47" i="7"/>
  <c r="H46" i="7"/>
  <c r="F46" i="7"/>
  <c r="D46" i="7"/>
  <c r="F45" i="7"/>
  <c r="H45" i="7" s="1"/>
  <c r="D45" i="7"/>
  <c r="F44" i="7"/>
  <c r="H44" i="7" s="1"/>
  <c r="D44" i="7"/>
  <c r="F43" i="7"/>
  <c r="H43" i="7" s="1"/>
  <c r="D43" i="7"/>
  <c r="H42" i="7"/>
  <c r="F42" i="7"/>
  <c r="D42" i="7"/>
  <c r="F41" i="7"/>
  <c r="H41" i="7" s="1"/>
  <c r="D41" i="7"/>
  <c r="F40" i="7"/>
  <c r="H40" i="7" s="1"/>
  <c r="D40" i="7"/>
  <c r="F39" i="7"/>
  <c r="H39" i="7" s="1"/>
  <c r="D39" i="7"/>
  <c r="H38" i="7"/>
  <c r="F38" i="7"/>
  <c r="D38" i="7"/>
  <c r="F37" i="7"/>
  <c r="H37" i="7" s="1"/>
  <c r="D37" i="7"/>
  <c r="F36" i="7"/>
  <c r="H36" i="7" s="1"/>
  <c r="D36" i="7"/>
  <c r="F35" i="7"/>
  <c r="H35" i="7" s="1"/>
  <c r="D35" i="7"/>
  <c r="H34" i="7"/>
  <c r="F34" i="7"/>
  <c r="D34" i="7"/>
  <c r="F33" i="7"/>
  <c r="H33" i="7" s="1"/>
  <c r="D33" i="7"/>
  <c r="F32" i="7"/>
  <c r="H32" i="7" s="1"/>
  <c r="D32" i="7"/>
  <c r="F31" i="7"/>
  <c r="H31" i="7" s="1"/>
  <c r="D31" i="7"/>
  <c r="H30" i="7"/>
  <c r="F30" i="7"/>
  <c r="D30" i="7"/>
  <c r="F29" i="7"/>
  <c r="H29" i="7" s="1"/>
  <c r="D29" i="7"/>
  <c r="F28" i="7"/>
  <c r="H28" i="7" s="1"/>
  <c r="D28" i="7"/>
  <c r="F27" i="7"/>
  <c r="H27" i="7" s="1"/>
  <c r="D27" i="7"/>
  <c r="H26" i="7"/>
  <c r="F26" i="7"/>
  <c r="D26" i="7"/>
  <c r="F25" i="7"/>
  <c r="H25" i="7" s="1"/>
  <c r="D25" i="7"/>
  <c r="F24" i="7"/>
  <c r="H24" i="7" s="1"/>
  <c r="D24" i="7"/>
  <c r="H23" i="7"/>
  <c r="F23" i="7"/>
  <c r="D23" i="7"/>
  <c r="H22" i="7"/>
  <c r="F22" i="7"/>
  <c r="D22" i="7"/>
  <c r="F21" i="7"/>
  <c r="H21" i="7" s="1"/>
  <c r="D21" i="7"/>
  <c r="F20" i="7"/>
  <c r="H20" i="7" s="1"/>
  <c r="D20" i="7"/>
  <c r="H19" i="7"/>
  <c r="F19" i="7"/>
  <c r="D19" i="7"/>
  <c r="H18" i="7"/>
  <c r="F18" i="7"/>
  <c r="D18" i="7"/>
  <c r="F17" i="7"/>
  <c r="H17" i="7" s="1"/>
  <c r="D17" i="7"/>
  <c r="F16" i="7"/>
  <c r="H16" i="7" s="1"/>
  <c r="D16" i="7"/>
  <c r="H15" i="7"/>
  <c r="F15" i="7"/>
  <c r="D15" i="7"/>
  <c r="H14" i="7"/>
  <c r="F14" i="7"/>
  <c r="D14" i="7"/>
  <c r="F13" i="7"/>
  <c r="H13" i="7" s="1"/>
  <c r="D13" i="7"/>
  <c r="F12" i="7"/>
  <c r="H12" i="7" s="1"/>
  <c r="D12" i="7"/>
  <c r="H11" i="7"/>
  <c r="F11" i="7"/>
  <c r="D11" i="7"/>
  <c r="H10" i="7"/>
  <c r="F10" i="7"/>
  <c r="D10" i="7"/>
  <c r="F9" i="7"/>
  <c r="H9" i="7" s="1"/>
  <c r="D9" i="7"/>
  <c r="F8" i="7"/>
  <c r="H8" i="7" s="1"/>
  <c r="D8" i="7"/>
  <c r="H7" i="7"/>
  <c r="F7" i="7"/>
  <c r="D7" i="7"/>
  <c r="H6" i="7"/>
  <c r="F6" i="7"/>
  <c r="D6" i="7"/>
  <c r="F5" i="7"/>
  <c r="H5" i="7" s="1"/>
  <c r="D5" i="7"/>
  <c r="F4" i="7"/>
  <c r="H4" i="7" s="1"/>
  <c r="D4" i="7"/>
  <c r="H3" i="7"/>
  <c r="F3" i="7"/>
  <c r="F59" i="6" l="1"/>
  <c r="H59" i="6" s="1"/>
  <c r="D59" i="6"/>
  <c r="H58" i="6"/>
  <c r="F58" i="6"/>
  <c r="D58" i="6"/>
  <c r="F57" i="6"/>
  <c r="H57" i="6" s="1"/>
  <c r="D57" i="6"/>
  <c r="F56" i="6"/>
  <c r="H56" i="6" s="1"/>
  <c r="D56" i="6"/>
  <c r="F55" i="6"/>
  <c r="H55" i="6" s="1"/>
  <c r="D55" i="6"/>
  <c r="H54" i="6"/>
  <c r="F54" i="6"/>
  <c r="D54" i="6"/>
  <c r="F53" i="6"/>
  <c r="H53" i="6" s="1"/>
  <c r="D53" i="6"/>
  <c r="F52" i="6"/>
  <c r="H52" i="6" s="1"/>
  <c r="D52" i="6"/>
  <c r="F51" i="6"/>
  <c r="H51" i="6" s="1"/>
  <c r="D51" i="6"/>
  <c r="H50" i="6"/>
  <c r="F50" i="6"/>
  <c r="D50" i="6"/>
  <c r="F49" i="6"/>
  <c r="H49" i="6" s="1"/>
  <c r="D49" i="6"/>
  <c r="F48" i="6"/>
  <c r="H48" i="6" s="1"/>
  <c r="D48" i="6"/>
  <c r="F47" i="6"/>
  <c r="H47" i="6" s="1"/>
  <c r="D47" i="6"/>
  <c r="H46" i="6"/>
  <c r="F46" i="6"/>
  <c r="D46" i="6"/>
  <c r="F45" i="6"/>
  <c r="H45" i="6" s="1"/>
  <c r="D45" i="6"/>
  <c r="F44" i="6"/>
  <c r="H44" i="6" s="1"/>
  <c r="D44" i="6"/>
  <c r="F43" i="6"/>
  <c r="H43" i="6" s="1"/>
  <c r="D43" i="6"/>
  <c r="H42" i="6"/>
  <c r="F42" i="6"/>
  <c r="D42" i="6"/>
  <c r="F41" i="6"/>
  <c r="H41" i="6" s="1"/>
  <c r="D41" i="6"/>
  <c r="F40" i="6"/>
  <c r="H40" i="6" s="1"/>
  <c r="D40" i="6"/>
  <c r="F39" i="6"/>
  <c r="H39" i="6" s="1"/>
  <c r="D39" i="6"/>
  <c r="H38" i="6"/>
  <c r="F38" i="6"/>
  <c r="D38" i="6"/>
  <c r="F37" i="6"/>
  <c r="H37" i="6" s="1"/>
  <c r="D37" i="6"/>
  <c r="F36" i="6"/>
  <c r="H36" i="6" s="1"/>
  <c r="D36" i="6"/>
  <c r="F35" i="6"/>
  <c r="H35" i="6" s="1"/>
  <c r="D35" i="6"/>
  <c r="H34" i="6"/>
  <c r="F34" i="6"/>
  <c r="D34" i="6"/>
  <c r="F33" i="6"/>
  <c r="H33" i="6" s="1"/>
  <c r="D33" i="6"/>
  <c r="F32" i="6"/>
  <c r="H32" i="6" s="1"/>
  <c r="D32" i="6"/>
  <c r="F31" i="6"/>
  <c r="H31" i="6" s="1"/>
  <c r="D31" i="6"/>
  <c r="H30" i="6"/>
  <c r="F30" i="6"/>
  <c r="D30" i="6"/>
  <c r="F29" i="6"/>
  <c r="H29" i="6" s="1"/>
  <c r="D29" i="6"/>
  <c r="F28" i="6"/>
  <c r="H28" i="6" s="1"/>
  <c r="D28" i="6"/>
  <c r="F27" i="6"/>
  <c r="H27" i="6" s="1"/>
  <c r="D27" i="6"/>
  <c r="H26" i="6"/>
  <c r="F26" i="6"/>
  <c r="D26" i="6"/>
  <c r="F25" i="6"/>
  <c r="H25" i="6" s="1"/>
  <c r="D25" i="6"/>
  <c r="F24" i="6"/>
  <c r="H24" i="6" s="1"/>
  <c r="D24" i="6"/>
  <c r="H23" i="6"/>
  <c r="F23" i="6"/>
  <c r="D23" i="6"/>
  <c r="H22" i="6"/>
  <c r="F22" i="6"/>
  <c r="D22" i="6"/>
  <c r="F21" i="6"/>
  <c r="H21" i="6" s="1"/>
  <c r="D21" i="6"/>
  <c r="F20" i="6"/>
  <c r="H20" i="6" s="1"/>
  <c r="D20" i="6"/>
  <c r="H19" i="6"/>
  <c r="F19" i="6"/>
  <c r="D19" i="6"/>
  <c r="H18" i="6"/>
  <c r="F18" i="6"/>
  <c r="D18" i="6"/>
  <c r="F17" i="6"/>
  <c r="H17" i="6" s="1"/>
  <c r="D17" i="6"/>
  <c r="F16" i="6"/>
  <c r="H16" i="6" s="1"/>
  <c r="D16" i="6"/>
  <c r="H15" i="6"/>
  <c r="F15" i="6"/>
  <c r="D15" i="6"/>
  <c r="H14" i="6"/>
  <c r="F14" i="6"/>
  <c r="D14" i="6"/>
  <c r="F13" i="6"/>
  <c r="H13" i="6" s="1"/>
  <c r="D13" i="6"/>
  <c r="F12" i="6"/>
  <c r="H12" i="6" s="1"/>
  <c r="D12" i="6"/>
  <c r="H11" i="6"/>
  <c r="F11" i="6"/>
  <c r="D11" i="6"/>
  <c r="H10" i="6"/>
  <c r="F10" i="6"/>
  <c r="D10" i="6"/>
  <c r="F9" i="6"/>
  <c r="H9" i="6" s="1"/>
  <c r="D9" i="6"/>
  <c r="F8" i="6"/>
  <c r="H8" i="6" s="1"/>
  <c r="D8" i="6"/>
  <c r="H7" i="6"/>
  <c r="F7" i="6"/>
  <c r="D7" i="6"/>
  <c r="H6" i="6"/>
  <c r="F6" i="6"/>
  <c r="D6" i="6"/>
  <c r="F5" i="6"/>
  <c r="H5" i="6" s="1"/>
  <c r="D5" i="6"/>
  <c r="F4" i="6"/>
  <c r="H4" i="6" s="1"/>
  <c r="D4" i="6"/>
  <c r="H3" i="6"/>
  <c r="F3" i="6"/>
  <c r="F59" i="5" l="1"/>
  <c r="H59" i="5" s="1"/>
  <c r="D59" i="5"/>
  <c r="H58" i="5"/>
  <c r="F58" i="5"/>
  <c r="D58" i="5"/>
  <c r="F57" i="5"/>
  <c r="H57" i="5" s="1"/>
  <c r="D57" i="5"/>
  <c r="F56" i="5"/>
  <c r="H56" i="5" s="1"/>
  <c r="D56" i="5"/>
  <c r="F55" i="5"/>
  <c r="H55" i="5" s="1"/>
  <c r="D55" i="5"/>
  <c r="H54" i="5"/>
  <c r="F54" i="5"/>
  <c r="D54" i="5"/>
  <c r="F53" i="5"/>
  <c r="H53" i="5" s="1"/>
  <c r="D53" i="5"/>
  <c r="F52" i="5"/>
  <c r="H52" i="5" s="1"/>
  <c r="D52" i="5"/>
  <c r="F51" i="5"/>
  <c r="H51" i="5" s="1"/>
  <c r="D51" i="5"/>
  <c r="H50" i="5"/>
  <c r="F50" i="5"/>
  <c r="D50" i="5"/>
  <c r="F49" i="5"/>
  <c r="H49" i="5" s="1"/>
  <c r="D49" i="5"/>
  <c r="F48" i="5"/>
  <c r="H48" i="5" s="1"/>
  <c r="D48" i="5"/>
  <c r="F47" i="5"/>
  <c r="H47" i="5" s="1"/>
  <c r="D47" i="5"/>
  <c r="H46" i="5"/>
  <c r="F46" i="5"/>
  <c r="D46" i="5"/>
  <c r="F45" i="5"/>
  <c r="H45" i="5" s="1"/>
  <c r="D45" i="5"/>
  <c r="F44" i="5"/>
  <c r="H44" i="5" s="1"/>
  <c r="D44" i="5"/>
  <c r="F43" i="5"/>
  <c r="H43" i="5" s="1"/>
  <c r="D43" i="5"/>
  <c r="H42" i="5"/>
  <c r="F42" i="5"/>
  <c r="D42" i="5"/>
  <c r="F41" i="5"/>
  <c r="H41" i="5" s="1"/>
  <c r="D41" i="5"/>
  <c r="F40" i="5"/>
  <c r="H40" i="5" s="1"/>
  <c r="D40" i="5"/>
  <c r="F39" i="5"/>
  <c r="H39" i="5" s="1"/>
  <c r="D39" i="5"/>
  <c r="H38" i="5"/>
  <c r="F38" i="5"/>
  <c r="D38" i="5"/>
  <c r="F37" i="5"/>
  <c r="H37" i="5" s="1"/>
  <c r="D37" i="5"/>
  <c r="F36" i="5"/>
  <c r="H36" i="5" s="1"/>
  <c r="D36" i="5"/>
  <c r="F35" i="5"/>
  <c r="H35" i="5" s="1"/>
  <c r="D35" i="5"/>
  <c r="H34" i="5"/>
  <c r="F34" i="5"/>
  <c r="D34" i="5"/>
  <c r="F33" i="5"/>
  <c r="H33" i="5" s="1"/>
  <c r="D33" i="5"/>
  <c r="F32" i="5"/>
  <c r="H32" i="5" s="1"/>
  <c r="D32" i="5"/>
  <c r="F31" i="5"/>
  <c r="H31" i="5" s="1"/>
  <c r="D31" i="5"/>
  <c r="H30" i="5"/>
  <c r="F30" i="5"/>
  <c r="D30" i="5"/>
  <c r="F29" i="5"/>
  <c r="H29" i="5" s="1"/>
  <c r="D29" i="5"/>
  <c r="F28" i="5"/>
  <c r="H28" i="5" s="1"/>
  <c r="D28" i="5"/>
  <c r="F27" i="5"/>
  <c r="H27" i="5" s="1"/>
  <c r="D27" i="5"/>
  <c r="H26" i="5"/>
  <c r="F26" i="5"/>
  <c r="D26" i="5"/>
  <c r="F25" i="5"/>
  <c r="H25" i="5" s="1"/>
  <c r="D25" i="5"/>
  <c r="F24" i="5"/>
  <c r="H24" i="5" s="1"/>
  <c r="D24" i="5"/>
  <c r="F23" i="5"/>
  <c r="H23" i="5" s="1"/>
  <c r="D23" i="5"/>
  <c r="H22" i="5"/>
  <c r="F22" i="5"/>
  <c r="D22" i="5"/>
  <c r="F21" i="5"/>
  <c r="H21" i="5" s="1"/>
  <c r="D21" i="5"/>
  <c r="F20" i="5"/>
  <c r="H20" i="5" s="1"/>
  <c r="D20" i="5"/>
  <c r="F19" i="5"/>
  <c r="H19" i="5" s="1"/>
  <c r="D19" i="5"/>
  <c r="H18" i="5"/>
  <c r="F18" i="5"/>
  <c r="D18" i="5"/>
  <c r="F17" i="5"/>
  <c r="H17" i="5" s="1"/>
  <c r="D17" i="5"/>
  <c r="F16" i="5"/>
  <c r="H16" i="5" s="1"/>
  <c r="D16" i="5"/>
  <c r="F15" i="5"/>
  <c r="H15" i="5" s="1"/>
  <c r="D15" i="5"/>
  <c r="H14" i="5"/>
  <c r="F14" i="5"/>
  <c r="D14" i="5"/>
  <c r="F13" i="5"/>
  <c r="H13" i="5" s="1"/>
  <c r="D13" i="5"/>
  <c r="F12" i="5"/>
  <c r="H12" i="5" s="1"/>
  <c r="D12" i="5"/>
  <c r="F11" i="5"/>
  <c r="H11" i="5" s="1"/>
  <c r="D11" i="5"/>
  <c r="H10" i="5"/>
  <c r="F10" i="5"/>
  <c r="D10" i="5"/>
  <c r="F9" i="5"/>
  <c r="H9" i="5" s="1"/>
  <c r="D9" i="5"/>
  <c r="F8" i="5"/>
  <c r="H8" i="5" s="1"/>
  <c r="D8" i="5"/>
  <c r="F7" i="5"/>
  <c r="H7" i="5" s="1"/>
  <c r="D7" i="5"/>
  <c r="H6" i="5"/>
  <c r="F6" i="5"/>
  <c r="D6" i="5"/>
  <c r="F5" i="5"/>
  <c r="H5" i="5" s="1"/>
  <c r="D5" i="5"/>
  <c r="F4" i="5"/>
  <c r="H4" i="5" s="1"/>
  <c r="D4" i="5"/>
  <c r="F3" i="5"/>
  <c r="H3" i="5" s="1"/>
  <c r="F59" i="4"/>
  <c r="H59" i="4" s="1"/>
  <c r="D59" i="4"/>
  <c r="H58" i="4"/>
  <c r="F58" i="4"/>
  <c r="D58" i="4"/>
  <c r="F57" i="4"/>
  <c r="H57" i="4" s="1"/>
  <c r="D57" i="4"/>
  <c r="F56" i="4"/>
  <c r="H56" i="4" s="1"/>
  <c r="D56" i="4"/>
  <c r="F55" i="4"/>
  <c r="H55" i="4" s="1"/>
  <c r="D55" i="4"/>
  <c r="H54" i="4"/>
  <c r="F54" i="4"/>
  <c r="D54" i="4"/>
  <c r="F53" i="4"/>
  <c r="H53" i="4" s="1"/>
  <c r="D53" i="4"/>
  <c r="F52" i="4"/>
  <c r="H52" i="4" s="1"/>
  <c r="D52" i="4"/>
  <c r="H51" i="4"/>
  <c r="F51" i="4"/>
  <c r="D51" i="4"/>
  <c r="H50" i="4"/>
  <c r="F50" i="4"/>
  <c r="D50" i="4"/>
  <c r="F49" i="4"/>
  <c r="H49" i="4" s="1"/>
  <c r="D49" i="4"/>
  <c r="F48" i="4"/>
  <c r="H48" i="4" s="1"/>
  <c r="D48" i="4"/>
  <c r="H47" i="4"/>
  <c r="F47" i="4"/>
  <c r="D47" i="4"/>
  <c r="H46" i="4"/>
  <c r="F46" i="4"/>
  <c r="D46" i="4"/>
  <c r="F45" i="4"/>
  <c r="H45" i="4" s="1"/>
  <c r="D45" i="4"/>
  <c r="F44" i="4"/>
  <c r="H44" i="4" s="1"/>
  <c r="D44" i="4"/>
  <c r="H43" i="4"/>
  <c r="F43" i="4"/>
  <c r="D43" i="4"/>
  <c r="H42" i="4"/>
  <c r="F42" i="4"/>
  <c r="D42" i="4"/>
  <c r="F41" i="4"/>
  <c r="H41" i="4" s="1"/>
  <c r="D41" i="4"/>
  <c r="F40" i="4"/>
  <c r="H40" i="4" s="1"/>
  <c r="D40" i="4"/>
  <c r="H39" i="4"/>
  <c r="F39" i="4"/>
  <c r="D39" i="4"/>
  <c r="H38" i="4"/>
  <c r="F38" i="4"/>
  <c r="D38" i="4"/>
  <c r="F37" i="4"/>
  <c r="H37" i="4" s="1"/>
  <c r="D37" i="4"/>
  <c r="F36" i="4"/>
  <c r="H36" i="4" s="1"/>
  <c r="D36" i="4"/>
  <c r="H35" i="4"/>
  <c r="F35" i="4"/>
  <c r="D35" i="4"/>
  <c r="H34" i="4"/>
  <c r="F34" i="4"/>
  <c r="D34" i="4"/>
  <c r="F33" i="4"/>
  <c r="H33" i="4" s="1"/>
  <c r="D33" i="4"/>
  <c r="F32" i="4"/>
  <c r="H32" i="4" s="1"/>
  <c r="D32" i="4"/>
  <c r="H31" i="4"/>
  <c r="F31" i="4"/>
  <c r="D31" i="4"/>
  <c r="H30" i="4"/>
  <c r="F30" i="4"/>
  <c r="D30" i="4"/>
  <c r="F29" i="4"/>
  <c r="H29" i="4" s="1"/>
  <c r="D29" i="4"/>
  <c r="F28" i="4"/>
  <c r="H28" i="4" s="1"/>
  <c r="D28" i="4"/>
  <c r="H27" i="4"/>
  <c r="F27" i="4"/>
  <c r="D27" i="4"/>
  <c r="H26" i="4"/>
  <c r="F26" i="4"/>
  <c r="D26" i="4"/>
  <c r="F25" i="4"/>
  <c r="H25" i="4" s="1"/>
  <c r="D25" i="4"/>
  <c r="F24" i="4"/>
  <c r="H24" i="4" s="1"/>
  <c r="D24" i="4"/>
  <c r="H23" i="4"/>
  <c r="F23" i="4"/>
  <c r="D23" i="4"/>
  <c r="H22" i="4"/>
  <c r="F22" i="4"/>
  <c r="D22" i="4"/>
  <c r="F21" i="4"/>
  <c r="H21" i="4" s="1"/>
  <c r="D21" i="4"/>
  <c r="F20" i="4"/>
  <c r="H20" i="4" s="1"/>
  <c r="D20" i="4"/>
  <c r="H19" i="4"/>
  <c r="F19" i="4"/>
  <c r="D19" i="4"/>
  <c r="H18" i="4"/>
  <c r="F18" i="4"/>
  <c r="D18" i="4"/>
  <c r="F17" i="4"/>
  <c r="H17" i="4" s="1"/>
  <c r="D17" i="4"/>
  <c r="F16" i="4"/>
  <c r="H16" i="4" s="1"/>
  <c r="D16" i="4"/>
  <c r="H15" i="4"/>
  <c r="F15" i="4"/>
  <c r="D15" i="4"/>
  <c r="H14" i="4"/>
  <c r="F14" i="4"/>
  <c r="D14" i="4"/>
  <c r="F13" i="4"/>
  <c r="H13" i="4" s="1"/>
  <c r="D13" i="4"/>
  <c r="F12" i="4"/>
  <c r="H12" i="4" s="1"/>
  <c r="D12" i="4"/>
  <c r="H11" i="4"/>
  <c r="F11" i="4"/>
  <c r="D11" i="4"/>
  <c r="H10" i="4"/>
  <c r="F10" i="4"/>
  <c r="D10" i="4"/>
  <c r="F9" i="4"/>
  <c r="H9" i="4" s="1"/>
  <c r="D9" i="4"/>
  <c r="F8" i="4"/>
  <c r="H8" i="4" s="1"/>
  <c r="D8" i="4"/>
  <c r="H7" i="4"/>
  <c r="F7" i="4"/>
  <c r="D7" i="4"/>
  <c r="H6" i="4"/>
  <c r="F6" i="4"/>
  <c r="D6" i="4"/>
  <c r="F5" i="4"/>
  <c r="H5" i="4" s="1"/>
  <c r="D5" i="4"/>
  <c r="F4" i="4"/>
  <c r="H4" i="4" s="1"/>
  <c r="D4" i="4"/>
  <c r="H3" i="4"/>
  <c r="F3" i="4"/>
  <c r="E59" i="2" l="1"/>
  <c r="G59" i="2" s="1"/>
  <c r="C59" i="2"/>
  <c r="E58" i="2"/>
  <c r="G58" i="2" s="1"/>
  <c r="C58" i="2"/>
  <c r="E57" i="2"/>
  <c r="G57" i="2" s="1"/>
  <c r="C57" i="2"/>
  <c r="E56" i="2"/>
  <c r="G56" i="2" s="1"/>
  <c r="C56" i="2"/>
  <c r="E55" i="2"/>
  <c r="G55" i="2" s="1"/>
  <c r="C55" i="2"/>
  <c r="E54" i="2"/>
  <c r="G54" i="2" s="1"/>
  <c r="C54" i="2"/>
  <c r="E53" i="2"/>
  <c r="G53" i="2" s="1"/>
  <c r="C53" i="2"/>
  <c r="E52" i="2"/>
  <c r="G52" i="2" s="1"/>
  <c r="C52" i="2"/>
  <c r="E51" i="2"/>
  <c r="G51" i="2" s="1"/>
  <c r="C51" i="2"/>
  <c r="E50" i="2"/>
  <c r="G50" i="2" s="1"/>
  <c r="C50" i="2"/>
  <c r="E49" i="2"/>
  <c r="G49" i="2" s="1"/>
  <c r="C49" i="2"/>
  <c r="E48" i="2"/>
  <c r="G48" i="2" s="1"/>
  <c r="C48" i="2"/>
  <c r="E47" i="2"/>
  <c r="G47" i="2" s="1"/>
  <c r="C47" i="2"/>
  <c r="E46" i="2"/>
  <c r="G46" i="2" s="1"/>
  <c r="C46" i="2"/>
  <c r="E45" i="2"/>
  <c r="G45" i="2" s="1"/>
  <c r="C45" i="2"/>
  <c r="E44" i="2"/>
  <c r="G44" i="2" s="1"/>
  <c r="C44" i="2"/>
  <c r="E43" i="2"/>
  <c r="G43" i="2" s="1"/>
  <c r="C43" i="2"/>
  <c r="E42" i="2"/>
  <c r="G42" i="2" s="1"/>
  <c r="C42" i="2"/>
  <c r="E41" i="2"/>
  <c r="G41" i="2" s="1"/>
  <c r="C41" i="2"/>
  <c r="E40" i="2"/>
  <c r="G40" i="2" s="1"/>
  <c r="C40" i="2"/>
  <c r="E39" i="2"/>
  <c r="G39" i="2" s="1"/>
  <c r="C39" i="2"/>
  <c r="E38" i="2"/>
  <c r="G38" i="2" s="1"/>
  <c r="C38" i="2"/>
  <c r="E37" i="2"/>
  <c r="G37" i="2" s="1"/>
  <c r="C37" i="2"/>
  <c r="E36" i="2"/>
  <c r="G36" i="2" s="1"/>
  <c r="C36" i="2"/>
  <c r="E35" i="2"/>
  <c r="G35" i="2" s="1"/>
  <c r="C35" i="2"/>
  <c r="E34" i="2"/>
  <c r="G34" i="2" s="1"/>
  <c r="C34" i="2"/>
  <c r="E33" i="2"/>
  <c r="G33" i="2" s="1"/>
  <c r="C33" i="2"/>
  <c r="E32" i="2"/>
  <c r="G32" i="2" s="1"/>
  <c r="C32" i="2"/>
  <c r="E31" i="2"/>
  <c r="G31" i="2" s="1"/>
  <c r="C31" i="2"/>
  <c r="E30" i="2"/>
  <c r="G30" i="2" s="1"/>
  <c r="C30" i="2"/>
  <c r="E29" i="2"/>
  <c r="G29" i="2" s="1"/>
  <c r="C29" i="2"/>
  <c r="E28" i="2"/>
  <c r="G28" i="2" s="1"/>
  <c r="C28" i="2"/>
  <c r="E27" i="2"/>
  <c r="G27" i="2" s="1"/>
  <c r="C27" i="2"/>
  <c r="E26" i="2"/>
  <c r="G26" i="2" s="1"/>
  <c r="C26" i="2"/>
  <c r="E25" i="2"/>
  <c r="G25" i="2" s="1"/>
  <c r="C25" i="2"/>
  <c r="E24" i="2"/>
  <c r="G24" i="2" s="1"/>
  <c r="C24" i="2"/>
  <c r="E23" i="2"/>
  <c r="G23" i="2" s="1"/>
  <c r="C23" i="2"/>
  <c r="E22" i="2"/>
  <c r="G22" i="2" s="1"/>
  <c r="C22" i="2"/>
  <c r="E21" i="2"/>
  <c r="G21" i="2" s="1"/>
  <c r="C21" i="2"/>
  <c r="E20" i="2"/>
  <c r="G20" i="2" s="1"/>
  <c r="C20" i="2"/>
  <c r="E19" i="2"/>
  <c r="G19" i="2" s="1"/>
  <c r="C19" i="2"/>
  <c r="E18" i="2"/>
  <c r="G18" i="2" s="1"/>
  <c r="C18" i="2"/>
  <c r="E17" i="2"/>
  <c r="G17" i="2" s="1"/>
  <c r="C17" i="2"/>
  <c r="E16" i="2"/>
  <c r="G16" i="2" s="1"/>
  <c r="C16" i="2"/>
  <c r="E15" i="2"/>
  <c r="G15" i="2" s="1"/>
  <c r="C15" i="2"/>
  <c r="E14" i="2"/>
  <c r="G14" i="2" s="1"/>
  <c r="C14" i="2"/>
  <c r="E13" i="2"/>
  <c r="G13" i="2" s="1"/>
  <c r="C13" i="2"/>
  <c r="E12" i="2"/>
  <c r="G12" i="2" s="1"/>
  <c r="C12" i="2"/>
  <c r="E11" i="2"/>
  <c r="G11" i="2" s="1"/>
  <c r="C11" i="2"/>
  <c r="E10" i="2"/>
  <c r="G10" i="2" s="1"/>
  <c r="C10" i="2"/>
  <c r="E9" i="2"/>
  <c r="G9" i="2" s="1"/>
  <c r="C9" i="2"/>
  <c r="E8" i="2"/>
  <c r="G8" i="2" s="1"/>
  <c r="C8" i="2"/>
  <c r="E7" i="2"/>
  <c r="G7" i="2" s="1"/>
  <c r="C7" i="2"/>
  <c r="E6" i="2"/>
  <c r="G6" i="2" s="1"/>
  <c r="C6" i="2"/>
  <c r="E5" i="2"/>
  <c r="G5" i="2" s="1"/>
  <c r="C5" i="2"/>
  <c r="E4" i="2"/>
  <c r="G4" i="2" s="1"/>
  <c r="C4" i="2"/>
  <c r="E3" i="2"/>
  <c r="G3" i="2" s="1"/>
  <c r="G59" i="1" l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3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<sst xmlns="http://schemas.openxmlformats.org/spreadsheetml/2006/main" count="6565" uniqueCount="154">
  <si>
    <t>Your Name</t>
  </si>
  <si>
    <t>Seen it</t>
  </si>
  <si>
    <t>Yes</t>
  </si>
  <si>
    <t>No</t>
  </si>
  <si>
    <t>Rating</t>
  </si>
  <si>
    <t>Seen</t>
  </si>
  <si>
    <t>wolf</t>
  </si>
  <si>
    <t>Year</t>
  </si>
  <si>
    <t>2001: A Space Odyssey (Duella, Lockwood)</t>
  </si>
  <si>
    <t>A Clockwork Orange (McDowell, Magee)</t>
  </si>
  <si>
    <t>A star is born (Gaga, Cooper)</t>
  </si>
  <si>
    <t>Aeon Flux (Theron, Csokas)</t>
  </si>
  <si>
    <t>African Queen (Bogart, Hepburn)</t>
  </si>
  <si>
    <t>Alien (Weaver, Skerritt)</t>
  </si>
  <si>
    <t>Apartment (Lemmon, MacLaine)</t>
  </si>
  <si>
    <t>Apocalypse Now (Sheen, Brando)</t>
  </si>
  <si>
    <t>Around The World In 80 Days (Niven, Cantinflas)</t>
  </si>
  <si>
    <t>Avatar (Worthington, Saldana)</t>
  </si>
  <si>
    <t>Batman (Keaton, Nicholson, Basinger)</t>
  </si>
  <si>
    <t>Blade Runner (Ford, Hauer)</t>
  </si>
  <si>
    <t>Bohemian Rhapsody (Malek, Boynton)</t>
  </si>
  <si>
    <t>Captain America (Evans, Waeving)</t>
  </si>
  <si>
    <t>Cast Away (Hanks, Hunt)</t>
  </si>
  <si>
    <t>Cat On Hot Tin Roof (Taylor, Newman)</t>
  </si>
  <si>
    <t>Charade (Grant, Hepburn)</t>
  </si>
  <si>
    <t>Charlies Angels (Diaz, Barrymore, Liu)</t>
  </si>
  <si>
    <t>Chinatown (Nicholson, Dunaway)</t>
  </si>
  <si>
    <t>Clockwise (Gleese, Leatherbarrow)</t>
  </si>
  <si>
    <t>Colombiana (Saldana, Molla)</t>
  </si>
  <si>
    <t>Doctor No (Connery, Andress)</t>
  </si>
  <si>
    <t>Doctor Zhiwago (Sharif, Christie)</t>
  </si>
  <si>
    <t>Dr. Strangelove… (Sellers, Scott)</t>
  </si>
  <si>
    <t>Dr. T and the women (Gere, Hunt)</t>
  </si>
  <si>
    <t>Gentlemen Prefer Blondes (Monroe, Russell)</t>
  </si>
  <si>
    <t>Grand Budapest Hotel (Fiennes, Abraham)</t>
  </si>
  <si>
    <t>Harry Potter and the Philosopher's Stone (Radcliff, Harris)</t>
  </si>
  <si>
    <t>Harvey (Stewart, Hull)</t>
  </si>
  <si>
    <t>Hatari! (Wayne, Martinelli)</t>
  </si>
  <si>
    <t>Home alone (Culkin, Pesci)</t>
  </si>
  <si>
    <t>I, Robot (Smith, Moynahan)</t>
  </si>
  <si>
    <t>In The Heat Of The Night (Poitier, Steiger)</t>
  </si>
  <si>
    <t>Jack Ryan: Shadow Recruite (Pine, Costner)</t>
  </si>
  <si>
    <t>Jumanji (Williams, Dunst)</t>
  </si>
  <si>
    <t>King Kong (Watts, Black)</t>
  </si>
  <si>
    <t>La La Land (Gosling, Stone)</t>
  </si>
  <si>
    <t>Lord of the Rings (Woods, McKellen)</t>
  </si>
  <si>
    <t>Per Un Pugno Di Dollari (Eastwood, Koch)</t>
  </si>
  <si>
    <t>Rear Window (Stewart, Kelly)</t>
  </si>
  <si>
    <t>Rebel Without A Cause (Dean, Wood)</t>
  </si>
  <si>
    <t>Saving private Ryan (Hanks, Damon)</t>
  </si>
  <si>
    <t>Schindlers List (Neeson, Fiennes)</t>
  </si>
  <si>
    <t>Scream (Arquette, Campell)</t>
  </si>
  <si>
    <t>Star Wars IV: A new hope (Hamill, Ford)</t>
  </si>
  <si>
    <t>Suicide Squad (Smith, Robbie)</t>
  </si>
  <si>
    <t>Tangled (Disney)</t>
  </si>
  <si>
    <t>The Avengers (Downey Jr. Evans)</t>
  </si>
  <si>
    <t>The Exorcist (von Sydow, Blair)</t>
  </si>
  <si>
    <t>The Godfather (Brando, Pacino)</t>
  </si>
  <si>
    <t>The Lion King (Disney)</t>
  </si>
  <si>
    <t>The Matrix (Reeves, Fishburn)</t>
  </si>
  <si>
    <t>The Shining (Nicholson, Duvall)</t>
  </si>
  <si>
    <t>The Terminator (Schwarzenegger, Hamilton)</t>
  </si>
  <si>
    <t>Top Gun (Cruise, McGillis)</t>
  </si>
  <si>
    <t>Toy Story (Pixar)</t>
  </si>
  <si>
    <t>Filmtitle (Actors)</t>
  </si>
  <si>
    <t>michi</t>
  </si>
  <si>
    <t>Rumor has it (Aniston, Costner)</t>
  </si>
  <si>
    <t>Tanja</t>
  </si>
  <si>
    <t>Dmitry Cherepov</t>
  </si>
  <si>
    <t>olka_dorn</t>
  </si>
  <si>
    <t>11ea-aaef</t>
  </si>
  <si>
    <t>Manuel</t>
  </si>
  <si>
    <t>Stefan Gallistl</t>
  </si>
  <si>
    <t>Manuel2</t>
  </si>
  <si>
    <t>Edwin gruber</t>
  </si>
  <si>
    <t>Kanyildiz Muhammedmehdi</t>
  </si>
  <si>
    <t>Carlos Rodriguez</t>
  </si>
  <si>
    <t>Manuel Plech</t>
  </si>
  <si>
    <t>Matthias Rosskopf</t>
  </si>
  <si>
    <t>Marvin Sonntag</t>
  </si>
  <si>
    <t>Michael S.</t>
  </si>
  <si>
    <t>Carla Columna</t>
  </si>
  <si>
    <t>Ale</t>
  </si>
  <si>
    <t>Name</t>
  </si>
  <si>
    <t>Film</t>
  </si>
  <si>
    <t>Roman Bamesberger</t>
  </si>
  <si>
    <t>Christoph Burger</t>
  </si>
  <si>
    <t>Michael Stoecklmayr</t>
  </si>
  <si>
    <t>Kathrin Walker</t>
  </si>
  <si>
    <t>Original values</t>
  </si>
  <si>
    <t>csv</t>
  </si>
  <si>
    <t>seen</t>
  </si>
  <si>
    <t>Row Labels</t>
  </si>
  <si>
    <t>Grand Total</t>
  </si>
  <si>
    <t>Column Labels</t>
  </si>
  <si>
    <t>Sum of seen</t>
  </si>
  <si>
    <t>2001: A Space Odyssey</t>
  </si>
  <si>
    <t>A Clockwork Orange</t>
  </si>
  <si>
    <t>A star is born</t>
  </si>
  <si>
    <t>Aeon Flux</t>
  </si>
  <si>
    <t>African Queen</t>
  </si>
  <si>
    <t>Alien</t>
  </si>
  <si>
    <t>Apartment</t>
  </si>
  <si>
    <t>Apocalypse Now</t>
  </si>
  <si>
    <t>Around The World In 80 Days</t>
  </si>
  <si>
    <t>Avatar</t>
  </si>
  <si>
    <t>Batman</t>
  </si>
  <si>
    <t>Blade Runner</t>
  </si>
  <si>
    <t>Bohemian Rhapsody</t>
  </si>
  <si>
    <t>Captain America</t>
  </si>
  <si>
    <t>Cast Away</t>
  </si>
  <si>
    <t>Cat On Hot Tin Roof</t>
  </si>
  <si>
    <t>Charade</t>
  </si>
  <si>
    <t>Charlies Angels</t>
  </si>
  <si>
    <t>Chinatown</t>
  </si>
  <si>
    <t>Clockwise</t>
  </si>
  <si>
    <t>Colombiana</t>
  </si>
  <si>
    <t>Doctor No</t>
  </si>
  <si>
    <t>Doctor Zhiwago</t>
  </si>
  <si>
    <t>Dr. Strangelove…</t>
  </si>
  <si>
    <t>Dr. T and the women</t>
  </si>
  <si>
    <t>Gentlemen Prefer Blondes</t>
  </si>
  <si>
    <t>Grand Budapest Hotel</t>
  </si>
  <si>
    <t>Harry Potter and the Philosopher's Stone</t>
  </si>
  <si>
    <t>Harvey</t>
  </si>
  <si>
    <t>Hatari!</t>
  </si>
  <si>
    <t>Home alone</t>
  </si>
  <si>
    <t>I, Robot</t>
  </si>
  <si>
    <t>In The Heat Of The Night</t>
  </si>
  <si>
    <t>Jack Ryan: Shadow Recruite</t>
  </si>
  <si>
    <t>Jumanji</t>
  </si>
  <si>
    <t>King Kong</t>
  </si>
  <si>
    <t>La La Land</t>
  </si>
  <si>
    <t>Lord of the Rings</t>
  </si>
  <si>
    <t>Per Un Pugno Di Dollari</t>
  </si>
  <si>
    <t>Rear Window</t>
  </si>
  <si>
    <t>Rebel Without A Cause</t>
  </si>
  <si>
    <t>Rumor has it</t>
  </si>
  <si>
    <t>Saving private Ryan</t>
  </si>
  <si>
    <t>Schindlers List</t>
  </si>
  <si>
    <t>Scream</t>
  </si>
  <si>
    <t>Star Wars IV: A new hope</t>
  </si>
  <si>
    <t>Suicide Squad</t>
  </si>
  <si>
    <t>Tangled</t>
  </si>
  <si>
    <t>The Avengers</t>
  </si>
  <si>
    <t>The Exorcist</t>
  </si>
  <si>
    <t>The Godfather</t>
  </si>
  <si>
    <t>The Lion King</t>
  </si>
  <si>
    <t>The Matrix</t>
  </si>
  <si>
    <t>The Shining</t>
  </si>
  <si>
    <t>The Terminator</t>
  </si>
  <si>
    <t>Top Gun</t>
  </si>
  <si>
    <t>Toy Story</t>
  </si>
  <si>
    <t>Dr. Strangelove... (Sellers, Scott)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</si>
</sst>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rgb="FF333333"/>
      <name val="Calibri Light"/>
      <family val="2"/>
      <scheme val="major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 Light"/>
      <family val="2"/>
      <charset val="1"/>
    </font>
    <font>
      <sz val="12"/>
      <color rgb="FF333333"/>
      <name val="Calibri Light"/>
      <family val="2"/>
      <charset val="1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FFFFCC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3" fillId="0" borderId="0" xfId="0" applyNumberFormat="1" applyFont="1"/>
    <xf numFmtId="164" fontId="4" fillId="0" borderId="0" xfId="0" applyNumberFormat="1" applyFont="1"/>
    <xf numFmtId="0" fontId="4" fillId="2" borderId="0" xfId="0" applyFont="1" applyFill="1"/>
    <xf numFmtId="164" fontId="4" fillId="2" borderId="0" xfId="0" applyNumberFormat="1" applyFont="1" applyFill="1"/>
    <xf numFmtId="0" fontId="7" fillId="0" borderId="0" xfId="1" applyFont="1"/>
    <xf numFmtId="164" fontId="7" fillId="0" borderId="0" xfId="1" applyNumberFormat="1" applyFont="1"/>
    <xf numFmtId="164" fontId="8" fillId="0" borderId="0" xfId="1" applyNumberFormat="1" applyFont="1"/>
    <xf numFmtId="0" fontId="8" fillId="0" borderId="0" xfId="1" applyFont="1"/>
    <xf numFmtId="0" fontId="9" fillId="0" borderId="0" xfId="1" applyFont="1"/>
    <xf numFmtId="0" fontId="8" fillId="3" borderId="0" xfId="1" applyFont="1" applyFill="1"/>
    <xf numFmtId="164" fontId="8" fillId="3" borderId="0" xfId="1" applyNumberFormat="1" applyFont="1" applyFill="1"/>
    <xf numFmtId="0" fontId="6" fillId="0" borderId="0" xfId="1"/>
    <xf numFmtId="0" fontId="10" fillId="3" borderId="0" xfId="1" applyFont="1" applyFill="1"/>
    <xf numFmtId="0" fontId="4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640D8B11-3E1B-0444-8200-44EF2E8CC4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lf Rogner" refreshedDate="43806.661182291668" createdVersion="6" refreshedVersion="6" minRefreshableVersion="3" recordCount="1254" xr:uid="{5A546B10-4C01-9248-AF3F-55B51DC21CCC}">
  <cacheSource type="worksheet">
    <worksheetSource ref="U1:W1255" sheet="full set"/>
  </cacheSource>
  <cacheFields count="3">
    <cacheField name="Name" numFmtId="0">
      <sharedItems count="22">
        <s v="wolf"/>
        <s v="michi"/>
        <s v="Tanja"/>
        <s v="Dmitry Cherepov"/>
        <s v="olka_dorn"/>
        <s v="11ea-aaef"/>
        <s v="Manuel"/>
        <s v="Stefan Gallistl"/>
        <s v="Manuel2"/>
        <s v="Edwin gruber"/>
        <s v="Kanyildiz Muhammedmehdi"/>
        <s v="Carlos Rodriguez"/>
        <s v="Manuel Plech"/>
        <s v="Matthias Rosskopf"/>
        <s v="Marvin Sonntag"/>
        <s v="Michael S."/>
        <s v="Carla Columna"/>
        <s v="Ale"/>
        <s v="Roman Bamesberger"/>
        <s v="Christoph Burger"/>
        <s v="Michael Stoecklmayr"/>
        <s v="Kathrin Walker"/>
      </sharedItems>
    </cacheField>
    <cacheField name="Film" numFmtId="0">
      <sharedItems count="114">
        <s v="2001: A Space Odyssey"/>
        <s v="A Clockwork Orange"/>
        <s v="A star is born"/>
        <s v="Aeon Flux"/>
        <s v="African Queen"/>
        <s v="Alien"/>
        <s v="Apartment"/>
        <s v="Apocalypse Now"/>
        <s v="Around The World In 80 Days"/>
        <s v="Avatar"/>
        <s v="Batman"/>
        <s v="Blade Runner"/>
        <s v="Bohemian Rhapsody"/>
        <s v="Captain America"/>
        <s v="Cast Away"/>
        <s v="Cat On Hot Tin Roof"/>
        <s v="Charade"/>
        <s v="Charlies Angels"/>
        <s v="Chinatown"/>
        <s v="Clockwise"/>
        <s v="Colombiana"/>
        <s v="Doctor No"/>
        <s v="Doctor Zhiwago"/>
        <s v="Dr. Strangelove…"/>
        <s v="Dr. T and the women"/>
        <s v="Gentlemen Prefer Blondes"/>
        <s v="Grand Budapest Hotel"/>
        <s v="Harry Potter and the Philosopher's Stone"/>
        <s v="Harvey"/>
        <s v="Hatari!"/>
        <s v="Home alone"/>
        <s v="I, Robot"/>
        <s v="In The Heat Of The Night"/>
        <s v="Jack Ryan: Shadow Recruite"/>
        <s v="Jumanji"/>
        <s v="King Kong"/>
        <s v="La La Land"/>
        <s v="Lord of the Rings"/>
        <s v="Per Un Pugno Di Dollari"/>
        <s v="Rear Window"/>
        <s v="Rebel Without A Cause"/>
        <s v="Rumor has it"/>
        <s v="Saving private Ryan"/>
        <s v="Schindlers List"/>
        <s v="Scream"/>
        <s v="Star Wars IV: A new hope"/>
        <s v="Suicide Squad"/>
        <s v="Tangled"/>
        <s v="The Avengers"/>
        <s v="The Exorcist"/>
        <s v="The Godfather"/>
        <s v="The Lion King"/>
        <s v="The Matrix"/>
        <s v="The Shining"/>
        <s v="The Terminator"/>
        <s v="Top Gun"/>
        <s v="Toy Story"/>
        <s v="Aeon Flux (Theron, Csokas)" u="1"/>
        <s v="Batman (Keaton, Nicholson, Basinger)" u="1"/>
        <s v="Scream (Arquette, Campell)" u="1"/>
        <s v="A star is born (Gaga, Cooper)" u="1"/>
        <s v="The Lion King (Disney)" u="1"/>
        <s v="Saving private Ryan (Hanks, Damon)" u="1"/>
        <s v="The Terminator (Schwarzenegger, Hamilton)" u="1"/>
        <s v="Jumanji (Williams, Dunst)" u="1"/>
        <s v="Bohemian Rhapsody (Malek, Boynton)" u="1"/>
        <s v="Charlies Angels (Diaz, Barrymore, Liu)" u="1"/>
        <s v="Harvey (Stewart, Hull)" u="1"/>
        <s v="King Kong (Watts, Black)" u="1"/>
        <s v="Cat On Hot Tin Roof (Taylor, Newman)" u="1"/>
        <s v="La La Land (Gosling, Stone)" u="1"/>
        <s v="The Exorcist (von Sydow, Blair)" u="1"/>
        <s v="Per Un Pugno Di Dollari (Eastwood, Koch)" u="1"/>
        <s v="Cast Away (Hanks, Hunt)" u="1"/>
        <s v="I, Robot (Smith, Moynahan)" u="1"/>
        <s v="The Matrix (Reeves, Fishburn)" u="1"/>
        <s v="Doctor Zhiwago (Sharif, Christie)" u="1"/>
        <s v="Clockwise (Gleese, Leatherbarrow)" u="1"/>
        <s v="Grand Budapest Hotel (Fiennes, Abraham)" u="1"/>
        <s v="Star Wars IV: A new hope (Hamill, Ford)" u="1"/>
        <s v="Top Gun (Cruise, McGillis)" u="1"/>
        <s v="Blade Runner (Ford, Hauer)" u="1"/>
        <s v="Captain America (Evans, Waeving)" u="1"/>
        <s v="Toy Story (Pixar)" u="1"/>
        <s v="Suicide Squad (Smith, Robbie)" u="1"/>
        <s v="Around The World In 80 Days (Niven, Cantinflas)" u="1"/>
        <s v="Schindlers List (Neeson, Fiennes)" u="1"/>
        <s v="In The Heat Of The Night (Poitier, Steiger)" u="1"/>
        <s v="Charade (Grant, Hepburn)" u="1"/>
        <s v="Apocalypse Now (Sheen, Brando)" u="1"/>
        <s v="Dr. T and the women (Gere, Hunt)" u="1"/>
        <s v="African Queen (Bogart, Hepburn)" u="1"/>
        <s v="Lord of the Rings (Woods, McKellen)" u="1"/>
        <s v="Avatar (Worthington, Saldana)" u="1"/>
        <s v="Rebel Without A Cause (Dean, Wood)" u="1"/>
        <s v="Apartment (Lemmon, MacLaine)" u="1"/>
        <s v="A Clockwork Orange (McDowell, Magee)" u="1"/>
        <s v="Tangled (Disney)" u="1"/>
        <s v="Rumor has it (Aniston, Costner)" u="1"/>
        <s v="Jack Ryan: Shadow Recruite (Pine, Costner)" u="1"/>
        <s v="Harry Potter and the Philosopher's Stone (Radcliff, Harris)" u="1"/>
        <s v="Hatari! (Wayne, Martinelli)" u="1"/>
        <s v="Gentlemen Prefer Blondes (Monroe, Russell)" u="1"/>
        <s v="Chinatown (Nicholson, Dunaway)" u="1"/>
        <s v="Colombiana (Saldana, Molla)" u="1"/>
        <s v="The Avengers (Downey Jr. Evans)" u="1"/>
        <s v="Dr. Strangelove… (Sellers, Scott)" u="1"/>
        <s v="2001: A Space Odyssey (Duella, Lockwood)" u="1"/>
        <s v="The Shining (Nicholson, Duvall)" u="1"/>
        <s v="Rear Window (Stewart, Kelly)" u="1"/>
        <s v="The Godfather (Brando, Pacino)" u="1"/>
        <s v="Home alone (Culkin, Pesci)" u="1"/>
        <s v="Doctor No (Connery, Andress)" u="1"/>
        <s v="Alien (Weaver, Skerritt)" u="1"/>
      </sharedItems>
    </cacheField>
    <cacheField name="see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4">
  <r>
    <x v="0"/>
    <x v="0"/>
    <n v="1"/>
  </r>
  <r>
    <x v="0"/>
    <x v="1"/>
    <n v="1"/>
  </r>
  <r>
    <x v="0"/>
    <x v="2"/>
    <n v="0"/>
  </r>
  <r>
    <x v="0"/>
    <x v="3"/>
    <n v="1"/>
  </r>
  <r>
    <x v="0"/>
    <x v="4"/>
    <n v="0"/>
  </r>
  <r>
    <x v="0"/>
    <x v="5"/>
    <n v="1"/>
  </r>
  <r>
    <x v="0"/>
    <x v="6"/>
    <n v="1"/>
  </r>
  <r>
    <x v="0"/>
    <x v="7"/>
    <n v="1"/>
  </r>
  <r>
    <x v="0"/>
    <x v="8"/>
    <n v="1"/>
  </r>
  <r>
    <x v="0"/>
    <x v="9"/>
    <n v="1"/>
  </r>
  <r>
    <x v="0"/>
    <x v="10"/>
    <n v="1"/>
  </r>
  <r>
    <x v="0"/>
    <x v="11"/>
    <n v="1"/>
  </r>
  <r>
    <x v="0"/>
    <x v="12"/>
    <n v="0"/>
  </r>
  <r>
    <x v="0"/>
    <x v="13"/>
    <n v="1"/>
  </r>
  <r>
    <x v="0"/>
    <x v="14"/>
    <n v="1"/>
  </r>
  <r>
    <x v="0"/>
    <x v="15"/>
    <n v="1"/>
  </r>
  <r>
    <x v="0"/>
    <x v="16"/>
    <n v="1"/>
  </r>
  <r>
    <x v="0"/>
    <x v="17"/>
    <n v="1"/>
  </r>
  <r>
    <x v="0"/>
    <x v="18"/>
    <n v="0"/>
  </r>
  <r>
    <x v="0"/>
    <x v="19"/>
    <n v="1"/>
  </r>
  <r>
    <x v="0"/>
    <x v="20"/>
    <n v="1"/>
  </r>
  <r>
    <x v="0"/>
    <x v="21"/>
    <n v="1"/>
  </r>
  <r>
    <x v="0"/>
    <x v="22"/>
    <n v="0"/>
  </r>
  <r>
    <x v="0"/>
    <x v="23"/>
    <n v="1"/>
  </r>
  <r>
    <x v="0"/>
    <x v="24"/>
    <n v="1"/>
  </r>
  <r>
    <x v="0"/>
    <x v="25"/>
    <n v="0"/>
  </r>
  <r>
    <x v="0"/>
    <x v="26"/>
    <n v="0"/>
  </r>
  <r>
    <x v="0"/>
    <x v="27"/>
    <n v="0"/>
  </r>
  <r>
    <x v="0"/>
    <x v="28"/>
    <n v="1"/>
  </r>
  <r>
    <x v="0"/>
    <x v="29"/>
    <n v="1"/>
  </r>
  <r>
    <x v="0"/>
    <x v="30"/>
    <n v="1"/>
  </r>
  <r>
    <x v="0"/>
    <x v="31"/>
    <n v="1"/>
  </r>
  <r>
    <x v="0"/>
    <x v="32"/>
    <n v="1"/>
  </r>
  <r>
    <x v="0"/>
    <x v="33"/>
    <n v="1"/>
  </r>
  <r>
    <x v="0"/>
    <x v="34"/>
    <n v="1"/>
  </r>
  <r>
    <x v="0"/>
    <x v="35"/>
    <n v="0"/>
  </r>
  <r>
    <x v="0"/>
    <x v="36"/>
    <n v="0"/>
  </r>
  <r>
    <x v="0"/>
    <x v="37"/>
    <n v="1"/>
  </r>
  <r>
    <x v="0"/>
    <x v="38"/>
    <n v="1"/>
  </r>
  <r>
    <x v="0"/>
    <x v="39"/>
    <n v="1"/>
  </r>
  <r>
    <x v="0"/>
    <x v="40"/>
    <n v="1"/>
  </r>
  <r>
    <x v="0"/>
    <x v="41"/>
    <n v="0"/>
  </r>
  <r>
    <x v="0"/>
    <x v="42"/>
    <n v="1"/>
  </r>
  <r>
    <x v="0"/>
    <x v="43"/>
    <n v="0"/>
  </r>
  <r>
    <x v="0"/>
    <x v="44"/>
    <n v="0"/>
  </r>
  <r>
    <x v="0"/>
    <x v="45"/>
    <n v="1"/>
  </r>
  <r>
    <x v="0"/>
    <x v="46"/>
    <n v="1"/>
  </r>
  <r>
    <x v="0"/>
    <x v="47"/>
    <n v="1"/>
  </r>
  <r>
    <x v="0"/>
    <x v="48"/>
    <n v="1"/>
  </r>
  <r>
    <x v="0"/>
    <x v="49"/>
    <n v="0"/>
  </r>
  <r>
    <x v="0"/>
    <x v="50"/>
    <n v="0"/>
  </r>
  <r>
    <x v="0"/>
    <x v="51"/>
    <n v="0"/>
  </r>
  <r>
    <x v="0"/>
    <x v="52"/>
    <n v="1"/>
  </r>
  <r>
    <x v="0"/>
    <x v="53"/>
    <n v="0"/>
  </r>
  <r>
    <x v="0"/>
    <x v="54"/>
    <n v="1"/>
  </r>
  <r>
    <x v="0"/>
    <x v="55"/>
    <n v="1"/>
  </r>
  <r>
    <x v="0"/>
    <x v="56"/>
    <n v="1"/>
  </r>
  <r>
    <x v="1"/>
    <x v="0"/>
    <n v="1"/>
  </r>
  <r>
    <x v="1"/>
    <x v="1"/>
    <n v="0"/>
  </r>
  <r>
    <x v="1"/>
    <x v="2"/>
    <n v="0"/>
  </r>
  <r>
    <x v="1"/>
    <x v="3"/>
    <n v="1"/>
  </r>
  <r>
    <x v="1"/>
    <x v="4"/>
    <n v="1"/>
  </r>
  <r>
    <x v="1"/>
    <x v="5"/>
    <n v="1"/>
  </r>
  <r>
    <x v="1"/>
    <x v="6"/>
    <n v="1"/>
  </r>
  <r>
    <x v="1"/>
    <x v="7"/>
    <n v="1"/>
  </r>
  <r>
    <x v="1"/>
    <x v="8"/>
    <n v="1"/>
  </r>
  <r>
    <x v="1"/>
    <x v="9"/>
    <n v="1"/>
  </r>
  <r>
    <x v="1"/>
    <x v="10"/>
    <n v="1"/>
  </r>
  <r>
    <x v="1"/>
    <x v="11"/>
    <n v="1"/>
  </r>
  <r>
    <x v="1"/>
    <x v="12"/>
    <n v="0"/>
  </r>
  <r>
    <x v="1"/>
    <x v="13"/>
    <n v="1"/>
  </r>
  <r>
    <x v="1"/>
    <x v="14"/>
    <n v="1"/>
  </r>
  <r>
    <x v="1"/>
    <x v="15"/>
    <n v="0"/>
  </r>
  <r>
    <x v="1"/>
    <x v="16"/>
    <n v="1"/>
  </r>
  <r>
    <x v="1"/>
    <x v="17"/>
    <n v="1"/>
  </r>
  <r>
    <x v="1"/>
    <x v="18"/>
    <n v="1"/>
  </r>
  <r>
    <x v="1"/>
    <x v="19"/>
    <n v="1"/>
  </r>
  <r>
    <x v="1"/>
    <x v="20"/>
    <n v="1"/>
  </r>
  <r>
    <x v="1"/>
    <x v="21"/>
    <n v="1"/>
  </r>
  <r>
    <x v="1"/>
    <x v="22"/>
    <n v="1"/>
  </r>
  <r>
    <x v="1"/>
    <x v="23"/>
    <n v="0"/>
  </r>
  <r>
    <x v="1"/>
    <x v="24"/>
    <n v="1"/>
  </r>
  <r>
    <x v="1"/>
    <x v="25"/>
    <n v="0"/>
  </r>
  <r>
    <x v="1"/>
    <x v="26"/>
    <n v="0"/>
  </r>
  <r>
    <x v="1"/>
    <x v="27"/>
    <n v="1"/>
  </r>
  <r>
    <x v="1"/>
    <x v="28"/>
    <n v="1"/>
  </r>
  <r>
    <x v="1"/>
    <x v="29"/>
    <n v="1"/>
  </r>
  <r>
    <x v="1"/>
    <x v="30"/>
    <n v="1"/>
  </r>
  <r>
    <x v="1"/>
    <x v="31"/>
    <n v="1"/>
  </r>
  <r>
    <x v="1"/>
    <x v="32"/>
    <n v="1"/>
  </r>
  <r>
    <x v="1"/>
    <x v="33"/>
    <n v="1"/>
  </r>
  <r>
    <x v="1"/>
    <x v="34"/>
    <n v="1"/>
  </r>
  <r>
    <x v="1"/>
    <x v="35"/>
    <n v="1"/>
  </r>
  <r>
    <x v="1"/>
    <x v="36"/>
    <n v="1"/>
  </r>
  <r>
    <x v="1"/>
    <x v="37"/>
    <n v="1"/>
  </r>
  <r>
    <x v="1"/>
    <x v="38"/>
    <n v="1"/>
  </r>
  <r>
    <x v="1"/>
    <x v="39"/>
    <n v="1"/>
  </r>
  <r>
    <x v="1"/>
    <x v="40"/>
    <n v="1"/>
  </r>
  <r>
    <x v="1"/>
    <x v="41"/>
    <n v="1"/>
  </r>
  <r>
    <x v="1"/>
    <x v="42"/>
    <n v="0"/>
  </r>
  <r>
    <x v="1"/>
    <x v="43"/>
    <n v="0"/>
  </r>
  <r>
    <x v="1"/>
    <x v="44"/>
    <n v="1"/>
  </r>
  <r>
    <x v="1"/>
    <x v="45"/>
    <n v="1"/>
  </r>
  <r>
    <x v="1"/>
    <x v="46"/>
    <n v="1"/>
  </r>
  <r>
    <x v="1"/>
    <x v="47"/>
    <n v="1"/>
  </r>
  <r>
    <x v="1"/>
    <x v="48"/>
    <n v="1"/>
  </r>
  <r>
    <x v="1"/>
    <x v="49"/>
    <n v="0"/>
  </r>
  <r>
    <x v="1"/>
    <x v="50"/>
    <n v="1"/>
  </r>
  <r>
    <x v="1"/>
    <x v="51"/>
    <n v="1"/>
  </r>
  <r>
    <x v="1"/>
    <x v="52"/>
    <n v="1"/>
  </r>
  <r>
    <x v="1"/>
    <x v="53"/>
    <n v="1"/>
  </r>
  <r>
    <x v="1"/>
    <x v="54"/>
    <n v="1"/>
  </r>
  <r>
    <x v="1"/>
    <x v="55"/>
    <n v="1"/>
  </r>
  <r>
    <x v="1"/>
    <x v="56"/>
    <n v="1"/>
  </r>
  <r>
    <x v="2"/>
    <x v="0"/>
    <n v="0"/>
  </r>
  <r>
    <x v="2"/>
    <x v="1"/>
    <n v="0"/>
  </r>
  <r>
    <x v="2"/>
    <x v="2"/>
    <n v="0"/>
  </r>
  <r>
    <x v="2"/>
    <x v="3"/>
    <n v="0"/>
  </r>
  <r>
    <x v="2"/>
    <x v="4"/>
    <n v="0"/>
  </r>
  <r>
    <x v="2"/>
    <x v="5"/>
    <n v="0"/>
  </r>
  <r>
    <x v="2"/>
    <x v="6"/>
    <n v="0"/>
  </r>
  <r>
    <x v="2"/>
    <x v="7"/>
    <n v="0"/>
  </r>
  <r>
    <x v="2"/>
    <x v="8"/>
    <n v="1"/>
  </r>
  <r>
    <x v="2"/>
    <x v="9"/>
    <n v="1"/>
  </r>
  <r>
    <x v="2"/>
    <x v="10"/>
    <n v="0"/>
  </r>
  <r>
    <x v="2"/>
    <x v="11"/>
    <n v="0"/>
  </r>
  <r>
    <x v="2"/>
    <x v="12"/>
    <n v="0"/>
  </r>
  <r>
    <x v="2"/>
    <x v="13"/>
    <n v="0"/>
  </r>
  <r>
    <x v="2"/>
    <x v="14"/>
    <n v="1"/>
  </r>
  <r>
    <x v="2"/>
    <x v="15"/>
    <n v="0"/>
  </r>
  <r>
    <x v="2"/>
    <x v="16"/>
    <n v="0"/>
  </r>
  <r>
    <x v="2"/>
    <x v="17"/>
    <n v="0"/>
  </r>
  <r>
    <x v="2"/>
    <x v="18"/>
    <n v="0"/>
  </r>
  <r>
    <x v="2"/>
    <x v="19"/>
    <n v="0"/>
  </r>
  <r>
    <x v="2"/>
    <x v="20"/>
    <n v="0"/>
  </r>
  <r>
    <x v="2"/>
    <x v="21"/>
    <n v="0"/>
  </r>
  <r>
    <x v="2"/>
    <x v="22"/>
    <n v="0"/>
  </r>
  <r>
    <x v="2"/>
    <x v="23"/>
    <n v="0"/>
  </r>
  <r>
    <x v="2"/>
    <x v="24"/>
    <n v="0"/>
  </r>
  <r>
    <x v="2"/>
    <x v="25"/>
    <n v="0"/>
  </r>
  <r>
    <x v="2"/>
    <x v="26"/>
    <n v="1"/>
  </r>
  <r>
    <x v="2"/>
    <x v="27"/>
    <n v="0"/>
  </r>
  <r>
    <x v="2"/>
    <x v="28"/>
    <n v="0"/>
  </r>
  <r>
    <x v="2"/>
    <x v="29"/>
    <n v="0"/>
  </r>
  <r>
    <x v="2"/>
    <x v="30"/>
    <n v="0"/>
  </r>
  <r>
    <x v="2"/>
    <x v="31"/>
    <n v="1"/>
  </r>
  <r>
    <x v="2"/>
    <x v="32"/>
    <n v="0"/>
  </r>
  <r>
    <x v="2"/>
    <x v="33"/>
    <n v="0"/>
  </r>
  <r>
    <x v="2"/>
    <x v="34"/>
    <n v="0"/>
  </r>
  <r>
    <x v="2"/>
    <x v="35"/>
    <n v="0"/>
  </r>
  <r>
    <x v="2"/>
    <x v="36"/>
    <n v="0"/>
  </r>
  <r>
    <x v="2"/>
    <x v="37"/>
    <n v="0"/>
  </r>
  <r>
    <x v="2"/>
    <x v="38"/>
    <n v="0"/>
  </r>
  <r>
    <x v="2"/>
    <x v="39"/>
    <n v="0"/>
  </r>
  <r>
    <x v="2"/>
    <x v="40"/>
    <n v="0"/>
  </r>
  <r>
    <x v="2"/>
    <x v="41"/>
    <n v="0"/>
  </r>
  <r>
    <x v="2"/>
    <x v="42"/>
    <n v="0"/>
  </r>
  <r>
    <x v="2"/>
    <x v="43"/>
    <n v="1"/>
  </r>
  <r>
    <x v="2"/>
    <x v="44"/>
    <n v="0"/>
  </r>
  <r>
    <x v="2"/>
    <x v="45"/>
    <n v="0"/>
  </r>
  <r>
    <x v="2"/>
    <x v="46"/>
    <n v="0"/>
  </r>
  <r>
    <x v="2"/>
    <x v="47"/>
    <n v="0"/>
  </r>
  <r>
    <x v="2"/>
    <x v="48"/>
    <n v="1"/>
  </r>
  <r>
    <x v="2"/>
    <x v="49"/>
    <n v="0"/>
  </r>
  <r>
    <x v="2"/>
    <x v="50"/>
    <n v="0"/>
  </r>
  <r>
    <x v="2"/>
    <x v="51"/>
    <n v="1"/>
  </r>
  <r>
    <x v="2"/>
    <x v="52"/>
    <n v="1"/>
  </r>
  <r>
    <x v="2"/>
    <x v="53"/>
    <n v="0"/>
  </r>
  <r>
    <x v="2"/>
    <x v="54"/>
    <n v="0"/>
  </r>
  <r>
    <x v="2"/>
    <x v="55"/>
    <n v="0"/>
  </r>
  <r>
    <x v="2"/>
    <x v="56"/>
    <n v="0"/>
  </r>
  <r>
    <x v="3"/>
    <x v="0"/>
    <n v="0"/>
  </r>
  <r>
    <x v="3"/>
    <x v="1"/>
    <n v="1"/>
  </r>
  <r>
    <x v="3"/>
    <x v="2"/>
    <n v="0"/>
  </r>
  <r>
    <x v="3"/>
    <x v="3"/>
    <n v="0"/>
  </r>
  <r>
    <x v="3"/>
    <x v="4"/>
    <n v="0"/>
  </r>
  <r>
    <x v="3"/>
    <x v="5"/>
    <n v="0"/>
  </r>
  <r>
    <x v="3"/>
    <x v="6"/>
    <n v="0"/>
  </r>
  <r>
    <x v="3"/>
    <x v="7"/>
    <n v="0"/>
  </r>
  <r>
    <x v="3"/>
    <x v="8"/>
    <n v="1"/>
  </r>
  <r>
    <x v="3"/>
    <x v="9"/>
    <n v="1"/>
  </r>
  <r>
    <x v="3"/>
    <x v="10"/>
    <n v="0"/>
  </r>
  <r>
    <x v="3"/>
    <x v="11"/>
    <n v="1"/>
  </r>
  <r>
    <x v="3"/>
    <x v="12"/>
    <n v="0"/>
  </r>
  <r>
    <x v="3"/>
    <x v="13"/>
    <n v="0"/>
  </r>
  <r>
    <x v="3"/>
    <x v="14"/>
    <n v="0"/>
  </r>
  <r>
    <x v="3"/>
    <x v="15"/>
    <n v="0"/>
  </r>
  <r>
    <x v="3"/>
    <x v="16"/>
    <n v="0"/>
  </r>
  <r>
    <x v="3"/>
    <x v="17"/>
    <n v="0"/>
  </r>
  <r>
    <x v="3"/>
    <x v="18"/>
    <n v="0"/>
  </r>
  <r>
    <x v="3"/>
    <x v="19"/>
    <n v="0"/>
  </r>
  <r>
    <x v="3"/>
    <x v="20"/>
    <n v="0"/>
  </r>
  <r>
    <x v="3"/>
    <x v="21"/>
    <n v="0"/>
  </r>
  <r>
    <x v="3"/>
    <x v="22"/>
    <n v="0"/>
  </r>
  <r>
    <x v="3"/>
    <x v="23"/>
    <n v="0"/>
  </r>
  <r>
    <x v="3"/>
    <x v="24"/>
    <n v="0"/>
  </r>
  <r>
    <x v="3"/>
    <x v="25"/>
    <n v="0"/>
  </r>
  <r>
    <x v="3"/>
    <x v="26"/>
    <n v="1"/>
  </r>
  <r>
    <x v="3"/>
    <x v="27"/>
    <n v="1"/>
  </r>
  <r>
    <x v="3"/>
    <x v="28"/>
    <n v="0"/>
  </r>
  <r>
    <x v="3"/>
    <x v="29"/>
    <n v="0"/>
  </r>
  <r>
    <x v="3"/>
    <x v="30"/>
    <n v="1"/>
  </r>
  <r>
    <x v="3"/>
    <x v="31"/>
    <n v="1"/>
  </r>
  <r>
    <x v="3"/>
    <x v="32"/>
    <n v="0"/>
  </r>
  <r>
    <x v="3"/>
    <x v="33"/>
    <n v="0"/>
  </r>
  <r>
    <x v="3"/>
    <x v="34"/>
    <n v="1"/>
  </r>
  <r>
    <x v="3"/>
    <x v="35"/>
    <n v="1"/>
  </r>
  <r>
    <x v="3"/>
    <x v="36"/>
    <n v="1"/>
  </r>
  <r>
    <x v="3"/>
    <x v="37"/>
    <n v="1"/>
  </r>
  <r>
    <x v="3"/>
    <x v="38"/>
    <n v="0"/>
  </r>
  <r>
    <x v="3"/>
    <x v="39"/>
    <n v="0"/>
  </r>
  <r>
    <x v="3"/>
    <x v="40"/>
    <n v="0"/>
  </r>
  <r>
    <x v="3"/>
    <x v="41"/>
    <n v="0"/>
  </r>
  <r>
    <x v="3"/>
    <x v="42"/>
    <n v="0"/>
  </r>
  <r>
    <x v="3"/>
    <x v="43"/>
    <n v="0"/>
  </r>
  <r>
    <x v="3"/>
    <x v="44"/>
    <n v="0"/>
  </r>
  <r>
    <x v="3"/>
    <x v="45"/>
    <n v="0"/>
  </r>
  <r>
    <x v="3"/>
    <x v="46"/>
    <n v="1"/>
  </r>
  <r>
    <x v="3"/>
    <x v="47"/>
    <n v="0"/>
  </r>
  <r>
    <x v="3"/>
    <x v="48"/>
    <n v="1"/>
  </r>
  <r>
    <x v="3"/>
    <x v="49"/>
    <n v="0"/>
  </r>
  <r>
    <x v="3"/>
    <x v="50"/>
    <n v="1"/>
  </r>
  <r>
    <x v="3"/>
    <x v="51"/>
    <n v="0"/>
  </r>
  <r>
    <x v="3"/>
    <x v="52"/>
    <n v="1"/>
  </r>
  <r>
    <x v="3"/>
    <x v="53"/>
    <n v="1"/>
  </r>
  <r>
    <x v="3"/>
    <x v="54"/>
    <n v="1"/>
  </r>
  <r>
    <x v="3"/>
    <x v="55"/>
    <n v="0"/>
  </r>
  <r>
    <x v="3"/>
    <x v="56"/>
    <n v="1"/>
  </r>
  <r>
    <x v="4"/>
    <x v="0"/>
    <n v="0"/>
  </r>
  <r>
    <x v="4"/>
    <x v="1"/>
    <n v="1"/>
  </r>
  <r>
    <x v="4"/>
    <x v="2"/>
    <n v="0"/>
  </r>
  <r>
    <x v="4"/>
    <x v="3"/>
    <n v="0"/>
  </r>
  <r>
    <x v="4"/>
    <x v="4"/>
    <n v="0"/>
  </r>
  <r>
    <x v="4"/>
    <x v="5"/>
    <n v="0"/>
  </r>
  <r>
    <x v="4"/>
    <x v="6"/>
    <n v="0"/>
  </r>
  <r>
    <x v="4"/>
    <x v="7"/>
    <n v="0"/>
  </r>
  <r>
    <x v="4"/>
    <x v="8"/>
    <n v="0"/>
  </r>
  <r>
    <x v="4"/>
    <x v="9"/>
    <n v="1"/>
  </r>
  <r>
    <x v="4"/>
    <x v="10"/>
    <n v="1"/>
  </r>
  <r>
    <x v="4"/>
    <x v="11"/>
    <n v="0"/>
  </r>
  <r>
    <x v="4"/>
    <x v="12"/>
    <n v="0"/>
  </r>
  <r>
    <x v="4"/>
    <x v="13"/>
    <n v="0"/>
  </r>
  <r>
    <x v="4"/>
    <x v="14"/>
    <n v="1"/>
  </r>
  <r>
    <x v="4"/>
    <x v="15"/>
    <n v="0"/>
  </r>
  <r>
    <x v="4"/>
    <x v="16"/>
    <n v="1"/>
  </r>
  <r>
    <x v="4"/>
    <x v="17"/>
    <n v="1"/>
  </r>
  <r>
    <x v="4"/>
    <x v="18"/>
    <n v="0"/>
  </r>
  <r>
    <x v="4"/>
    <x v="19"/>
    <n v="0"/>
  </r>
  <r>
    <x v="4"/>
    <x v="20"/>
    <n v="0"/>
  </r>
  <r>
    <x v="4"/>
    <x v="21"/>
    <n v="0"/>
  </r>
  <r>
    <x v="4"/>
    <x v="22"/>
    <n v="0"/>
  </r>
  <r>
    <x v="4"/>
    <x v="23"/>
    <n v="0"/>
  </r>
  <r>
    <x v="4"/>
    <x v="24"/>
    <n v="0"/>
  </r>
  <r>
    <x v="4"/>
    <x v="25"/>
    <n v="0"/>
  </r>
  <r>
    <x v="4"/>
    <x v="26"/>
    <n v="1"/>
  </r>
  <r>
    <x v="4"/>
    <x v="27"/>
    <n v="1"/>
  </r>
  <r>
    <x v="4"/>
    <x v="28"/>
    <n v="0"/>
  </r>
  <r>
    <x v="4"/>
    <x v="29"/>
    <n v="0"/>
  </r>
  <r>
    <x v="4"/>
    <x v="30"/>
    <n v="1"/>
  </r>
  <r>
    <x v="4"/>
    <x v="31"/>
    <n v="0"/>
  </r>
  <r>
    <x v="4"/>
    <x v="32"/>
    <n v="0"/>
  </r>
  <r>
    <x v="4"/>
    <x v="33"/>
    <n v="0"/>
  </r>
  <r>
    <x v="4"/>
    <x v="34"/>
    <n v="1"/>
  </r>
  <r>
    <x v="4"/>
    <x v="35"/>
    <n v="0"/>
  </r>
  <r>
    <x v="4"/>
    <x v="36"/>
    <n v="0"/>
  </r>
  <r>
    <x v="4"/>
    <x v="37"/>
    <n v="0"/>
  </r>
  <r>
    <x v="4"/>
    <x v="38"/>
    <n v="0"/>
  </r>
  <r>
    <x v="4"/>
    <x v="39"/>
    <n v="0"/>
  </r>
  <r>
    <x v="4"/>
    <x v="40"/>
    <n v="0"/>
  </r>
  <r>
    <x v="4"/>
    <x v="41"/>
    <n v="0"/>
  </r>
  <r>
    <x v="4"/>
    <x v="42"/>
    <n v="1"/>
  </r>
  <r>
    <x v="4"/>
    <x v="43"/>
    <n v="0"/>
  </r>
  <r>
    <x v="4"/>
    <x v="44"/>
    <n v="1"/>
  </r>
  <r>
    <x v="4"/>
    <x v="45"/>
    <n v="0"/>
  </r>
  <r>
    <x v="4"/>
    <x v="46"/>
    <n v="0"/>
  </r>
  <r>
    <x v="4"/>
    <x v="47"/>
    <n v="1"/>
  </r>
  <r>
    <x v="4"/>
    <x v="48"/>
    <n v="0"/>
  </r>
  <r>
    <x v="4"/>
    <x v="49"/>
    <n v="0"/>
  </r>
  <r>
    <x v="4"/>
    <x v="50"/>
    <n v="0"/>
  </r>
  <r>
    <x v="4"/>
    <x v="51"/>
    <n v="1"/>
  </r>
  <r>
    <x v="4"/>
    <x v="52"/>
    <n v="1"/>
  </r>
  <r>
    <x v="4"/>
    <x v="53"/>
    <n v="0"/>
  </r>
  <r>
    <x v="4"/>
    <x v="54"/>
    <n v="0"/>
  </r>
  <r>
    <x v="4"/>
    <x v="55"/>
    <n v="0"/>
  </r>
  <r>
    <x v="4"/>
    <x v="56"/>
    <n v="1"/>
  </r>
  <r>
    <x v="5"/>
    <x v="0"/>
    <n v="0"/>
  </r>
  <r>
    <x v="5"/>
    <x v="1"/>
    <n v="0"/>
  </r>
  <r>
    <x v="5"/>
    <x v="2"/>
    <n v="0"/>
  </r>
  <r>
    <x v="5"/>
    <x v="3"/>
    <n v="0"/>
  </r>
  <r>
    <x v="5"/>
    <x v="4"/>
    <n v="0"/>
  </r>
  <r>
    <x v="5"/>
    <x v="5"/>
    <n v="0"/>
  </r>
  <r>
    <x v="5"/>
    <x v="6"/>
    <n v="0"/>
  </r>
  <r>
    <x v="5"/>
    <x v="7"/>
    <n v="0"/>
  </r>
  <r>
    <x v="5"/>
    <x v="8"/>
    <n v="0"/>
  </r>
  <r>
    <x v="5"/>
    <x v="9"/>
    <n v="1"/>
  </r>
  <r>
    <x v="5"/>
    <x v="10"/>
    <n v="0"/>
  </r>
  <r>
    <x v="5"/>
    <x v="11"/>
    <n v="0"/>
  </r>
  <r>
    <x v="5"/>
    <x v="12"/>
    <n v="1"/>
  </r>
  <r>
    <x v="5"/>
    <x v="13"/>
    <n v="0"/>
  </r>
  <r>
    <x v="5"/>
    <x v="14"/>
    <n v="0"/>
  </r>
  <r>
    <x v="5"/>
    <x v="15"/>
    <n v="0"/>
  </r>
  <r>
    <x v="5"/>
    <x v="16"/>
    <n v="0"/>
  </r>
  <r>
    <x v="5"/>
    <x v="17"/>
    <n v="1"/>
  </r>
  <r>
    <x v="5"/>
    <x v="18"/>
    <n v="0"/>
  </r>
  <r>
    <x v="5"/>
    <x v="19"/>
    <n v="0"/>
  </r>
  <r>
    <x v="5"/>
    <x v="20"/>
    <n v="0"/>
  </r>
  <r>
    <x v="5"/>
    <x v="21"/>
    <n v="0"/>
  </r>
  <r>
    <x v="5"/>
    <x v="22"/>
    <n v="0"/>
  </r>
  <r>
    <x v="5"/>
    <x v="23"/>
    <n v="0"/>
  </r>
  <r>
    <x v="5"/>
    <x v="24"/>
    <n v="0"/>
  </r>
  <r>
    <x v="5"/>
    <x v="25"/>
    <n v="0"/>
  </r>
  <r>
    <x v="5"/>
    <x v="26"/>
    <n v="0"/>
  </r>
  <r>
    <x v="5"/>
    <x v="27"/>
    <n v="1"/>
  </r>
  <r>
    <x v="5"/>
    <x v="28"/>
    <n v="0"/>
  </r>
  <r>
    <x v="5"/>
    <x v="29"/>
    <n v="0"/>
  </r>
  <r>
    <x v="5"/>
    <x v="30"/>
    <n v="1"/>
  </r>
  <r>
    <x v="5"/>
    <x v="31"/>
    <n v="1"/>
  </r>
  <r>
    <x v="5"/>
    <x v="32"/>
    <n v="0"/>
  </r>
  <r>
    <x v="5"/>
    <x v="33"/>
    <n v="0"/>
  </r>
  <r>
    <x v="5"/>
    <x v="34"/>
    <n v="0"/>
  </r>
  <r>
    <x v="5"/>
    <x v="35"/>
    <n v="0"/>
  </r>
  <r>
    <x v="5"/>
    <x v="36"/>
    <n v="0"/>
  </r>
  <r>
    <x v="5"/>
    <x v="37"/>
    <n v="1"/>
  </r>
  <r>
    <x v="5"/>
    <x v="38"/>
    <n v="0"/>
  </r>
  <r>
    <x v="5"/>
    <x v="39"/>
    <n v="0"/>
  </r>
  <r>
    <x v="5"/>
    <x v="40"/>
    <n v="0"/>
  </r>
  <r>
    <x v="5"/>
    <x v="41"/>
    <n v="0"/>
  </r>
  <r>
    <x v="5"/>
    <x v="42"/>
    <n v="0"/>
  </r>
  <r>
    <x v="5"/>
    <x v="43"/>
    <n v="0"/>
  </r>
  <r>
    <x v="5"/>
    <x v="44"/>
    <n v="0"/>
  </r>
  <r>
    <x v="5"/>
    <x v="45"/>
    <n v="0"/>
  </r>
  <r>
    <x v="5"/>
    <x v="46"/>
    <n v="0"/>
  </r>
  <r>
    <x v="5"/>
    <x v="47"/>
    <n v="1"/>
  </r>
  <r>
    <x v="5"/>
    <x v="48"/>
    <n v="0"/>
  </r>
  <r>
    <x v="5"/>
    <x v="49"/>
    <n v="0"/>
  </r>
  <r>
    <x v="5"/>
    <x v="50"/>
    <n v="0"/>
  </r>
  <r>
    <x v="5"/>
    <x v="51"/>
    <n v="1"/>
  </r>
  <r>
    <x v="5"/>
    <x v="52"/>
    <n v="1"/>
  </r>
  <r>
    <x v="5"/>
    <x v="53"/>
    <n v="0"/>
  </r>
  <r>
    <x v="5"/>
    <x v="54"/>
    <n v="1"/>
  </r>
  <r>
    <x v="5"/>
    <x v="55"/>
    <n v="0"/>
  </r>
  <r>
    <x v="5"/>
    <x v="56"/>
    <n v="1"/>
  </r>
  <r>
    <x v="6"/>
    <x v="0"/>
    <n v="1"/>
  </r>
  <r>
    <x v="6"/>
    <x v="1"/>
    <n v="0"/>
  </r>
  <r>
    <x v="6"/>
    <x v="2"/>
    <n v="1"/>
  </r>
  <r>
    <x v="6"/>
    <x v="3"/>
    <n v="0"/>
  </r>
  <r>
    <x v="6"/>
    <x v="4"/>
    <n v="1"/>
  </r>
  <r>
    <x v="6"/>
    <x v="5"/>
    <n v="0"/>
  </r>
  <r>
    <x v="6"/>
    <x v="6"/>
    <n v="0"/>
  </r>
  <r>
    <x v="6"/>
    <x v="7"/>
    <n v="1"/>
  </r>
  <r>
    <x v="6"/>
    <x v="8"/>
    <n v="0"/>
  </r>
  <r>
    <x v="6"/>
    <x v="9"/>
    <n v="1"/>
  </r>
  <r>
    <x v="6"/>
    <x v="10"/>
    <n v="1"/>
  </r>
  <r>
    <x v="6"/>
    <x v="11"/>
    <n v="1"/>
  </r>
  <r>
    <x v="6"/>
    <x v="12"/>
    <n v="0"/>
  </r>
  <r>
    <x v="6"/>
    <x v="13"/>
    <n v="0"/>
  </r>
  <r>
    <x v="6"/>
    <x v="14"/>
    <n v="1"/>
  </r>
  <r>
    <x v="6"/>
    <x v="15"/>
    <n v="0"/>
  </r>
  <r>
    <x v="6"/>
    <x v="16"/>
    <n v="0"/>
  </r>
  <r>
    <x v="6"/>
    <x v="17"/>
    <n v="1"/>
  </r>
  <r>
    <x v="6"/>
    <x v="18"/>
    <n v="0"/>
  </r>
  <r>
    <x v="6"/>
    <x v="19"/>
    <n v="0"/>
  </r>
  <r>
    <x v="6"/>
    <x v="20"/>
    <n v="0"/>
  </r>
  <r>
    <x v="6"/>
    <x v="21"/>
    <n v="1"/>
  </r>
  <r>
    <x v="6"/>
    <x v="22"/>
    <n v="0"/>
  </r>
  <r>
    <x v="6"/>
    <x v="23"/>
    <n v="0"/>
  </r>
  <r>
    <x v="6"/>
    <x v="24"/>
    <n v="0"/>
  </r>
  <r>
    <x v="6"/>
    <x v="25"/>
    <n v="0"/>
  </r>
  <r>
    <x v="6"/>
    <x v="26"/>
    <n v="0"/>
  </r>
  <r>
    <x v="6"/>
    <x v="27"/>
    <n v="1"/>
  </r>
  <r>
    <x v="6"/>
    <x v="28"/>
    <n v="0"/>
  </r>
  <r>
    <x v="6"/>
    <x v="29"/>
    <n v="0"/>
  </r>
  <r>
    <x v="6"/>
    <x v="30"/>
    <n v="1"/>
  </r>
  <r>
    <x v="6"/>
    <x v="31"/>
    <n v="1"/>
  </r>
  <r>
    <x v="6"/>
    <x v="32"/>
    <n v="0"/>
  </r>
  <r>
    <x v="6"/>
    <x v="33"/>
    <n v="0"/>
  </r>
  <r>
    <x v="6"/>
    <x v="34"/>
    <n v="0"/>
  </r>
  <r>
    <x v="6"/>
    <x v="35"/>
    <n v="1"/>
  </r>
  <r>
    <x v="6"/>
    <x v="36"/>
    <n v="0"/>
  </r>
  <r>
    <x v="6"/>
    <x v="37"/>
    <n v="1"/>
  </r>
  <r>
    <x v="6"/>
    <x v="38"/>
    <n v="0"/>
  </r>
  <r>
    <x v="6"/>
    <x v="39"/>
    <n v="1"/>
  </r>
  <r>
    <x v="6"/>
    <x v="40"/>
    <n v="0"/>
  </r>
  <r>
    <x v="6"/>
    <x v="41"/>
    <n v="1"/>
  </r>
  <r>
    <x v="6"/>
    <x v="42"/>
    <n v="1"/>
  </r>
  <r>
    <x v="6"/>
    <x v="43"/>
    <n v="1"/>
  </r>
  <r>
    <x v="6"/>
    <x v="44"/>
    <n v="1"/>
  </r>
  <r>
    <x v="6"/>
    <x v="45"/>
    <n v="0"/>
  </r>
  <r>
    <x v="6"/>
    <x v="46"/>
    <n v="0"/>
  </r>
  <r>
    <x v="6"/>
    <x v="47"/>
    <n v="0"/>
  </r>
  <r>
    <x v="6"/>
    <x v="48"/>
    <n v="1"/>
  </r>
  <r>
    <x v="6"/>
    <x v="49"/>
    <n v="1"/>
  </r>
  <r>
    <x v="6"/>
    <x v="50"/>
    <n v="1"/>
  </r>
  <r>
    <x v="6"/>
    <x v="51"/>
    <n v="1"/>
  </r>
  <r>
    <x v="6"/>
    <x v="52"/>
    <n v="1"/>
  </r>
  <r>
    <x v="6"/>
    <x v="53"/>
    <n v="0"/>
  </r>
  <r>
    <x v="6"/>
    <x v="54"/>
    <n v="1"/>
  </r>
  <r>
    <x v="6"/>
    <x v="55"/>
    <n v="1"/>
  </r>
  <r>
    <x v="6"/>
    <x v="56"/>
    <n v="1"/>
  </r>
  <r>
    <x v="7"/>
    <x v="0"/>
    <n v="0"/>
  </r>
  <r>
    <x v="7"/>
    <x v="1"/>
    <n v="0"/>
  </r>
  <r>
    <x v="7"/>
    <x v="2"/>
    <n v="0"/>
  </r>
  <r>
    <x v="7"/>
    <x v="3"/>
    <n v="1"/>
  </r>
  <r>
    <x v="7"/>
    <x v="4"/>
    <n v="0"/>
  </r>
  <r>
    <x v="7"/>
    <x v="5"/>
    <n v="1"/>
  </r>
  <r>
    <x v="7"/>
    <x v="6"/>
    <n v="0"/>
  </r>
  <r>
    <x v="7"/>
    <x v="7"/>
    <n v="0"/>
  </r>
  <r>
    <x v="7"/>
    <x v="8"/>
    <n v="0"/>
  </r>
  <r>
    <x v="7"/>
    <x v="9"/>
    <n v="1"/>
  </r>
  <r>
    <x v="7"/>
    <x v="10"/>
    <n v="0"/>
  </r>
  <r>
    <x v="7"/>
    <x v="11"/>
    <n v="0"/>
  </r>
  <r>
    <x v="7"/>
    <x v="12"/>
    <n v="0"/>
  </r>
  <r>
    <x v="7"/>
    <x v="13"/>
    <n v="1"/>
  </r>
  <r>
    <x v="7"/>
    <x v="14"/>
    <n v="1"/>
  </r>
  <r>
    <x v="7"/>
    <x v="15"/>
    <n v="0"/>
  </r>
  <r>
    <x v="7"/>
    <x v="16"/>
    <n v="0"/>
  </r>
  <r>
    <x v="7"/>
    <x v="17"/>
    <n v="1"/>
  </r>
  <r>
    <x v="7"/>
    <x v="18"/>
    <n v="0"/>
  </r>
  <r>
    <x v="7"/>
    <x v="19"/>
    <n v="0"/>
  </r>
  <r>
    <x v="7"/>
    <x v="20"/>
    <n v="1"/>
  </r>
  <r>
    <x v="7"/>
    <x v="21"/>
    <n v="0"/>
  </r>
  <r>
    <x v="7"/>
    <x v="22"/>
    <n v="0"/>
  </r>
  <r>
    <x v="7"/>
    <x v="23"/>
    <n v="0"/>
  </r>
  <r>
    <x v="7"/>
    <x v="24"/>
    <n v="0"/>
  </r>
  <r>
    <x v="7"/>
    <x v="25"/>
    <n v="0"/>
  </r>
  <r>
    <x v="7"/>
    <x v="26"/>
    <n v="1"/>
  </r>
  <r>
    <x v="7"/>
    <x v="27"/>
    <n v="1"/>
  </r>
  <r>
    <x v="7"/>
    <x v="28"/>
    <n v="0"/>
  </r>
  <r>
    <x v="7"/>
    <x v="29"/>
    <n v="0"/>
  </r>
  <r>
    <x v="7"/>
    <x v="30"/>
    <n v="1"/>
  </r>
  <r>
    <x v="7"/>
    <x v="31"/>
    <n v="1"/>
  </r>
  <r>
    <x v="7"/>
    <x v="32"/>
    <n v="0"/>
  </r>
  <r>
    <x v="7"/>
    <x v="33"/>
    <n v="1"/>
  </r>
  <r>
    <x v="7"/>
    <x v="34"/>
    <n v="0"/>
  </r>
  <r>
    <x v="7"/>
    <x v="35"/>
    <n v="1"/>
  </r>
  <r>
    <x v="7"/>
    <x v="36"/>
    <n v="0"/>
  </r>
  <r>
    <x v="7"/>
    <x v="37"/>
    <n v="1"/>
  </r>
  <r>
    <x v="7"/>
    <x v="38"/>
    <n v="0"/>
  </r>
  <r>
    <x v="7"/>
    <x v="39"/>
    <n v="0"/>
  </r>
  <r>
    <x v="7"/>
    <x v="40"/>
    <n v="0"/>
  </r>
  <r>
    <x v="7"/>
    <x v="41"/>
    <n v="0"/>
  </r>
  <r>
    <x v="7"/>
    <x v="42"/>
    <n v="0"/>
  </r>
  <r>
    <x v="7"/>
    <x v="43"/>
    <n v="1"/>
  </r>
  <r>
    <x v="7"/>
    <x v="44"/>
    <n v="1"/>
  </r>
  <r>
    <x v="7"/>
    <x v="45"/>
    <n v="1"/>
  </r>
  <r>
    <x v="7"/>
    <x v="46"/>
    <n v="1"/>
  </r>
  <r>
    <x v="7"/>
    <x v="47"/>
    <n v="0"/>
  </r>
  <r>
    <x v="7"/>
    <x v="48"/>
    <n v="1"/>
  </r>
  <r>
    <x v="7"/>
    <x v="49"/>
    <n v="0"/>
  </r>
  <r>
    <x v="7"/>
    <x v="50"/>
    <n v="1"/>
  </r>
  <r>
    <x v="7"/>
    <x v="51"/>
    <n v="1"/>
  </r>
  <r>
    <x v="7"/>
    <x v="52"/>
    <n v="1"/>
  </r>
  <r>
    <x v="7"/>
    <x v="53"/>
    <n v="0"/>
  </r>
  <r>
    <x v="7"/>
    <x v="54"/>
    <n v="1"/>
  </r>
  <r>
    <x v="7"/>
    <x v="55"/>
    <n v="1"/>
  </r>
  <r>
    <x v="7"/>
    <x v="56"/>
    <n v="1"/>
  </r>
  <r>
    <x v="8"/>
    <x v="0"/>
    <n v="1"/>
  </r>
  <r>
    <x v="8"/>
    <x v="1"/>
    <n v="1"/>
  </r>
  <r>
    <x v="8"/>
    <x v="2"/>
    <n v="0"/>
  </r>
  <r>
    <x v="8"/>
    <x v="3"/>
    <n v="0"/>
  </r>
  <r>
    <x v="8"/>
    <x v="4"/>
    <n v="0"/>
  </r>
  <r>
    <x v="8"/>
    <x v="5"/>
    <n v="1"/>
  </r>
  <r>
    <x v="8"/>
    <x v="6"/>
    <n v="1"/>
  </r>
  <r>
    <x v="8"/>
    <x v="7"/>
    <n v="0"/>
  </r>
  <r>
    <x v="8"/>
    <x v="8"/>
    <n v="1"/>
  </r>
  <r>
    <x v="8"/>
    <x v="9"/>
    <n v="1"/>
  </r>
  <r>
    <x v="8"/>
    <x v="10"/>
    <n v="1"/>
  </r>
  <r>
    <x v="8"/>
    <x v="11"/>
    <n v="1"/>
  </r>
  <r>
    <x v="8"/>
    <x v="12"/>
    <n v="0"/>
  </r>
  <r>
    <x v="8"/>
    <x v="13"/>
    <n v="0"/>
  </r>
  <r>
    <x v="8"/>
    <x v="14"/>
    <n v="1"/>
  </r>
  <r>
    <x v="8"/>
    <x v="15"/>
    <n v="0"/>
  </r>
  <r>
    <x v="8"/>
    <x v="16"/>
    <n v="0"/>
  </r>
  <r>
    <x v="8"/>
    <x v="17"/>
    <n v="0"/>
  </r>
  <r>
    <x v="8"/>
    <x v="18"/>
    <n v="1"/>
  </r>
  <r>
    <x v="8"/>
    <x v="19"/>
    <n v="0"/>
  </r>
  <r>
    <x v="8"/>
    <x v="20"/>
    <n v="0"/>
  </r>
  <r>
    <x v="8"/>
    <x v="21"/>
    <n v="0"/>
  </r>
  <r>
    <x v="8"/>
    <x v="22"/>
    <n v="0"/>
  </r>
  <r>
    <x v="8"/>
    <x v="23"/>
    <n v="0"/>
  </r>
  <r>
    <x v="8"/>
    <x v="24"/>
    <n v="0"/>
  </r>
  <r>
    <x v="8"/>
    <x v="25"/>
    <n v="0"/>
  </r>
  <r>
    <x v="8"/>
    <x v="26"/>
    <n v="1"/>
  </r>
  <r>
    <x v="8"/>
    <x v="27"/>
    <n v="1"/>
  </r>
  <r>
    <x v="8"/>
    <x v="28"/>
    <n v="0"/>
  </r>
  <r>
    <x v="8"/>
    <x v="29"/>
    <n v="0"/>
  </r>
  <r>
    <x v="8"/>
    <x v="30"/>
    <n v="1"/>
  </r>
  <r>
    <x v="8"/>
    <x v="31"/>
    <n v="0"/>
  </r>
  <r>
    <x v="8"/>
    <x v="32"/>
    <n v="0"/>
  </r>
  <r>
    <x v="8"/>
    <x v="33"/>
    <n v="0"/>
  </r>
  <r>
    <x v="8"/>
    <x v="34"/>
    <n v="1"/>
  </r>
  <r>
    <x v="8"/>
    <x v="35"/>
    <n v="0"/>
  </r>
  <r>
    <x v="8"/>
    <x v="36"/>
    <n v="0"/>
  </r>
  <r>
    <x v="8"/>
    <x v="37"/>
    <n v="1"/>
  </r>
  <r>
    <x v="8"/>
    <x v="38"/>
    <n v="1"/>
  </r>
  <r>
    <x v="8"/>
    <x v="39"/>
    <n v="0"/>
  </r>
  <r>
    <x v="8"/>
    <x v="40"/>
    <n v="0"/>
  </r>
  <r>
    <x v="8"/>
    <x v="41"/>
    <n v="0"/>
  </r>
  <r>
    <x v="8"/>
    <x v="42"/>
    <n v="0"/>
  </r>
  <r>
    <x v="8"/>
    <x v="43"/>
    <n v="1"/>
  </r>
  <r>
    <x v="8"/>
    <x v="44"/>
    <n v="1"/>
  </r>
  <r>
    <x v="8"/>
    <x v="45"/>
    <n v="1"/>
  </r>
  <r>
    <x v="8"/>
    <x v="46"/>
    <n v="0"/>
  </r>
  <r>
    <x v="8"/>
    <x v="47"/>
    <n v="1"/>
  </r>
  <r>
    <x v="8"/>
    <x v="48"/>
    <n v="0"/>
  </r>
  <r>
    <x v="8"/>
    <x v="49"/>
    <n v="1"/>
  </r>
  <r>
    <x v="8"/>
    <x v="50"/>
    <n v="1"/>
  </r>
  <r>
    <x v="8"/>
    <x v="51"/>
    <n v="1"/>
  </r>
  <r>
    <x v="8"/>
    <x v="52"/>
    <n v="1"/>
  </r>
  <r>
    <x v="8"/>
    <x v="53"/>
    <n v="1"/>
  </r>
  <r>
    <x v="8"/>
    <x v="54"/>
    <n v="1"/>
  </r>
  <r>
    <x v="8"/>
    <x v="55"/>
    <n v="1"/>
  </r>
  <r>
    <x v="8"/>
    <x v="56"/>
    <n v="1"/>
  </r>
  <r>
    <x v="9"/>
    <x v="0"/>
    <n v="1"/>
  </r>
  <r>
    <x v="9"/>
    <x v="1"/>
    <n v="1"/>
  </r>
  <r>
    <x v="9"/>
    <x v="2"/>
    <n v="0"/>
  </r>
  <r>
    <x v="9"/>
    <x v="3"/>
    <n v="0"/>
  </r>
  <r>
    <x v="9"/>
    <x v="4"/>
    <n v="0"/>
  </r>
  <r>
    <x v="9"/>
    <x v="5"/>
    <n v="1"/>
  </r>
  <r>
    <x v="9"/>
    <x v="6"/>
    <n v="0"/>
  </r>
  <r>
    <x v="9"/>
    <x v="7"/>
    <n v="1"/>
  </r>
  <r>
    <x v="9"/>
    <x v="8"/>
    <n v="1"/>
  </r>
  <r>
    <x v="9"/>
    <x v="9"/>
    <n v="0"/>
  </r>
  <r>
    <x v="9"/>
    <x v="10"/>
    <n v="1"/>
  </r>
  <r>
    <x v="9"/>
    <x v="11"/>
    <n v="0"/>
  </r>
  <r>
    <x v="9"/>
    <x v="12"/>
    <n v="0"/>
  </r>
  <r>
    <x v="9"/>
    <x v="13"/>
    <n v="0"/>
  </r>
  <r>
    <x v="9"/>
    <x v="14"/>
    <n v="0"/>
  </r>
  <r>
    <x v="9"/>
    <x v="15"/>
    <n v="0"/>
  </r>
  <r>
    <x v="9"/>
    <x v="16"/>
    <n v="0"/>
  </r>
  <r>
    <x v="9"/>
    <x v="17"/>
    <n v="1"/>
  </r>
  <r>
    <x v="9"/>
    <x v="18"/>
    <n v="0"/>
  </r>
  <r>
    <x v="9"/>
    <x v="19"/>
    <n v="0"/>
  </r>
  <r>
    <x v="9"/>
    <x v="20"/>
    <n v="0"/>
  </r>
  <r>
    <x v="9"/>
    <x v="21"/>
    <n v="0"/>
  </r>
  <r>
    <x v="9"/>
    <x v="22"/>
    <n v="0"/>
  </r>
  <r>
    <x v="9"/>
    <x v="23"/>
    <n v="1"/>
  </r>
  <r>
    <x v="9"/>
    <x v="24"/>
    <n v="0"/>
  </r>
  <r>
    <x v="9"/>
    <x v="25"/>
    <n v="0"/>
  </r>
  <r>
    <x v="9"/>
    <x v="26"/>
    <n v="1"/>
  </r>
  <r>
    <x v="9"/>
    <x v="27"/>
    <n v="1"/>
  </r>
  <r>
    <x v="9"/>
    <x v="28"/>
    <n v="1"/>
  </r>
  <r>
    <x v="9"/>
    <x v="29"/>
    <n v="0"/>
  </r>
  <r>
    <x v="9"/>
    <x v="30"/>
    <n v="1"/>
  </r>
  <r>
    <x v="9"/>
    <x v="31"/>
    <n v="1"/>
  </r>
  <r>
    <x v="9"/>
    <x v="32"/>
    <n v="0"/>
  </r>
  <r>
    <x v="9"/>
    <x v="33"/>
    <n v="0"/>
  </r>
  <r>
    <x v="9"/>
    <x v="34"/>
    <n v="1"/>
  </r>
  <r>
    <x v="9"/>
    <x v="35"/>
    <n v="1"/>
  </r>
  <r>
    <x v="9"/>
    <x v="36"/>
    <n v="0"/>
  </r>
  <r>
    <x v="9"/>
    <x v="37"/>
    <n v="1"/>
  </r>
  <r>
    <x v="9"/>
    <x v="38"/>
    <n v="0"/>
  </r>
  <r>
    <x v="9"/>
    <x v="39"/>
    <n v="0"/>
  </r>
  <r>
    <x v="9"/>
    <x v="40"/>
    <n v="0"/>
  </r>
  <r>
    <x v="9"/>
    <x v="41"/>
    <n v="0"/>
  </r>
  <r>
    <x v="9"/>
    <x v="42"/>
    <n v="0"/>
  </r>
  <r>
    <x v="9"/>
    <x v="43"/>
    <n v="1"/>
  </r>
  <r>
    <x v="9"/>
    <x v="44"/>
    <n v="1"/>
  </r>
  <r>
    <x v="9"/>
    <x v="45"/>
    <n v="0"/>
  </r>
  <r>
    <x v="9"/>
    <x v="46"/>
    <n v="0"/>
  </r>
  <r>
    <x v="9"/>
    <x v="47"/>
    <n v="0"/>
  </r>
  <r>
    <x v="9"/>
    <x v="48"/>
    <n v="1"/>
  </r>
  <r>
    <x v="9"/>
    <x v="49"/>
    <n v="0"/>
  </r>
  <r>
    <x v="9"/>
    <x v="50"/>
    <n v="0"/>
  </r>
  <r>
    <x v="9"/>
    <x v="51"/>
    <n v="1"/>
  </r>
  <r>
    <x v="9"/>
    <x v="52"/>
    <n v="1"/>
  </r>
  <r>
    <x v="9"/>
    <x v="53"/>
    <n v="1"/>
  </r>
  <r>
    <x v="9"/>
    <x v="54"/>
    <n v="1"/>
  </r>
  <r>
    <x v="9"/>
    <x v="55"/>
    <n v="0"/>
  </r>
  <r>
    <x v="9"/>
    <x v="56"/>
    <n v="1"/>
  </r>
  <r>
    <x v="10"/>
    <x v="0"/>
    <n v="1"/>
  </r>
  <r>
    <x v="10"/>
    <x v="1"/>
    <n v="0"/>
  </r>
  <r>
    <x v="10"/>
    <x v="2"/>
    <n v="0"/>
  </r>
  <r>
    <x v="10"/>
    <x v="3"/>
    <n v="0"/>
  </r>
  <r>
    <x v="10"/>
    <x v="4"/>
    <n v="0"/>
  </r>
  <r>
    <x v="10"/>
    <x v="5"/>
    <n v="1"/>
  </r>
  <r>
    <x v="10"/>
    <x v="6"/>
    <n v="1"/>
  </r>
  <r>
    <x v="10"/>
    <x v="7"/>
    <n v="1"/>
  </r>
  <r>
    <x v="10"/>
    <x v="8"/>
    <n v="1"/>
  </r>
  <r>
    <x v="10"/>
    <x v="9"/>
    <n v="1"/>
  </r>
  <r>
    <x v="10"/>
    <x v="10"/>
    <n v="1"/>
  </r>
  <r>
    <x v="10"/>
    <x v="11"/>
    <n v="1"/>
  </r>
  <r>
    <x v="10"/>
    <x v="12"/>
    <n v="1"/>
  </r>
  <r>
    <x v="10"/>
    <x v="13"/>
    <n v="1"/>
  </r>
  <r>
    <x v="10"/>
    <x v="14"/>
    <n v="1"/>
  </r>
  <r>
    <x v="10"/>
    <x v="15"/>
    <n v="1"/>
  </r>
  <r>
    <x v="10"/>
    <x v="16"/>
    <n v="0"/>
  </r>
  <r>
    <x v="10"/>
    <x v="17"/>
    <n v="1"/>
  </r>
  <r>
    <x v="10"/>
    <x v="18"/>
    <n v="0"/>
  </r>
  <r>
    <x v="10"/>
    <x v="19"/>
    <n v="0"/>
  </r>
  <r>
    <x v="10"/>
    <x v="20"/>
    <n v="1"/>
  </r>
  <r>
    <x v="10"/>
    <x v="21"/>
    <n v="0"/>
  </r>
  <r>
    <x v="10"/>
    <x v="22"/>
    <n v="0"/>
  </r>
  <r>
    <x v="10"/>
    <x v="23"/>
    <n v="0"/>
  </r>
  <r>
    <x v="10"/>
    <x v="24"/>
    <n v="0"/>
  </r>
  <r>
    <x v="10"/>
    <x v="25"/>
    <n v="0"/>
  </r>
  <r>
    <x v="10"/>
    <x v="26"/>
    <n v="0"/>
  </r>
  <r>
    <x v="10"/>
    <x v="27"/>
    <n v="1"/>
  </r>
  <r>
    <x v="10"/>
    <x v="28"/>
    <n v="1"/>
  </r>
  <r>
    <x v="10"/>
    <x v="29"/>
    <n v="0"/>
  </r>
  <r>
    <x v="10"/>
    <x v="30"/>
    <n v="1"/>
  </r>
  <r>
    <x v="10"/>
    <x v="31"/>
    <n v="1"/>
  </r>
  <r>
    <x v="10"/>
    <x v="32"/>
    <n v="0"/>
  </r>
  <r>
    <x v="10"/>
    <x v="33"/>
    <n v="0"/>
  </r>
  <r>
    <x v="10"/>
    <x v="34"/>
    <n v="1"/>
  </r>
  <r>
    <x v="10"/>
    <x v="35"/>
    <n v="1"/>
  </r>
  <r>
    <x v="10"/>
    <x v="36"/>
    <n v="0"/>
  </r>
  <r>
    <x v="10"/>
    <x v="37"/>
    <n v="1"/>
  </r>
  <r>
    <x v="10"/>
    <x v="38"/>
    <n v="0"/>
  </r>
  <r>
    <x v="10"/>
    <x v="39"/>
    <n v="0"/>
  </r>
  <r>
    <x v="10"/>
    <x v="40"/>
    <n v="0"/>
  </r>
  <r>
    <x v="10"/>
    <x v="41"/>
    <n v="0"/>
  </r>
  <r>
    <x v="10"/>
    <x v="42"/>
    <n v="1"/>
  </r>
  <r>
    <x v="10"/>
    <x v="43"/>
    <n v="1"/>
  </r>
  <r>
    <x v="10"/>
    <x v="44"/>
    <n v="1"/>
  </r>
  <r>
    <x v="10"/>
    <x v="45"/>
    <n v="1"/>
  </r>
  <r>
    <x v="10"/>
    <x v="46"/>
    <n v="1"/>
  </r>
  <r>
    <x v="10"/>
    <x v="47"/>
    <n v="1"/>
  </r>
  <r>
    <x v="10"/>
    <x v="48"/>
    <n v="1"/>
  </r>
  <r>
    <x v="10"/>
    <x v="49"/>
    <n v="0"/>
  </r>
  <r>
    <x v="10"/>
    <x v="50"/>
    <n v="1"/>
  </r>
  <r>
    <x v="10"/>
    <x v="51"/>
    <n v="1"/>
  </r>
  <r>
    <x v="10"/>
    <x v="52"/>
    <n v="1"/>
  </r>
  <r>
    <x v="10"/>
    <x v="53"/>
    <n v="1"/>
  </r>
  <r>
    <x v="10"/>
    <x v="54"/>
    <n v="1"/>
  </r>
  <r>
    <x v="10"/>
    <x v="55"/>
    <n v="1"/>
  </r>
  <r>
    <x v="10"/>
    <x v="56"/>
    <n v="1"/>
  </r>
  <r>
    <x v="11"/>
    <x v="0"/>
    <n v="1"/>
  </r>
  <r>
    <x v="11"/>
    <x v="1"/>
    <n v="1"/>
  </r>
  <r>
    <x v="11"/>
    <x v="2"/>
    <n v="0"/>
  </r>
  <r>
    <x v="11"/>
    <x v="3"/>
    <n v="1"/>
  </r>
  <r>
    <x v="11"/>
    <x v="4"/>
    <n v="0"/>
  </r>
  <r>
    <x v="11"/>
    <x v="5"/>
    <n v="1"/>
  </r>
  <r>
    <x v="11"/>
    <x v="6"/>
    <n v="0"/>
  </r>
  <r>
    <x v="11"/>
    <x v="7"/>
    <n v="1"/>
  </r>
  <r>
    <x v="11"/>
    <x v="8"/>
    <n v="1"/>
  </r>
  <r>
    <x v="11"/>
    <x v="9"/>
    <n v="1"/>
  </r>
  <r>
    <x v="11"/>
    <x v="10"/>
    <n v="1"/>
  </r>
  <r>
    <x v="11"/>
    <x v="11"/>
    <n v="1"/>
  </r>
  <r>
    <x v="11"/>
    <x v="12"/>
    <n v="1"/>
  </r>
  <r>
    <x v="11"/>
    <x v="13"/>
    <n v="1"/>
  </r>
  <r>
    <x v="11"/>
    <x v="14"/>
    <n v="1"/>
  </r>
  <r>
    <x v="11"/>
    <x v="15"/>
    <n v="0"/>
  </r>
  <r>
    <x v="11"/>
    <x v="16"/>
    <n v="0"/>
  </r>
  <r>
    <x v="11"/>
    <x v="17"/>
    <n v="1"/>
  </r>
  <r>
    <x v="11"/>
    <x v="18"/>
    <n v="0"/>
  </r>
  <r>
    <x v="11"/>
    <x v="19"/>
    <n v="1"/>
  </r>
  <r>
    <x v="11"/>
    <x v="20"/>
    <n v="1"/>
  </r>
  <r>
    <x v="11"/>
    <x v="21"/>
    <n v="1"/>
  </r>
  <r>
    <x v="11"/>
    <x v="22"/>
    <n v="0"/>
  </r>
  <r>
    <x v="11"/>
    <x v="23"/>
    <n v="0"/>
  </r>
  <r>
    <x v="11"/>
    <x v="24"/>
    <n v="1"/>
  </r>
  <r>
    <x v="11"/>
    <x v="25"/>
    <n v="0"/>
  </r>
  <r>
    <x v="11"/>
    <x v="26"/>
    <n v="1"/>
  </r>
  <r>
    <x v="11"/>
    <x v="27"/>
    <n v="1"/>
  </r>
  <r>
    <x v="11"/>
    <x v="28"/>
    <n v="0"/>
  </r>
  <r>
    <x v="11"/>
    <x v="29"/>
    <n v="1"/>
  </r>
  <r>
    <x v="11"/>
    <x v="30"/>
    <n v="1"/>
  </r>
  <r>
    <x v="11"/>
    <x v="31"/>
    <n v="1"/>
  </r>
  <r>
    <x v="11"/>
    <x v="32"/>
    <n v="0"/>
  </r>
  <r>
    <x v="11"/>
    <x v="33"/>
    <n v="1"/>
  </r>
  <r>
    <x v="11"/>
    <x v="34"/>
    <n v="1"/>
  </r>
  <r>
    <x v="11"/>
    <x v="35"/>
    <n v="1"/>
  </r>
  <r>
    <x v="11"/>
    <x v="36"/>
    <n v="1"/>
  </r>
  <r>
    <x v="11"/>
    <x v="37"/>
    <n v="1"/>
  </r>
  <r>
    <x v="11"/>
    <x v="38"/>
    <n v="1"/>
  </r>
  <r>
    <x v="11"/>
    <x v="39"/>
    <n v="0"/>
  </r>
  <r>
    <x v="11"/>
    <x v="40"/>
    <n v="0"/>
  </r>
  <r>
    <x v="11"/>
    <x v="41"/>
    <n v="0"/>
  </r>
  <r>
    <x v="11"/>
    <x v="42"/>
    <n v="1"/>
  </r>
  <r>
    <x v="11"/>
    <x v="43"/>
    <n v="1"/>
  </r>
  <r>
    <x v="11"/>
    <x v="44"/>
    <n v="1"/>
  </r>
  <r>
    <x v="11"/>
    <x v="45"/>
    <n v="1"/>
  </r>
  <r>
    <x v="11"/>
    <x v="46"/>
    <n v="1"/>
  </r>
  <r>
    <x v="11"/>
    <x v="47"/>
    <n v="1"/>
  </r>
  <r>
    <x v="11"/>
    <x v="48"/>
    <n v="1"/>
  </r>
  <r>
    <x v="11"/>
    <x v="49"/>
    <n v="1"/>
  </r>
  <r>
    <x v="11"/>
    <x v="50"/>
    <n v="1"/>
  </r>
  <r>
    <x v="11"/>
    <x v="51"/>
    <n v="1"/>
  </r>
  <r>
    <x v="11"/>
    <x v="52"/>
    <n v="1"/>
  </r>
  <r>
    <x v="11"/>
    <x v="53"/>
    <n v="0"/>
  </r>
  <r>
    <x v="11"/>
    <x v="54"/>
    <n v="1"/>
  </r>
  <r>
    <x v="11"/>
    <x v="55"/>
    <n v="1"/>
  </r>
  <r>
    <x v="11"/>
    <x v="56"/>
    <n v="1"/>
  </r>
  <r>
    <x v="12"/>
    <x v="0"/>
    <n v="0"/>
  </r>
  <r>
    <x v="12"/>
    <x v="1"/>
    <n v="0"/>
  </r>
  <r>
    <x v="12"/>
    <x v="2"/>
    <n v="1"/>
  </r>
  <r>
    <x v="12"/>
    <x v="3"/>
    <n v="0"/>
  </r>
  <r>
    <x v="12"/>
    <x v="4"/>
    <n v="0"/>
  </r>
  <r>
    <x v="12"/>
    <x v="5"/>
    <n v="0"/>
  </r>
  <r>
    <x v="12"/>
    <x v="6"/>
    <n v="0"/>
  </r>
  <r>
    <x v="12"/>
    <x v="7"/>
    <n v="0"/>
  </r>
  <r>
    <x v="12"/>
    <x v="8"/>
    <n v="1"/>
  </r>
  <r>
    <x v="12"/>
    <x v="9"/>
    <n v="1"/>
  </r>
  <r>
    <x v="12"/>
    <x v="10"/>
    <n v="1"/>
  </r>
  <r>
    <x v="12"/>
    <x v="11"/>
    <n v="1"/>
  </r>
  <r>
    <x v="12"/>
    <x v="12"/>
    <n v="1"/>
  </r>
  <r>
    <x v="12"/>
    <x v="13"/>
    <n v="1"/>
  </r>
  <r>
    <x v="12"/>
    <x v="14"/>
    <n v="1"/>
  </r>
  <r>
    <x v="12"/>
    <x v="15"/>
    <n v="0"/>
  </r>
  <r>
    <x v="12"/>
    <x v="16"/>
    <n v="0"/>
  </r>
  <r>
    <x v="12"/>
    <x v="17"/>
    <n v="1"/>
  </r>
  <r>
    <x v="12"/>
    <x v="18"/>
    <n v="0"/>
  </r>
  <r>
    <x v="12"/>
    <x v="19"/>
    <n v="0"/>
  </r>
  <r>
    <x v="12"/>
    <x v="20"/>
    <n v="1"/>
  </r>
  <r>
    <x v="12"/>
    <x v="21"/>
    <n v="1"/>
  </r>
  <r>
    <x v="12"/>
    <x v="22"/>
    <n v="0"/>
  </r>
  <r>
    <x v="12"/>
    <x v="23"/>
    <n v="0"/>
  </r>
  <r>
    <x v="12"/>
    <x v="24"/>
    <n v="1"/>
  </r>
  <r>
    <x v="12"/>
    <x v="25"/>
    <n v="0"/>
  </r>
  <r>
    <x v="12"/>
    <x v="26"/>
    <n v="1"/>
  </r>
  <r>
    <x v="12"/>
    <x v="27"/>
    <n v="1"/>
  </r>
  <r>
    <x v="12"/>
    <x v="28"/>
    <n v="0"/>
  </r>
  <r>
    <x v="12"/>
    <x v="29"/>
    <n v="0"/>
  </r>
  <r>
    <x v="12"/>
    <x v="30"/>
    <n v="1"/>
  </r>
  <r>
    <x v="12"/>
    <x v="31"/>
    <n v="1"/>
  </r>
  <r>
    <x v="12"/>
    <x v="32"/>
    <n v="0"/>
  </r>
  <r>
    <x v="12"/>
    <x v="33"/>
    <n v="1"/>
  </r>
  <r>
    <x v="12"/>
    <x v="34"/>
    <n v="1"/>
  </r>
  <r>
    <x v="12"/>
    <x v="35"/>
    <n v="1"/>
  </r>
  <r>
    <x v="12"/>
    <x v="36"/>
    <n v="1"/>
  </r>
  <r>
    <x v="12"/>
    <x v="37"/>
    <n v="1"/>
  </r>
  <r>
    <x v="12"/>
    <x v="38"/>
    <n v="0"/>
  </r>
  <r>
    <x v="12"/>
    <x v="39"/>
    <n v="0"/>
  </r>
  <r>
    <x v="12"/>
    <x v="40"/>
    <n v="0"/>
  </r>
  <r>
    <x v="12"/>
    <x v="41"/>
    <n v="1"/>
  </r>
  <r>
    <x v="12"/>
    <x v="42"/>
    <n v="1"/>
  </r>
  <r>
    <x v="12"/>
    <x v="43"/>
    <n v="1"/>
  </r>
  <r>
    <x v="12"/>
    <x v="44"/>
    <n v="1"/>
  </r>
  <r>
    <x v="12"/>
    <x v="45"/>
    <n v="1"/>
  </r>
  <r>
    <x v="12"/>
    <x v="46"/>
    <n v="1"/>
  </r>
  <r>
    <x v="12"/>
    <x v="47"/>
    <n v="1"/>
  </r>
  <r>
    <x v="12"/>
    <x v="48"/>
    <n v="1"/>
  </r>
  <r>
    <x v="12"/>
    <x v="49"/>
    <n v="1"/>
  </r>
  <r>
    <x v="12"/>
    <x v="50"/>
    <n v="1"/>
  </r>
  <r>
    <x v="12"/>
    <x v="51"/>
    <n v="1"/>
  </r>
  <r>
    <x v="12"/>
    <x v="52"/>
    <n v="1"/>
  </r>
  <r>
    <x v="12"/>
    <x v="53"/>
    <n v="1"/>
  </r>
  <r>
    <x v="12"/>
    <x v="54"/>
    <n v="1"/>
  </r>
  <r>
    <x v="12"/>
    <x v="55"/>
    <n v="1"/>
  </r>
  <r>
    <x v="12"/>
    <x v="56"/>
    <n v="1"/>
  </r>
  <r>
    <x v="13"/>
    <x v="0"/>
    <n v="0"/>
  </r>
  <r>
    <x v="13"/>
    <x v="1"/>
    <n v="0"/>
  </r>
  <r>
    <x v="13"/>
    <x v="2"/>
    <n v="0"/>
  </r>
  <r>
    <x v="13"/>
    <x v="3"/>
    <n v="0"/>
  </r>
  <r>
    <x v="13"/>
    <x v="4"/>
    <n v="0"/>
  </r>
  <r>
    <x v="13"/>
    <x v="5"/>
    <n v="0"/>
  </r>
  <r>
    <x v="13"/>
    <x v="6"/>
    <n v="0"/>
  </r>
  <r>
    <x v="13"/>
    <x v="7"/>
    <n v="0"/>
  </r>
  <r>
    <x v="13"/>
    <x v="8"/>
    <n v="1"/>
  </r>
  <r>
    <x v="13"/>
    <x v="9"/>
    <n v="1"/>
  </r>
  <r>
    <x v="13"/>
    <x v="10"/>
    <n v="1"/>
  </r>
  <r>
    <x v="13"/>
    <x v="11"/>
    <n v="1"/>
  </r>
  <r>
    <x v="13"/>
    <x v="12"/>
    <n v="1"/>
  </r>
  <r>
    <x v="13"/>
    <x v="13"/>
    <n v="1"/>
  </r>
  <r>
    <x v="13"/>
    <x v="14"/>
    <n v="1"/>
  </r>
  <r>
    <x v="13"/>
    <x v="15"/>
    <n v="0"/>
  </r>
  <r>
    <x v="13"/>
    <x v="16"/>
    <n v="0"/>
  </r>
  <r>
    <x v="13"/>
    <x v="17"/>
    <n v="1"/>
  </r>
  <r>
    <x v="13"/>
    <x v="18"/>
    <n v="0"/>
  </r>
  <r>
    <x v="13"/>
    <x v="19"/>
    <n v="0"/>
  </r>
  <r>
    <x v="13"/>
    <x v="20"/>
    <n v="0"/>
  </r>
  <r>
    <x v="13"/>
    <x v="21"/>
    <n v="0"/>
  </r>
  <r>
    <x v="13"/>
    <x v="22"/>
    <n v="0"/>
  </r>
  <r>
    <x v="13"/>
    <x v="23"/>
    <n v="0"/>
  </r>
  <r>
    <x v="13"/>
    <x v="24"/>
    <n v="0"/>
  </r>
  <r>
    <x v="13"/>
    <x v="25"/>
    <n v="0"/>
  </r>
  <r>
    <x v="13"/>
    <x v="26"/>
    <n v="0"/>
  </r>
  <r>
    <x v="13"/>
    <x v="27"/>
    <n v="1"/>
  </r>
  <r>
    <x v="13"/>
    <x v="28"/>
    <n v="0"/>
  </r>
  <r>
    <x v="13"/>
    <x v="29"/>
    <n v="0"/>
  </r>
  <r>
    <x v="13"/>
    <x v="30"/>
    <n v="1"/>
  </r>
  <r>
    <x v="13"/>
    <x v="31"/>
    <n v="1"/>
  </r>
  <r>
    <x v="13"/>
    <x v="32"/>
    <n v="0"/>
  </r>
  <r>
    <x v="13"/>
    <x v="33"/>
    <n v="1"/>
  </r>
  <r>
    <x v="13"/>
    <x v="34"/>
    <n v="1"/>
  </r>
  <r>
    <x v="13"/>
    <x v="35"/>
    <n v="1"/>
  </r>
  <r>
    <x v="13"/>
    <x v="36"/>
    <n v="0"/>
  </r>
  <r>
    <x v="13"/>
    <x v="37"/>
    <n v="1"/>
  </r>
  <r>
    <x v="13"/>
    <x v="38"/>
    <n v="0"/>
  </r>
  <r>
    <x v="13"/>
    <x v="39"/>
    <n v="0"/>
  </r>
  <r>
    <x v="13"/>
    <x v="40"/>
    <n v="0"/>
  </r>
  <r>
    <x v="13"/>
    <x v="41"/>
    <n v="0"/>
  </r>
  <r>
    <x v="13"/>
    <x v="42"/>
    <n v="1"/>
  </r>
  <r>
    <x v="13"/>
    <x v="43"/>
    <n v="1"/>
  </r>
  <r>
    <x v="13"/>
    <x v="44"/>
    <n v="1"/>
  </r>
  <r>
    <x v="13"/>
    <x v="45"/>
    <n v="1"/>
  </r>
  <r>
    <x v="13"/>
    <x v="46"/>
    <n v="1"/>
  </r>
  <r>
    <x v="13"/>
    <x v="47"/>
    <n v="0"/>
  </r>
  <r>
    <x v="13"/>
    <x v="48"/>
    <n v="1"/>
  </r>
  <r>
    <x v="13"/>
    <x v="49"/>
    <n v="1"/>
  </r>
  <r>
    <x v="13"/>
    <x v="50"/>
    <n v="1"/>
  </r>
  <r>
    <x v="13"/>
    <x v="51"/>
    <n v="1"/>
  </r>
  <r>
    <x v="13"/>
    <x v="52"/>
    <n v="1"/>
  </r>
  <r>
    <x v="13"/>
    <x v="53"/>
    <n v="1"/>
  </r>
  <r>
    <x v="13"/>
    <x v="54"/>
    <n v="1"/>
  </r>
  <r>
    <x v="13"/>
    <x v="55"/>
    <n v="1"/>
  </r>
  <r>
    <x v="13"/>
    <x v="56"/>
    <n v="1"/>
  </r>
  <r>
    <x v="14"/>
    <x v="0"/>
    <n v="1"/>
  </r>
  <r>
    <x v="14"/>
    <x v="1"/>
    <n v="1"/>
  </r>
  <r>
    <x v="14"/>
    <x v="2"/>
    <n v="0"/>
  </r>
  <r>
    <x v="14"/>
    <x v="3"/>
    <n v="0"/>
  </r>
  <r>
    <x v="14"/>
    <x v="4"/>
    <n v="0"/>
  </r>
  <r>
    <x v="14"/>
    <x v="5"/>
    <n v="1"/>
  </r>
  <r>
    <x v="14"/>
    <x v="6"/>
    <n v="0"/>
  </r>
  <r>
    <x v="14"/>
    <x v="7"/>
    <n v="0"/>
  </r>
  <r>
    <x v="14"/>
    <x v="8"/>
    <n v="0"/>
  </r>
  <r>
    <x v="14"/>
    <x v="9"/>
    <n v="1"/>
  </r>
  <r>
    <x v="14"/>
    <x v="10"/>
    <n v="0"/>
  </r>
  <r>
    <x v="14"/>
    <x v="11"/>
    <n v="1"/>
  </r>
  <r>
    <x v="14"/>
    <x v="12"/>
    <n v="0"/>
  </r>
  <r>
    <x v="14"/>
    <x v="13"/>
    <n v="1"/>
  </r>
  <r>
    <x v="14"/>
    <x v="14"/>
    <n v="1"/>
  </r>
  <r>
    <x v="14"/>
    <x v="15"/>
    <n v="0"/>
  </r>
  <r>
    <x v="14"/>
    <x v="16"/>
    <n v="0"/>
  </r>
  <r>
    <x v="14"/>
    <x v="17"/>
    <n v="1"/>
  </r>
  <r>
    <x v="14"/>
    <x v="18"/>
    <n v="0"/>
  </r>
  <r>
    <x v="14"/>
    <x v="19"/>
    <n v="0"/>
  </r>
  <r>
    <x v="14"/>
    <x v="20"/>
    <n v="0"/>
  </r>
  <r>
    <x v="14"/>
    <x v="21"/>
    <n v="0"/>
  </r>
  <r>
    <x v="14"/>
    <x v="22"/>
    <n v="0"/>
  </r>
  <r>
    <x v="14"/>
    <x v="23"/>
    <n v="0"/>
  </r>
  <r>
    <x v="14"/>
    <x v="24"/>
    <n v="0"/>
  </r>
  <r>
    <x v="14"/>
    <x v="25"/>
    <n v="0"/>
  </r>
  <r>
    <x v="14"/>
    <x v="26"/>
    <n v="1"/>
  </r>
  <r>
    <x v="14"/>
    <x v="27"/>
    <n v="1"/>
  </r>
  <r>
    <x v="14"/>
    <x v="28"/>
    <n v="0"/>
  </r>
  <r>
    <x v="14"/>
    <x v="29"/>
    <n v="0"/>
  </r>
  <r>
    <x v="14"/>
    <x v="30"/>
    <n v="1"/>
  </r>
  <r>
    <x v="14"/>
    <x v="31"/>
    <n v="1"/>
  </r>
  <r>
    <x v="14"/>
    <x v="32"/>
    <n v="0"/>
  </r>
  <r>
    <x v="14"/>
    <x v="33"/>
    <n v="0"/>
  </r>
  <r>
    <x v="14"/>
    <x v="34"/>
    <n v="1"/>
  </r>
  <r>
    <x v="14"/>
    <x v="35"/>
    <n v="1"/>
  </r>
  <r>
    <x v="14"/>
    <x v="36"/>
    <n v="0"/>
  </r>
  <r>
    <x v="14"/>
    <x v="37"/>
    <n v="1"/>
  </r>
  <r>
    <x v="14"/>
    <x v="38"/>
    <n v="0"/>
  </r>
  <r>
    <x v="14"/>
    <x v="39"/>
    <n v="0"/>
  </r>
  <r>
    <x v="14"/>
    <x v="40"/>
    <n v="0"/>
  </r>
  <r>
    <x v="14"/>
    <x v="41"/>
    <n v="0"/>
  </r>
  <r>
    <x v="14"/>
    <x v="42"/>
    <n v="0"/>
  </r>
  <r>
    <x v="14"/>
    <x v="43"/>
    <n v="0"/>
  </r>
  <r>
    <x v="14"/>
    <x v="44"/>
    <n v="0"/>
  </r>
  <r>
    <x v="14"/>
    <x v="45"/>
    <n v="1"/>
  </r>
  <r>
    <x v="14"/>
    <x v="46"/>
    <n v="1"/>
  </r>
  <r>
    <x v="14"/>
    <x v="47"/>
    <n v="0"/>
  </r>
  <r>
    <x v="14"/>
    <x v="48"/>
    <n v="1"/>
  </r>
  <r>
    <x v="14"/>
    <x v="49"/>
    <n v="0"/>
  </r>
  <r>
    <x v="14"/>
    <x v="50"/>
    <n v="1"/>
  </r>
  <r>
    <x v="14"/>
    <x v="51"/>
    <n v="1"/>
  </r>
  <r>
    <x v="14"/>
    <x v="52"/>
    <n v="1"/>
  </r>
  <r>
    <x v="14"/>
    <x v="53"/>
    <n v="1"/>
  </r>
  <r>
    <x v="14"/>
    <x v="54"/>
    <n v="1"/>
  </r>
  <r>
    <x v="14"/>
    <x v="55"/>
    <n v="1"/>
  </r>
  <r>
    <x v="14"/>
    <x v="56"/>
    <n v="1"/>
  </r>
  <r>
    <x v="15"/>
    <x v="0"/>
    <n v="0"/>
  </r>
  <r>
    <x v="15"/>
    <x v="1"/>
    <n v="0"/>
  </r>
  <r>
    <x v="15"/>
    <x v="2"/>
    <n v="0"/>
  </r>
  <r>
    <x v="15"/>
    <x v="3"/>
    <n v="0"/>
  </r>
  <r>
    <x v="15"/>
    <x v="4"/>
    <n v="0"/>
  </r>
  <r>
    <x v="15"/>
    <x v="5"/>
    <n v="0"/>
  </r>
  <r>
    <x v="15"/>
    <x v="6"/>
    <n v="0"/>
  </r>
  <r>
    <x v="15"/>
    <x v="7"/>
    <n v="0"/>
  </r>
  <r>
    <x v="15"/>
    <x v="8"/>
    <n v="0"/>
  </r>
  <r>
    <x v="15"/>
    <x v="9"/>
    <n v="1"/>
  </r>
  <r>
    <x v="15"/>
    <x v="10"/>
    <n v="0"/>
  </r>
  <r>
    <x v="15"/>
    <x v="11"/>
    <n v="0"/>
  </r>
  <r>
    <x v="15"/>
    <x v="12"/>
    <n v="0"/>
  </r>
  <r>
    <x v="15"/>
    <x v="13"/>
    <n v="0"/>
  </r>
  <r>
    <x v="15"/>
    <x v="14"/>
    <n v="1"/>
  </r>
  <r>
    <x v="15"/>
    <x v="15"/>
    <n v="0"/>
  </r>
  <r>
    <x v="15"/>
    <x v="16"/>
    <n v="0"/>
  </r>
  <r>
    <x v="15"/>
    <x v="17"/>
    <n v="0"/>
  </r>
  <r>
    <x v="15"/>
    <x v="18"/>
    <n v="0"/>
  </r>
  <r>
    <x v="15"/>
    <x v="19"/>
    <n v="0"/>
  </r>
  <r>
    <x v="15"/>
    <x v="20"/>
    <n v="0"/>
  </r>
  <r>
    <x v="15"/>
    <x v="21"/>
    <n v="0"/>
  </r>
  <r>
    <x v="15"/>
    <x v="22"/>
    <n v="0"/>
  </r>
  <r>
    <x v="15"/>
    <x v="23"/>
    <n v="0"/>
  </r>
  <r>
    <x v="15"/>
    <x v="24"/>
    <n v="0"/>
  </r>
  <r>
    <x v="15"/>
    <x v="25"/>
    <n v="0"/>
  </r>
  <r>
    <x v="15"/>
    <x v="26"/>
    <n v="0"/>
  </r>
  <r>
    <x v="15"/>
    <x v="27"/>
    <n v="1"/>
  </r>
  <r>
    <x v="15"/>
    <x v="28"/>
    <n v="0"/>
  </r>
  <r>
    <x v="15"/>
    <x v="29"/>
    <n v="0"/>
  </r>
  <r>
    <x v="15"/>
    <x v="30"/>
    <n v="1"/>
  </r>
  <r>
    <x v="15"/>
    <x v="31"/>
    <n v="1"/>
  </r>
  <r>
    <x v="15"/>
    <x v="32"/>
    <n v="0"/>
  </r>
  <r>
    <x v="15"/>
    <x v="33"/>
    <n v="0"/>
  </r>
  <r>
    <x v="15"/>
    <x v="34"/>
    <n v="0"/>
  </r>
  <r>
    <x v="15"/>
    <x v="35"/>
    <n v="0"/>
  </r>
  <r>
    <x v="15"/>
    <x v="36"/>
    <n v="0"/>
  </r>
  <r>
    <x v="15"/>
    <x v="37"/>
    <n v="0"/>
  </r>
  <r>
    <x v="15"/>
    <x v="38"/>
    <n v="0"/>
  </r>
  <r>
    <x v="15"/>
    <x v="39"/>
    <n v="0"/>
  </r>
  <r>
    <x v="15"/>
    <x v="40"/>
    <n v="0"/>
  </r>
  <r>
    <x v="15"/>
    <x v="41"/>
    <n v="0"/>
  </r>
  <r>
    <x v="15"/>
    <x v="42"/>
    <n v="0"/>
  </r>
  <r>
    <x v="15"/>
    <x v="43"/>
    <n v="1"/>
  </r>
  <r>
    <x v="15"/>
    <x v="44"/>
    <n v="0"/>
  </r>
  <r>
    <x v="15"/>
    <x v="45"/>
    <n v="0"/>
  </r>
  <r>
    <x v="15"/>
    <x v="46"/>
    <n v="0"/>
  </r>
  <r>
    <x v="15"/>
    <x v="47"/>
    <n v="0"/>
  </r>
  <r>
    <x v="15"/>
    <x v="48"/>
    <n v="0"/>
  </r>
  <r>
    <x v="15"/>
    <x v="49"/>
    <n v="0"/>
  </r>
  <r>
    <x v="15"/>
    <x v="50"/>
    <n v="0"/>
  </r>
  <r>
    <x v="15"/>
    <x v="51"/>
    <n v="1"/>
  </r>
  <r>
    <x v="15"/>
    <x v="52"/>
    <n v="0"/>
  </r>
  <r>
    <x v="15"/>
    <x v="53"/>
    <n v="0"/>
  </r>
  <r>
    <x v="15"/>
    <x v="54"/>
    <n v="0"/>
  </r>
  <r>
    <x v="15"/>
    <x v="55"/>
    <n v="0"/>
  </r>
  <r>
    <x v="15"/>
    <x v="56"/>
    <n v="1"/>
  </r>
  <r>
    <x v="16"/>
    <x v="0"/>
    <n v="0"/>
  </r>
  <r>
    <x v="16"/>
    <x v="1"/>
    <n v="0"/>
  </r>
  <r>
    <x v="16"/>
    <x v="2"/>
    <n v="0"/>
  </r>
  <r>
    <x v="16"/>
    <x v="3"/>
    <n v="0"/>
  </r>
  <r>
    <x v="16"/>
    <x v="4"/>
    <n v="0"/>
  </r>
  <r>
    <x v="16"/>
    <x v="5"/>
    <n v="0"/>
  </r>
  <r>
    <x v="16"/>
    <x v="6"/>
    <n v="0"/>
  </r>
  <r>
    <x v="16"/>
    <x v="7"/>
    <n v="0"/>
  </r>
  <r>
    <x v="16"/>
    <x v="8"/>
    <n v="0"/>
  </r>
  <r>
    <x v="16"/>
    <x v="9"/>
    <n v="1"/>
  </r>
  <r>
    <x v="16"/>
    <x v="10"/>
    <n v="0"/>
  </r>
  <r>
    <x v="16"/>
    <x v="11"/>
    <n v="1"/>
  </r>
  <r>
    <x v="16"/>
    <x v="12"/>
    <n v="0"/>
  </r>
  <r>
    <x v="16"/>
    <x v="13"/>
    <n v="0"/>
  </r>
  <r>
    <x v="16"/>
    <x v="14"/>
    <n v="0"/>
  </r>
  <r>
    <x v="16"/>
    <x v="15"/>
    <n v="0"/>
  </r>
  <r>
    <x v="16"/>
    <x v="16"/>
    <n v="0"/>
  </r>
  <r>
    <x v="16"/>
    <x v="17"/>
    <n v="1"/>
  </r>
  <r>
    <x v="16"/>
    <x v="18"/>
    <n v="0"/>
  </r>
  <r>
    <x v="16"/>
    <x v="19"/>
    <n v="0"/>
  </r>
  <r>
    <x v="16"/>
    <x v="20"/>
    <n v="0"/>
  </r>
  <r>
    <x v="16"/>
    <x v="21"/>
    <n v="0"/>
  </r>
  <r>
    <x v="16"/>
    <x v="22"/>
    <n v="0"/>
  </r>
  <r>
    <x v="16"/>
    <x v="23"/>
    <n v="0"/>
  </r>
  <r>
    <x v="16"/>
    <x v="24"/>
    <n v="0"/>
  </r>
  <r>
    <x v="16"/>
    <x v="25"/>
    <n v="0"/>
  </r>
  <r>
    <x v="16"/>
    <x v="26"/>
    <n v="0"/>
  </r>
  <r>
    <x v="16"/>
    <x v="27"/>
    <n v="1"/>
  </r>
  <r>
    <x v="16"/>
    <x v="28"/>
    <n v="0"/>
  </r>
  <r>
    <x v="16"/>
    <x v="29"/>
    <n v="0"/>
  </r>
  <r>
    <x v="16"/>
    <x v="30"/>
    <n v="1"/>
  </r>
  <r>
    <x v="16"/>
    <x v="31"/>
    <n v="0"/>
  </r>
  <r>
    <x v="16"/>
    <x v="32"/>
    <n v="0"/>
  </r>
  <r>
    <x v="16"/>
    <x v="33"/>
    <n v="0"/>
  </r>
  <r>
    <x v="16"/>
    <x v="34"/>
    <n v="0"/>
  </r>
  <r>
    <x v="16"/>
    <x v="35"/>
    <n v="0"/>
  </r>
  <r>
    <x v="16"/>
    <x v="36"/>
    <n v="0"/>
  </r>
  <r>
    <x v="16"/>
    <x v="37"/>
    <n v="0"/>
  </r>
  <r>
    <x v="16"/>
    <x v="38"/>
    <n v="0"/>
  </r>
  <r>
    <x v="16"/>
    <x v="39"/>
    <n v="0"/>
  </r>
  <r>
    <x v="16"/>
    <x v="40"/>
    <n v="0"/>
  </r>
  <r>
    <x v="16"/>
    <x v="41"/>
    <n v="0"/>
  </r>
  <r>
    <x v="16"/>
    <x v="42"/>
    <n v="0"/>
  </r>
  <r>
    <x v="16"/>
    <x v="43"/>
    <n v="1"/>
  </r>
  <r>
    <x v="16"/>
    <x v="44"/>
    <n v="0"/>
  </r>
  <r>
    <x v="16"/>
    <x v="45"/>
    <n v="0"/>
  </r>
  <r>
    <x v="16"/>
    <x v="46"/>
    <n v="1"/>
  </r>
  <r>
    <x v="16"/>
    <x v="47"/>
    <n v="0"/>
  </r>
  <r>
    <x v="16"/>
    <x v="48"/>
    <n v="0"/>
  </r>
  <r>
    <x v="16"/>
    <x v="49"/>
    <n v="1"/>
  </r>
  <r>
    <x v="16"/>
    <x v="50"/>
    <n v="0"/>
  </r>
  <r>
    <x v="16"/>
    <x v="51"/>
    <n v="1"/>
  </r>
  <r>
    <x v="16"/>
    <x v="52"/>
    <n v="0"/>
  </r>
  <r>
    <x v="16"/>
    <x v="53"/>
    <n v="0"/>
  </r>
  <r>
    <x v="16"/>
    <x v="54"/>
    <n v="0"/>
  </r>
  <r>
    <x v="16"/>
    <x v="55"/>
    <n v="0"/>
  </r>
  <r>
    <x v="16"/>
    <x v="56"/>
    <n v="0"/>
  </r>
  <r>
    <x v="17"/>
    <x v="0"/>
    <n v="1"/>
  </r>
  <r>
    <x v="17"/>
    <x v="1"/>
    <n v="1"/>
  </r>
  <r>
    <x v="17"/>
    <x v="2"/>
    <n v="1"/>
  </r>
  <r>
    <x v="17"/>
    <x v="3"/>
    <n v="0"/>
  </r>
  <r>
    <x v="17"/>
    <x v="4"/>
    <n v="0"/>
  </r>
  <r>
    <x v="17"/>
    <x v="5"/>
    <n v="1"/>
  </r>
  <r>
    <x v="17"/>
    <x v="6"/>
    <n v="0"/>
  </r>
  <r>
    <x v="17"/>
    <x v="7"/>
    <n v="1"/>
  </r>
  <r>
    <x v="17"/>
    <x v="8"/>
    <n v="0"/>
  </r>
  <r>
    <x v="17"/>
    <x v="9"/>
    <n v="1"/>
  </r>
  <r>
    <x v="17"/>
    <x v="10"/>
    <n v="1"/>
  </r>
  <r>
    <x v="17"/>
    <x v="11"/>
    <n v="1"/>
  </r>
  <r>
    <x v="17"/>
    <x v="12"/>
    <n v="1"/>
  </r>
  <r>
    <x v="17"/>
    <x v="13"/>
    <n v="0"/>
  </r>
  <r>
    <x v="17"/>
    <x v="14"/>
    <n v="1"/>
  </r>
  <r>
    <x v="17"/>
    <x v="15"/>
    <n v="0"/>
  </r>
  <r>
    <x v="17"/>
    <x v="16"/>
    <n v="0"/>
  </r>
  <r>
    <x v="17"/>
    <x v="17"/>
    <n v="0"/>
  </r>
  <r>
    <x v="17"/>
    <x v="18"/>
    <n v="1"/>
  </r>
  <r>
    <x v="17"/>
    <x v="19"/>
    <n v="0"/>
  </r>
  <r>
    <x v="17"/>
    <x v="20"/>
    <n v="1"/>
  </r>
  <r>
    <x v="17"/>
    <x v="21"/>
    <n v="0"/>
  </r>
  <r>
    <x v="17"/>
    <x v="22"/>
    <n v="1"/>
  </r>
  <r>
    <x v="17"/>
    <x v="23"/>
    <n v="1"/>
  </r>
  <r>
    <x v="17"/>
    <x v="24"/>
    <n v="0"/>
  </r>
  <r>
    <x v="17"/>
    <x v="25"/>
    <n v="0"/>
  </r>
  <r>
    <x v="17"/>
    <x v="26"/>
    <n v="1"/>
  </r>
  <r>
    <x v="17"/>
    <x v="27"/>
    <n v="1"/>
  </r>
  <r>
    <x v="17"/>
    <x v="28"/>
    <n v="0"/>
  </r>
  <r>
    <x v="17"/>
    <x v="29"/>
    <n v="0"/>
  </r>
  <r>
    <x v="17"/>
    <x v="30"/>
    <n v="1"/>
  </r>
  <r>
    <x v="17"/>
    <x v="31"/>
    <n v="0"/>
  </r>
  <r>
    <x v="17"/>
    <x v="32"/>
    <n v="0"/>
  </r>
  <r>
    <x v="17"/>
    <x v="33"/>
    <n v="0"/>
  </r>
  <r>
    <x v="17"/>
    <x v="34"/>
    <n v="1"/>
  </r>
  <r>
    <x v="17"/>
    <x v="35"/>
    <n v="1"/>
  </r>
  <r>
    <x v="17"/>
    <x v="36"/>
    <n v="0"/>
  </r>
  <r>
    <x v="17"/>
    <x v="37"/>
    <n v="1"/>
  </r>
  <r>
    <x v="17"/>
    <x v="38"/>
    <n v="1"/>
  </r>
  <r>
    <x v="17"/>
    <x v="39"/>
    <n v="1"/>
  </r>
  <r>
    <x v="17"/>
    <x v="40"/>
    <n v="0"/>
  </r>
  <r>
    <x v="17"/>
    <x v="41"/>
    <n v="0"/>
  </r>
  <r>
    <x v="17"/>
    <x v="42"/>
    <n v="1"/>
  </r>
  <r>
    <x v="17"/>
    <x v="43"/>
    <n v="1"/>
  </r>
  <r>
    <x v="17"/>
    <x v="44"/>
    <n v="1"/>
  </r>
  <r>
    <x v="17"/>
    <x v="45"/>
    <n v="1"/>
  </r>
  <r>
    <x v="17"/>
    <x v="46"/>
    <n v="0"/>
  </r>
  <r>
    <x v="17"/>
    <x v="47"/>
    <n v="0"/>
  </r>
  <r>
    <x v="17"/>
    <x v="48"/>
    <n v="0"/>
  </r>
  <r>
    <x v="17"/>
    <x v="49"/>
    <n v="1"/>
  </r>
  <r>
    <x v="17"/>
    <x v="50"/>
    <n v="1"/>
  </r>
  <r>
    <x v="17"/>
    <x v="51"/>
    <n v="1"/>
  </r>
  <r>
    <x v="17"/>
    <x v="52"/>
    <n v="1"/>
  </r>
  <r>
    <x v="17"/>
    <x v="53"/>
    <n v="1"/>
  </r>
  <r>
    <x v="17"/>
    <x v="54"/>
    <n v="1"/>
  </r>
  <r>
    <x v="17"/>
    <x v="55"/>
    <n v="0"/>
  </r>
  <r>
    <x v="17"/>
    <x v="56"/>
    <n v="1"/>
  </r>
  <r>
    <x v="18"/>
    <x v="0"/>
    <n v="1"/>
  </r>
  <r>
    <x v="18"/>
    <x v="1"/>
    <n v="0"/>
  </r>
  <r>
    <x v="18"/>
    <x v="2"/>
    <n v="1"/>
  </r>
  <r>
    <x v="18"/>
    <x v="3"/>
    <n v="0"/>
  </r>
  <r>
    <x v="18"/>
    <x v="4"/>
    <n v="1"/>
  </r>
  <r>
    <x v="18"/>
    <x v="5"/>
    <n v="1"/>
  </r>
  <r>
    <x v="18"/>
    <x v="6"/>
    <n v="0"/>
  </r>
  <r>
    <x v="18"/>
    <x v="7"/>
    <n v="1"/>
  </r>
  <r>
    <x v="18"/>
    <x v="8"/>
    <n v="1"/>
  </r>
  <r>
    <x v="18"/>
    <x v="9"/>
    <n v="1"/>
  </r>
  <r>
    <x v="18"/>
    <x v="10"/>
    <n v="1"/>
  </r>
  <r>
    <x v="18"/>
    <x v="11"/>
    <n v="1"/>
  </r>
  <r>
    <x v="18"/>
    <x v="12"/>
    <n v="1"/>
  </r>
  <r>
    <x v="18"/>
    <x v="13"/>
    <n v="1"/>
  </r>
  <r>
    <x v="18"/>
    <x v="14"/>
    <n v="1"/>
  </r>
  <r>
    <x v="18"/>
    <x v="15"/>
    <n v="0"/>
  </r>
  <r>
    <x v="18"/>
    <x v="16"/>
    <n v="0"/>
  </r>
  <r>
    <x v="18"/>
    <x v="17"/>
    <n v="1"/>
  </r>
  <r>
    <x v="18"/>
    <x v="18"/>
    <n v="0"/>
  </r>
  <r>
    <x v="18"/>
    <x v="19"/>
    <n v="0"/>
  </r>
  <r>
    <x v="18"/>
    <x v="20"/>
    <n v="0"/>
  </r>
  <r>
    <x v="18"/>
    <x v="21"/>
    <n v="1"/>
  </r>
  <r>
    <x v="18"/>
    <x v="22"/>
    <n v="1"/>
  </r>
  <r>
    <x v="18"/>
    <x v="23"/>
    <n v="0"/>
  </r>
  <r>
    <x v="18"/>
    <x v="24"/>
    <n v="0"/>
  </r>
  <r>
    <x v="18"/>
    <x v="25"/>
    <n v="0"/>
  </r>
  <r>
    <x v="18"/>
    <x v="26"/>
    <n v="0"/>
  </r>
  <r>
    <x v="18"/>
    <x v="27"/>
    <n v="1"/>
  </r>
  <r>
    <x v="18"/>
    <x v="28"/>
    <n v="0"/>
  </r>
  <r>
    <x v="18"/>
    <x v="29"/>
    <n v="0"/>
  </r>
  <r>
    <x v="18"/>
    <x v="30"/>
    <n v="0"/>
  </r>
  <r>
    <x v="18"/>
    <x v="31"/>
    <n v="1"/>
  </r>
  <r>
    <x v="18"/>
    <x v="32"/>
    <n v="0"/>
  </r>
  <r>
    <x v="18"/>
    <x v="33"/>
    <n v="0"/>
  </r>
  <r>
    <x v="18"/>
    <x v="34"/>
    <n v="1"/>
  </r>
  <r>
    <x v="18"/>
    <x v="35"/>
    <n v="1"/>
  </r>
  <r>
    <x v="18"/>
    <x v="36"/>
    <n v="0"/>
  </r>
  <r>
    <x v="18"/>
    <x v="37"/>
    <n v="1"/>
  </r>
  <r>
    <x v="18"/>
    <x v="38"/>
    <n v="0"/>
  </r>
  <r>
    <x v="18"/>
    <x v="39"/>
    <n v="0"/>
  </r>
  <r>
    <x v="18"/>
    <x v="40"/>
    <n v="0"/>
  </r>
  <r>
    <x v="18"/>
    <x v="41"/>
    <n v="0"/>
  </r>
  <r>
    <x v="18"/>
    <x v="42"/>
    <n v="0"/>
  </r>
  <r>
    <x v="18"/>
    <x v="43"/>
    <n v="1"/>
  </r>
  <r>
    <x v="18"/>
    <x v="44"/>
    <n v="1"/>
  </r>
  <r>
    <x v="18"/>
    <x v="45"/>
    <n v="1"/>
  </r>
  <r>
    <x v="18"/>
    <x v="46"/>
    <n v="1"/>
  </r>
  <r>
    <x v="18"/>
    <x v="47"/>
    <n v="0"/>
  </r>
  <r>
    <x v="18"/>
    <x v="48"/>
    <n v="1"/>
  </r>
  <r>
    <x v="18"/>
    <x v="49"/>
    <n v="1"/>
  </r>
  <r>
    <x v="18"/>
    <x v="50"/>
    <n v="1"/>
  </r>
  <r>
    <x v="18"/>
    <x v="51"/>
    <n v="1"/>
  </r>
  <r>
    <x v="18"/>
    <x v="52"/>
    <n v="1"/>
  </r>
  <r>
    <x v="18"/>
    <x v="53"/>
    <n v="0"/>
  </r>
  <r>
    <x v="18"/>
    <x v="54"/>
    <n v="1"/>
  </r>
  <r>
    <x v="18"/>
    <x v="55"/>
    <n v="1"/>
  </r>
  <r>
    <x v="18"/>
    <x v="56"/>
    <n v="1"/>
  </r>
  <r>
    <x v="19"/>
    <x v="0"/>
    <n v="0"/>
  </r>
  <r>
    <x v="19"/>
    <x v="1"/>
    <n v="1"/>
  </r>
  <r>
    <x v="19"/>
    <x v="2"/>
    <n v="0"/>
  </r>
  <r>
    <x v="19"/>
    <x v="3"/>
    <n v="0"/>
  </r>
  <r>
    <x v="19"/>
    <x v="4"/>
    <n v="0"/>
  </r>
  <r>
    <x v="19"/>
    <x v="5"/>
    <n v="1"/>
  </r>
  <r>
    <x v="19"/>
    <x v="6"/>
    <n v="0"/>
  </r>
  <r>
    <x v="19"/>
    <x v="7"/>
    <n v="1"/>
  </r>
  <r>
    <x v="19"/>
    <x v="8"/>
    <n v="0"/>
  </r>
  <r>
    <x v="19"/>
    <x v="9"/>
    <n v="1"/>
  </r>
  <r>
    <x v="19"/>
    <x v="10"/>
    <n v="1"/>
  </r>
  <r>
    <x v="19"/>
    <x v="11"/>
    <n v="0"/>
  </r>
  <r>
    <x v="19"/>
    <x v="12"/>
    <n v="1"/>
  </r>
  <r>
    <x v="19"/>
    <x v="13"/>
    <n v="0"/>
  </r>
  <r>
    <x v="19"/>
    <x v="14"/>
    <n v="1"/>
  </r>
  <r>
    <x v="19"/>
    <x v="15"/>
    <n v="0"/>
  </r>
  <r>
    <x v="19"/>
    <x v="16"/>
    <n v="0"/>
  </r>
  <r>
    <x v="19"/>
    <x v="17"/>
    <n v="0"/>
  </r>
  <r>
    <x v="19"/>
    <x v="18"/>
    <n v="0"/>
  </r>
  <r>
    <x v="19"/>
    <x v="19"/>
    <n v="0"/>
  </r>
  <r>
    <x v="19"/>
    <x v="20"/>
    <n v="0"/>
  </r>
  <r>
    <x v="19"/>
    <x v="21"/>
    <n v="0"/>
  </r>
  <r>
    <x v="19"/>
    <x v="22"/>
    <n v="0"/>
  </r>
  <r>
    <x v="19"/>
    <x v="23"/>
    <n v="0"/>
  </r>
  <r>
    <x v="19"/>
    <x v="24"/>
    <n v="0"/>
  </r>
  <r>
    <x v="19"/>
    <x v="25"/>
    <n v="0"/>
  </r>
  <r>
    <x v="19"/>
    <x v="26"/>
    <n v="0"/>
  </r>
  <r>
    <x v="19"/>
    <x v="27"/>
    <n v="1"/>
  </r>
  <r>
    <x v="19"/>
    <x v="28"/>
    <n v="0"/>
  </r>
  <r>
    <x v="19"/>
    <x v="29"/>
    <n v="0"/>
  </r>
  <r>
    <x v="19"/>
    <x v="30"/>
    <n v="1"/>
  </r>
  <r>
    <x v="19"/>
    <x v="31"/>
    <n v="1"/>
  </r>
  <r>
    <x v="19"/>
    <x v="32"/>
    <n v="0"/>
  </r>
  <r>
    <x v="19"/>
    <x v="33"/>
    <n v="0"/>
  </r>
  <r>
    <x v="19"/>
    <x v="34"/>
    <n v="0"/>
  </r>
  <r>
    <x v="19"/>
    <x v="35"/>
    <n v="1"/>
  </r>
  <r>
    <x v="19"/>
    <x v="36"/>
    <n v="0"/>
  </r>
  <r>
    <x v="19"/>
    <x v="37"/>
    <n v="1"/>
  </r>
  <r>
    <x v="19"/>
    <x v="38"/>
    <n v="0"/>
  </r>
  <r>
    <x v="19"/>
    <x v="39"/>
    <n v="0"/>
  </r>
  <r>
    <x v="19"/>
    <x v="40"/>
    <n v="0"/>
  </r>
  <r>
    <x v="19"/>
    <x v="41"/>
    <n v="0"/>
  </r>
  <r>
    <x v="19"/>
    <x v="42"/>
    <n v="1"/>
  </r>
  <r>
    <x v="19"/>
    <x v="43"/>
    <n v="1"/>
  </r>
  <r>
    <x v="19"/>
    <x v="44"/>
    <n v="1"/>
  </r>
  <r>
    <x v="19"/>
    <x v="45"/>
    <n v="0"/>
  </r>
  <r>
    <x v="19"/>
    <x v="46"/>
    <n v="0"/>
  </r>
  <r>
    <x v="19"/>
    <x v="47"/>
    <n v="0"/>
  </r>
  <r>
    <x v="19"/>
    <x v="48"/>
    <n v="0"/>
  </r>
  <r>
    <x v="19"/>
    <x v="49"/>
    <n v="1"/>
  </r>
  <r>
    <x v="19"/>
    <x v="50"/>
    <n v="1"/>
  </r>
  <r>
    <x v="19"/>
    <x v="51"/>
    <n v="0"/>
  </r>
  <r>
    <x v="19"/>
    <x v="52"/>
    <n v="0"/>
  </r>
  <r>
    <x v="19"/>
    <x v="53"/>
    <n v="1"/>
  </r>
  <r>
    <x v="19"/>
    <x v="54"/>
    <n v="0"/>
  </r>
  <r>
    <x v="19"/>
    <x v="55"/>
    <n v="0"/>
  </r>
  <r>
    <x v="19"/>
    <x v="56"/>
    <n v="0"/>
  </r>
  <r>
    <x v="20"/>
    <x v="0"/>
    <n v="0"/>
  </r>
  <r>
    <x v="20"/>
    <x v="1"/>
    <n v="0"/>
  </r>
  <r>
    <x v="20"/>
    <x v="2"/>
    <n v="0"/>
  </r>
  <r>
    <x v="20"/>
    <x v="3"/>
    <n v="1"/>
  </r>
  <r>
    <x v="20"/>
    <x v="4"/>
    <n v="0"/>
  </r>
  <r>
    <x v="20"/>
    <x v="5"/>
    <n v="0"/>
  </r>
  <r>
    <x v="20"/>
    <x v="6"/>
    <n v="0"/>
  </r>
  <r>
    <x v="20"/>
    <x v="7"/>
    <n v="0"/>
  </r>
  <r>
    <x v="20"/>
    <x v="8"/>
    <n v="0"/>
  </r>
  <r>
    <x v="20"/>
    <x v="9"/>
    <n v="1"/>
  </r>
  <r>
    <x v="20"/>
    <x v="10"/>
    <n v="0"/>
  </r>
  <r>
    <x v="20"/>
    <x v="11"/>
    <n v="0"/>
  </r>
  <r>
    <x v="20"/>
    <x v="12"/>
    <n v="0"/>
  </r>
  <r>
    <x v="20"/>
    <x v="13"/>
    <n v="1"/>
  </r>
  <r>
    <x v="20"/>
    <x v="14"/>
    <n v="1"/>
  </r>
  <r>
    <x v="20"/>
    <x v="15"/>
    <n v="0"/>
  </r>
  <r>
    <x v="20"/>
    <x v="16"/>
    <n v="0"/>
  </r>
  <r>
    <x v="20"/>
    <x v="17"/>
    <n v="1"/>
  </r>
  <r>
    <x v="20"/>
    <x v="18"/>
    <n v="0"/>
  </r>
  <r>
    <x v="20"/>
    <x v="19"/>
    <n v="0"/>
  </r>
  <r>
    <x v="20"/>
    <x v="20"/>
    <n v="1"/>
  </r>
  <r>
    <x v="20"/>
    <x v="21"/>
    <n v="0"/>
  </r>
  <r>
    <x v="20"/>
    <x v="22"/>
    <n v="0"/>
  </r>
  <r>
    <x v="20"/>
    <x v="23"/>
    <n v="0"/>
  </r>
  <r>
    <x v="20"/>
    <x v="24"/>
    <n v="0"/>
  </r>
  <r>
    <x v="20"/>
    <x v="25"/>
    <n v="0"/>
  </r>
  <r>
    <x v="20"/>
    <x v="26"/>
    <n v="0"/>
  </r>
  <r>
    <x v="20"/>
    <x v="27"/>
    <n v="1"/>
  </r>
  <r>
    <x v="20"/>
    <x v="28"/>
    <n v="0"/>
  </r>
  <r>
    <x v="20"/>
    <x v="29"/>
    <n v="0"/>
  </r>
  <r>
    <x v="20"/>
    <x v="30"/>
    <n v="1"/>
  </r>
  <r>
    <x v="20"/>
    <x v="31"/>
    <n v="1"/>
  </r>
  <r>
    <x v="20"/>
    <x v="32"/>
    <n v="0"/>
  </r>
  <r>
    <x v="20"/>
    <x v="33"/>
    <n v="0"/>
  </r>
  <r>
    <x v="20"/>
    <x v="34"/>
    <n v="1"/>
  </r>
  <r>
    <x v="20"/>
    <x v="35"/>
    <n v="0"/>
  </r>
  <r>
    <x v="20"/>
    <x v="36"/>
    <n v="1"/>
  </r>
  <r>
    <x v="20"/>
    <x v="37"/>
    <n v="1"/>
  </r>
  <r>
    <x v="20"/>
    <x v="38"/>
    <n v="0"/>
  </r>
  <r>
    <x v="20"/>
    <x v="39"/>
    <n v="0"/>
  </r>
  <r>
    <x v="20"/>
    <x v="40"/>
    <n v="0"/>
  </r>
  <r>
    <x v="20"/>
    <x v="41"/>
    <n v="0"/>
  </r>
  <r>
    <x v="20"/>
    <x v="42"/>
    <n v="1"/>
  </r>
  <r>
    <x v="20"/>
    <x v="43"/>
    <n v="1"/>
  </r>
  <r>
    <x v="20"/>
    <x v="44"/>
    <n v="0"/>
  </r>
  <r>
    <x v="20"/>
    <x v="45"/>
    <n v="1"/>
  </r>
  <r>
    <x v="20"/>
    <x v="46"/>
    <n v="1"/>
  </r>
  <r>
    <x v="20"/>
    <x v="47"/>
    <n v="0"/>
  </r>
  <r>
    <x v="20"/>
    <x v="48"/>
    <n v="1"/>
  </r>
  <r>
    <x v="20"/>
    <x v="49"/>
    <n v="0"/>
  </r>
  <r>
    <x v="20"/>
    <x v="50"/>
    <n v="0"/>
  </r>
  <r>
    <x v="20"/>
    <x v="51"/>
    <n v="1"/>
  </r>
  <r>
    <x v="20"/>
    <x v="52"/>
    <n v="1"/>
  </r>
  <r>
    <x v="20"/>
    <x v="53"/>
    <n v="0"/>
  </r>
  <r>
    <x v="20"/>
    <x v="54"/>
    <n v="1"/>
  </r>
  <r>
    <x v="20"/>
    <x v="55"/>
    <n v="1"/>
  </r>
  <r>
    <x v="20"/>
    <x v="56"/>
    <n v="1"/>
  </r>
  <r>
    <x v="21"/>
    <x v="0"/>
    <n v="0"/>
  </r>
  <r>
    <x v="21"/>
    <x v="1"/>
    <n v="1"/>
  </r>
  <r>
    <x v="21"/>
    <x v="2"/>
    <n v="0"/>
  </r>
  <r>
    <x v="21"/>
    <x v="3"/>
    <n v="0"/>
  </r>
  <r>
    <x v="21"/>
    <x v="4"/>
    <n v="0"/>
  </r>
  <r>
    <x v="21"/>
    <x v="5"/>
    <n v="0"/>
  </r>
  <r>
    <x v="21"/>
    <x v="6"/>
    <n v="0"/>
  </r>
  <r>
    <x v="21"/>
    <x v="7"/>
    <n v="0"/>
  </r>
  <r>
    <x v="21"/>
    <x v="8"/>
    <n v="0"/>
  </r>
  <r>
    <x v="21"/>
    <x v="9"/>
    <n v="1"/>
  </r>
  <r>
    <x v="21"/>
    <x v="10"/>
    <n v="0"/>
  </r>
  <r>
    <x v="21"/>
    <x v="11"/>
    <n v="0"/>
  </r>
  <r>
    <x v="21"/>
    <x v="12"/>
    <n v="1"/>
  </r>
  <r>
    <x v="21"/>
    <x v="13"/>
    <n v="1"/>
  </r>
  <r>
    <x v="21"/>
    <x v="14"/>
    <n v="0"/>
  </r>
  <r>
    <x v="21"/>
    <x v="15"/>
    <n v="0"/>
  </r>
  <r>
    <x v="21"/>
    <x v="16"/>
    <n v="0"/>
  </r>
  <r>
    <x v="21"/>
    <x v="17"/>
    <n v="1"/>
  </r>
  <r>
    <x v="21"/>
    <x v="18"/>
    <n v="0"/>
  </r>
  <r>
    <x v="21"/>
    <x v="19"/>
    <n v="0"/>
  </r>
  <r>
    <x v="21"/>
    <x v="20"/>
    <n v="0"/>
  </r>
  <r>
    <x v="21"/>
    <x v="21"/>
    <n v="0"/>
  </r>
  <r>
    <x v="21"/>
    <x v="22"/>
    <n v="0"/>
  </r>
  <r>
    <x v="21"/>
    <x v="23"/>
    <n v="0"/>
  </r>
  <r>
    <x v="21"/>
    <x v="24"/>
    <n v="0"/>
  </r>
  <r>
    <x v="21"/>
    <x v="25"/>
    <n v="0"/>
  </r>
  <r>
    <x v="21"/>
    <x v="26"/>
    <n v="1"/>
  </r>
  <r>
    <x v="21"/>
    <x v="27"/>
    <n v="1"/>
  </r>
  <r>
    <x v="21"/>
    <x v="28"/>
    <n v="0"/>
  </r>
  <r>
    <x v="21"/>
    <x v="29"/>
    <n v="0"/>
  </r>
  <r>
    <x v="21"/>
    <x v="30"/>
    <n v="1"/>
  </r>
  <r>
    <x v="21"/>
    <x v="31"/>
    <n v="1"/>
  </r>
  <r>
    <x v="21"/>
    <x v="32"/>
    <n v="0"/>
  </r>
  <r>
    <x v="21"/>
    <x v="33"/>
    <n v="0"/>
  </r>
  <r>
    <x v="21"/>
    <x v="34"/>
    <n v="0"/>
  </r>
  <r>
    <x v="21"/>
    <x v="35"/>
    <n v="0"/>
  </r>
  <r>
    <x v="21"/>
    <x v="36"/>
    <n v="0"/>
  </r>
  <r>
    <x v="21"/>
    <x v="37"/>
    <n v="1"/>
  </r>
  <r>
    <x v="21"/>
    <x v="38"/>
    <n v="0"/>
  </r>
  <r>
    <x v="21"/>
    <x v="39"/>
    <n v="0"/>
  </r>
  <r>
    <x v="21"/>
    <x v="40"/>
    <n v="0"/>
  </r>
  <r>
    <x v="21"/>
    <x v="41"/>
    <n v="0"/>
  </r>
  <r>
    <x v="21"/>
    <x v="42"/>
    <n v="1"/>
  </r>
  <r>
    <x v="21"/>
    <x v="43"/>
    <n v="0"/>
  </r>
  <r>
    <x v="21"/>
    <x v="44"/>
    <n v="0"/>
  </r>
  <r>
    <x v="21"/>
    <x v="45"/>
    <n v="1"/>
  </r>
  <r>
    <x v="21"/>
    <x v="46"/>
    <n v="1"/>
  </r>
  <r>
    <x v="21"/>
    <x v="47"/>
    <n v="1"/>
  </r>
  <r>
    <x v="21"/>
    <x v="48"/>
    <n v="1"/>
  </r>
  <r>
    <x v="21"/>
    <x v="49"/>
    <n v="0"/>
  </r>
  <r>
    <x v="21"/>
    <x v="50"/>
    <n v="0"/>
  </r>
  <r>
    <x v="21"/>
    <x v="51"/>
    <n v="1"/>
  </r>
  <r>
    <x v="21"/>
    <x v="52"/>
    <n v="1"/>
  </r>
  <r>
    <x v="21"/>
    <x v="53"/>
    <n v="0"/>
  </r>
  <r>
    <x v="21"/>
    <x v="54"/>
    <n v="0"/>
  </r>
  <r>
    <x v="21"/>
    <x v="55"/>
    <n v="1"/>
  </r>
  <r>
    <x v="21"/>
    <x v="5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3D830-F9E8-994B-A1E3-7EEA1005284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Z1:AW60" firstHeaderRow="1" firstDataRow="2" firstDataCol="1"/>
  <pivotFields count="3">
    <pivotField axis="axisCol" showAll="0">
      <items count="23">
        <item x="5"/>
        <item x="17"/>
        <item x="16"/>
        <item x="11"/>
        <item x="19"/>
        <item x="3"/>
        <item x="9"/>
        <item x="10"/>
        <item x="21"/>
        <item x="6"/>
        <item x="12"/>
        <item x="8"/>
        <item x="14"/>
        <item x="13"/>
        <item x="15"/>
        <item x="20"/>
        <item x="1"/>
        <item x="4"/>
        <item x="18"/>
        <item x="7"/>
        <item x="2"/>
        <item x="0"/>
        <item t="default"/>
      </items>
    </pivotField>
    <pivotField axis="axisRow" showAll="0">
      <items count="115">
        <item m="1" x="107"/>
        <item m="1" x="96"/>
        <item m="1" x="60"/>
        <item m="1" x="57"/>
        <item m="1" x="91"/>
        <item m="1" x="113"/>
        <item m="1" x="95"/>
        <item m="1" x="89"/>
        <item m="1" x="85"/>
        <item m="1" x="93"/>
        <item m="1" x="58"/>
        <item m="1" x="81"/>
        <item m="1" x="65"/>
        <item m="1" x="82"/>
        <item m="1" x="73"/>
        <item m="1" x="69"/>
        <item m="1" x="88"/>
        <item m="1" x="66"/>
        <item m="1" x="103"/>
        <item m="1" x="77"/>
        <item m="1" x="104"/>
        <item m="1" x="112"/>
        <item m="1" x="76"/>
        <item m="1" x="106"/>
        <item m="1" x="90"/>
        <item m="1" x="102"/>
        <item m="1" x="78"/>
        <item m="1" x="100"/>
        <item m="1" x="67"/>
        <item m="1" x="101"/>
        <item m="1" x="111"/>
        <item m="1" x="74"/>
        <item m="1" x="87"/>
        <item m="1" x="99"/>
        <item m="1" x="64"/>
        <item m="1" x="68"/>
        <item m="1" x="70"/>
        <item m="1" x="92"/>
        <item m="1" x="72"/>
        <item m="1" x="109"/>
        <item m="1" x="94"/>
        <item m="1" x="98"/>
        <item m="1" x="62"/>
        <item m="1" x="86"/>
        <item m="1" x="59"/>
        <item m="1" x="79"/>
        <item m="1" x="84"/>
        <item m="1" x="97"/>
        <item m="1" x="105"/>
        <item m="1" x="71"/>
        <item m="1" x="110"/>
        <item m="1" x="61"/>
        <item m="1" x="75"/>
        <item m="1" x="108"/>
        <item m="1" x="63"/>
        <item m="1" x="80"/>
        <item m="1" x="8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dataField="1" showAll="0"/>
  </pivotFields>
  <rowFields count="1">
    <field x="1"/>
  </rowFields>
  <rowItems count="58"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Fields count="1">
    <field x="0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um of see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644E-2AB0-FA41-86F5-2C28DB31BAE5}">
  <sheetPr>
    <tabColor theme="9" tint="-0.249977111117893"/>
  </sheetPr>
  <dimension ref="A1:AW1255"/>
  <sheetViews>
    <sheetView tabSelected="1" topLeftCell="I1" workbookViewId="0">
      <selection activeCell="V2" sqref="V2"/>
    </sheetView>
  </sheetViews>
  <sheetFormatPr baseColWidth="10" defaultRowHeight="16" x14ac:dyDescent="0.2"/>
  <cols>
    <col min="13" max="13" width="17.6640625" customWidth="1"/>
    <col min="22" max="22" width="49.33203125" bestFit="1" customWidth="1"/>
    <col min="26" max="26" width="34.83203125" bestFit="1" customWidth="1"/>
    <col min="27" max="27" width="15.5" bestFit="1" customWidth="1"/>
    <col min="28" max="28" width="3.83203125" bestFit="1" customWidth="1"/>
    <col min="29" max="29" width="13" bestFit="1" customWidth="1"/>
    <col min="30" max="31" width="14.83203125" bestFit="1" customWidth="1"/>
    <col min="32" max="32" width="15.1640625" bestFit="1" customWidth="1"/>
    <col min="33" max="33" width="12" bestFit="1" customWidth="1"/>
    <col min="34" max="34" width="24.6640625" bestFit="1" customWidth="1"/>
    <col min="35" max="35" width="13.6640625" bestFit="1" customWidth="1"/>
    <col min="36" max="36" width="7.33203125" bestFit="1" customWidth="1"/>
    <col min="37" max="37" width="12.1640625" bestFit="1" customWidth="1"/>
    <col min="38" max="38" width="8.33203125" bestFit="1" customWidth="1"/>
    <col min="39" max="39" width="14.1640625" bestFit="1" customWidth="1"/>
    <col min="40" max="40" width="16.6640625" bestFit="1" customWidth="1"/>
    <col min="41" max="41" width="9.6640625" bestFit="1" customWidth="1"/>
    <col min="42" max="42" width="18.6640625" bestFit="1" customWidth="1"/>
    <col min="43" max="43" width="5.6640625" bestFit="1" customWidth="1"/>
    <col min="44" max="44" width="9.33203125" bestFit="1" customWidth="1"/>
    <col min="45" max="45" width="18.6640625" bestFit="1" customWidth="1"/>
    <col min="46" max="46" width="12.83203125" bestFit="1" customWidth="1"/>
    <col min="47" max="47" width="5.6640625" bestFit="1" customWidth="1"/>
    <col min="48" max="48" width="4.83203125" bestFit="1" customWidth="1"/>
    <col min="49" max="49" width="10.83203125" bestFit="1" customWidth="1"/>
    <col min="50" max="50" width="12.33203125" bestFit="1" customWidth="1"/>
    <col min="51" max="51" width="14.1640625" bestFit="1" customWidth="1"/>
    <col min="52" max="52" width="12.33203125" bestFit="1" customWidth="1"/>
    <col min="53" max="53" width="16.6640625" bestFit="1" customWidth="1"/>
    <col min="54" max="54" width="12.33203125" bestFit="1" customWidth="1"/>
    <col min="55" max="55" width="11.33203125" bestFit="1" customWidth="1"/>
    <col min="56" max="56" width="12.33203125" bestFit="1" customWidth="1"/>
    <col min="57" max="57" width="18.6640625" bestFit="1" customWidth="1"/>
    <col min="58" max="58" width="12.33203125" bestFit="1" customWidth="1"/>
    <col min="59" max="59" width="11.33203125" bestFit="1" customWidth="1"/>
    <col min="60" max="60" width="12.33203125" bestFit="1" customWidth="1"/>
    <col min="61" max="61" width="11.33203125" bestFit="1" customWidth="1"/>
    <col min="62" max="62" width="12.33203125" bestFit="1" customWidth="1"/>
    <col min="63" max="63" width="18.6640625" bestFit="1" customWidth="1"/>
    <col min="64" max="64" width="12.33203125" bestFit="1" customWidth="1"/>
    <col min="65" max="65" width="12.83203125" bestFit="1" customWidth="1"/>
    <col min="66" max="66" width="12.33203125" bestFit="1" customWidth="1"/>
    <col min="67" max="67" width="11.33203125" bestFit="1" customWidth="1"/>
    <col min="68" max="68" width="12.33203125" bestFit="1" customWidth="1"/>
    <col min="69" max="69" width="11.33203125" bestFit="1" customWidth="1"/>
    <col min="70" max="70" width="12.33203125" bestFit="1" customWidth="1"/>
    <col min="71" max="71" width="16" bestFit="1" customWidth="1"/>
    <col min="72" max="72" width="17.1640625" bestFit="1" customWidth="1"/>
  </cols>
  <sheetData>
    <row r="1" spans="1:49" x14ac:dyDescent="0.2">
      <c r="A1" s="5" t="s">
        <v>64</v>
      </c>
      <c r="B1" s="5" t="s">
        <v>7</v>
      </c>
      <c r="C1" s="5"/>
      <c r="D1" s="1" t="s">
        <v>0</v>
      </c>
      <c r="E1" s="1" t="s">
        <v>1</v>
      </c>
      <c r="F1" s="1"/>
      <c r="G1" s="2" t="s">
        <v>4</v>
      </c>
      <c r="H1" s="4"/>
      <c r="L1" t="s">
        <v>83</v>
      </c>
      <c r="M1" t="s">
        <v>84</v>
      </c>
      <c r="N1" t="s">
        <v>4</v>
      </c>
      <c r="P1" t="s">
        <v>90</v>
      </c>
      <c r="U1" t="s">
        <v>83</v>
      </c>
      <c r="V1" t="s">
        <v>84</v>
      </c>
      <c r="W1" t="s">
        <v>91</v>
      </c>
      <c r="Z1" s="22" t="s">
        <v>95</v>
      </c>
      <c r="AA1" s="22" t="s">
        <v>94</v>
      </c>
    </row>
    <row r="2" spans="1:49" x14ac:dyDescent="0.2">
      <c r="A2" s="6" t="s">
        <v>8</v>
      </c>
      <c r="B2" s="6">
        <v>1968</v>
      </c>
      <c r="C2" s="6"/>
      <c r="D2" s="3" t="s">
        <v>6</v>
      </c>
      <c r="E2" s="3" t="s">
        <v>2</v>
      </c>
      <c r="F2" s="3">
        <v>1</v>
      </c>
      <c r="G2" s="4">
        <v>4.2</v>
      </c>
      <c r="H2" s="4">
        <v>4.2</v>
      </c>
      <c r="I2" s="6"/>
      <c r="J2" s="6"/>
      <c r="K2" s="6"/>
      <c r="L2" s="6" t="str">
        <f>D2</f>
        <v>wolf</v>
      </c>
      <c r="M2" s="6" t="str">
        <f>A2</f>
        <v>2001: A Space Odyssey (Duella, Lockwood)</v>
      </c>
      <c r="N2" s="9">
        <f>H2</f>
        <v>4.2</v>
      </c>
      <c r="P2" t="str">
        <f>""""&amp;L2&amp;""";"""&amp;LEFT(M2,FIND("(",M2)-2)&amp;""";"""&amp;SUBSTITUTE(N2,",",".")&amp;""""</f>
        <v>"wolf";"2001: A Space Odyssey";"4.2"</v>
      </c>
      <c r="U2" t="str">
        <f>D2</f>
        <v>wolf</v>
      </c>
      <c r="V2" t="str">
        <f>LEFT(A2,FIND("(",A2)-2)</f>
        <v>2001: A Space Odyssey</v>
      </c>
      <c r="W2">
        <f>F2</f>
        <v>1</v>
      </c>
      <c r="Z2" s="22" t="s">
        <v>92</v>
      </c>
      <c r="AA2" t="s">
        <v>70</v>
      </c>
      <c r="AB2" t="s">
        <v>82</v>
      </c>
      <c r="AC2" t="s">
        <v>81</v>
      </c>
      <c r="AD2" t="s">
        <v>76</v>
      </c>
      <c r="AE2" t="s">
        <v>86</v>
      </c>
      <c r="AF2" t="s">
        <v>68</v>
      </c>
      <c r="AG2" t="s">
        <v>74</v>
      </c>
      <c r="AH2" t="s">
        <v>75</v>
      </c>
      <c r="AI2" t="s">
        <v>88</v>
      </c>
      <c r="AJ2" t="s">
        <v>71</v>
      </c>
      <c r="AK2" t="s">
        <v>77</v>
      </c>
      <c r="AL2" t="s">
        <v>73</v>
      </c>
      <c r="AM2" t="s">
        <v>79</v>
      </c>
      <c r="AN2" t="s">
        <v>78</v>
      </c>
      <c r="AO2" t="s">
        <v>80</v>
      </c>
      <c r="AP2" t="s">
        <v>87</v>
      </c>
      <c r="AQ2" t="s">
        <v>65</v>
      </c>
      <c r="AR2" t="s">
        <v>69</v>
      </c>
      <c r="AS2" t="s">
        <v>85</v>
      </c>
      <c r="AT2" t="s">
        <v>72</v>
      </c>
      <c r="AU2" t="s">
        <v>67</v>
      </c>
      <c r="AV2" t="s">
        <v>6</v>
      </c>
      <c r="AW2" t="s">
        <v>93</v>
      </c>
    </row>
    <row r="3" spans="1:49" x14ac:dyDescent="0.2">
      <c r="A3" s="7" t="s">
        <v>9</v>
      </c>
      <c r="B3" s="7">
        <v>1971</v>
      </c>
      <c r="C3" s="7"/>
      <c r="D3" s="3" t="s">
        <v>6</v>
      </c>
      <c r="E3" s="3" t="s">
        <v>2</v>
      </c>
      <c r="F3" s="3">
        <v>1</v>
      </c>
      <c r="G3" s="4">
        <v>4</v>
      </c>
      <c r="H3" s="4">
        <v>4</v>
      </c>
      <c r="I3" s="6"/>
      <c r="J3" s="6"/>
      <c r="K3" s="6"/>
      <c r="L3" s="6" t="str">
        <f t="shared" ref="L3:L66" si="0">D3</f>
        <v>wolf</v>
      </c>
      <c r="M3" s="6" t="str">
        <f t="shared" ref="M3:M66" si="1">A3</f>
        <v>A Clockwork Orange (McDowell, Magee)</v>
      </c>
      <c r="N3" s="9">
        <f t="shared" ref="N3:N66" si="2">H3</f>
        <v>4</v>
      </c>
      <c r="P3" t="str">
        <f t="shared" ref="P3:P66" si="3">""""&amp;L3&amp;""";"""&amp;LEFT(M3,FIND("(",M3)-2)&amp;""";"""&amp;SUBSTITUTE(N3,",",".")&amp;""""</f>
        <v>"wolf";"A Clockwork Orange";"4"</v>
      </c>
      <c r="U3" t="str">
        <f t="shared" ref="U3:U66" si="4">D3</f>
        <v>wolf</v>
      </c>
      <c r="V3" t="str">
        <f>LEFT(A3,FIND("(",A3)-2)</f>
        <v>A Clockwork Orange</v>
      </c>
      <c r="W3">
        <f t="shared" ref="W3:W66" si="5">F3</f>
        <v>1</v>
      </c>
      <c r="Z3" s="23" t="s">
        <v>96</v>
      </c>
      <c r="AA3" s="24">
        <v>0</v>
      </c>
      <c r="AB3" s="24">
        <v>1</v>
      </c>
      <c r="AC3" s="24">
        <v>0</v>
      </c>
      <c r="AD3" s="24">
        <v>1</v>
      </c>
      <c r="AE3" s="24">
        <v>0</v>
      </c>
      <c r="AF3" s="24">
        <v>0</v>
      </c>
      <c r="AG3" s="24">
        <v>1</v>
      </c>
      <c r="AH3" s="24">
        <v>1</v>
      </c>
      <c r="AI3" s="24">
        <v>0</v>
      </c>
      <c r="AJ3" s="24">
        <v>1</v>
      </c>
      <c r="AK3" s="24">
        <v>0</v>
      </c>
      <c r="AL3" s="24">
        <v>1</v>
      </c>
      <c r="AM3" s="24">
        <v>1</v>
      </c>
      <c r="AN3" s="24">
        <v>0</v>
      </c>
      <c r="AO3" s="24">
        <v>0</v>
      </c>
      <c r="AP3" s="24">
        <v>0</v>
      </c>
      <c r="AQ3" s="24">
        <v>1</v>
      </c>
      <c r="AR3" s="24">
        <v>0</v>
      </c>
      <c r="AS3" s="24">
        <v>1</v>
      </c>
      <c r="AT3" s="24">
        <v>0</v>
      </c>
      <c r="AU3" s="24">
        <v>0</v>
      </c>
      <c r="AV3" s="24">
        <v>1</v>
      </c>
      <c r="AW3" s="24">
        <v>10</v>
      </c>
    </row>
    <row r="4" spans="1:49" x14ac:dyDescent="0.2">
      <c r="A4" s="7" t="s">
        <v>10</v>
      </c>
      <c r="B4" s="7">
        <v>2018</v>
      </c>
      <c r="C4" s="7"/>
      <c r="D4" s="3" t="s">
        <v>6</v>
      </c>
      <c r="E4" s="3" t="s">
        <v>3</v>
      </c>
      <c r="F4" s="3">
        <v>0</v>
      </c>
      <c r="G4" s="4"/>
      <c r="H4" s="4">
        <v>0</v>
      </c>
      <c r="I4" s="6"/>
      <c r="J4" s="6"/>
      <c r="K4" s="6"/>
      <c r="L4" s="6" t="str">
        <f t="shared" si="0"/>
        <v>wolf</v>
      </c>
      <c r="M4" s="6" t="str">
        <f t="shared" si="1"/>
        <v>A star is born (Gaga, Cooper)</v>
      </c>
      <c r="N4" s="9">
        <f t="shared" si="2"/>
        <v>0</v>
      </c>
      <c r="P4" t="str">
        <f t="shared" si="3"/>
        <v>"wolf";"A star is born";"0"</v>
      </c>
      <c r="U4" t="str">
        <f t="shared" si="4"/>
        <v>wolf</v>
      </c>
      <c r="V4" t="str">
        <f t="shared" ref="V4:V66" si="6">LEFT(A4,FIND("(",A4)-2)</f>
        <v>A star is born</v>
      </c>
      <c r="W4">
        <f t="shared" si="5"/>
        <v>0</v>
      </c>
      <c r="Z4" s="23" t="s">
        <v>97</v>
      </c>
      <c r="AA4" s="24">
        <v>0</v>
      </c>
      <c r="AB4" s="24">
        <v>1</v>
      </c>
      <c r="AC4" s="24">
        <v>0</v>
      </c>
      <c r="AD4" s="24">
        <v>1</v>
      </c>
      <c r="AE4" s="24">
        <v>1</v>
      </c>
      <c r="AF4" s="24">
        <v>1</v>
      </c>
      <c r="AG4" s="24">
        <v>1</v>
      </c>
      <c r="AH4" s="24">
        <v>0</v>
      </c>
      <c r="AI4" s="24">
        <v>1</v>
      </c>
      <c r="AJ4" s="24">
        <v>0</v>
      </c>
      <c r="AK4" s="24">
        <v>0</v>
      </c>
      <c r="AL4" s="24">
        <v>1</v>
      </c>
      <c r="AM4" s="24">
        <v>1</v>
      </c>
      <c r="AN4" s="24">
        <v>0</v>
      </c>
      <c r="AO4" s="24">
        <v>0</v>
      </c>
      <c r="AP4" s="24">
        <v>0</v>
      </c>
      <c r="AQ4" s="24">
        <v>0</v>
      </c>
      <c r="AR4" s="24">
        <v>1</v>
      </c>
      <c r="AS4" s="24">
        <v>0</v>
      </c>
      <c r="AT4" s="24">
        <v>0</v>
      </c>
      <c r="AU4" s="24">
        <v>0</v>
      </c>
      <c r="AV4" s="24">
        <v>1</v>
      </c>
      <c r="AW4" s="24">
        <v>10</v>
      </c>
    </row>
    <row r="5" spans="1:49" x14ac:dyDescent="0.2">
      <c r="A5" s="6" t="s">
        <v>11</v>
      </c>
      <c r="B5" s="7">
        <v>2005</v>
      </c>
      <c r="C5" s="7"/>
      <c r="D5" s="3" t="s">
        <v>6</v>
      </c>
      <c r="E5" s="3" t="s">
        <v>2</v>
      </c>
      <c r="F5" s="3">
        <v>1</v>
      </c>
      <c r="G5" s="4">
        <v>4.5</v>
      </c>
      <c r="H5" s="4">
        <v>4.5</v>
      </c>
      <c r="I5" s="6"/>
      <c r="J5" s="6"/>
      <c r="K5" s="6"/>
      <c r="L5" s="6" t="str">
        <f t="shared" si="0"/>
        <v>wolf</v>
      </c>
      <c r="M5" s="6" t="str">
        <f t="shared" si="1"/>
        <v>Aeon Flux (Theron, Csokas)</v>
      </c>
      <c r="N5" s="9">
        <f t="shared" si="2"/>
        <v>4.5</v>
      </c>
      <c r="P5" t="str">
        <f t="shared" si="3"/>
        <v>"wolf";"Aeon Flux";"4.5"</v>
      </c>
      <c r="U5" t="str">
        <f t="shared" si="4"/>
        <v>wolf</v>
      </c>
      <c r="V5" t="str">
        <f t="shared" si="6"/>
        <v>Aeon Flux</v>
      </c>
      <c r="W5">
        <f t="shared" si="5"/>
        <v>1</v>
      </c>
      <c r="Z5" s="23" t="s">
        <v>98</v>
      </c>
      <c r="AA5" s="24">
        <v>0</v>
      </c>
      <c r="AB5" s="24">
        <v>1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1</v>
      </c>
      <c r="AK5" s="24">
        <v>1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1</v>
      </c>
      <c r="AT5" s="24">
        <v>0</v>
      </c>
      <c r="AU5" s="24">
        <v>0</v>
      </c>
      <c r="AV5" s="24">
        <v>0</v>
      </c>
      <c r="AW5" s="24">
        <v>4</v>
      </c>
    </row>
    <row r="6" spans="1:49" x14ac:dyDescent="0.2">
      <c r="A6" s="7" t="s">
        <v>12</v>
      </c>
      <c r="B6" s="7">
        <v>1951</v>
      </c>
      <c r="C6" s="7"/>
      <c r="D6" s="3" t="s">
        <v>6</v>
      </c>
      <c r="E6" s="3" t="s">
        <v>3</v>
      </c>
      <c r="F6" s="3">
        <v>0</v>
      </c>
      <c r="G6" s="4"/>
      <c r="H6" s="4">
        <v>0</v>
      </c>
      <c r="I6" s="6"/>
      <c r="J6" s="6"/>
      <c r="K6" s="6"/>
      <c r="L6" s="6" t="str">
        <f t="shared" si="0"/>
        <v>wolf</v>
      </c>
      <c r="M6" s="6" t="str">
        <f t="shared" si="1"/>
        <v>African Queen (Bogart, Hepburn)</v>
      </c>
      <c r="N6" s="9">
        <f t="shared" si="2"/>
        <v>0</v>
      </c>
      <c r="P6" t="str">
        <f t="shared" si="3"/>
        <v>"wolf";"African Queen";"0"</v>
      </c>
      <c r="U6" t="str">
        <f t="shared" si="4"/>
        <v>wolf</v>
      </c>
      <c r="V6" t="str">
        <f t="shared" si="6"/>
        <v>African Queen</v>
      </c>
      <c r="W6">
        <f t="shared" si="5"/>
        <v>0</v>
      </c>
      <c r="Z6" s="23" t="s">
        <v>99</v>
      </c>
      <c r="AA6" s="24">
        <v>0</v>
      </c>
      <c r="AB6" s="24">
        <v>0</v>
      </c>
      <c r="AC6" s="24">
        <v>0</v>
      </c>
      <c r="AD6" s="24">
        <v>1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1</v>
      </c>
      <c r="AQ6" s="24">
        <v>1</v>
      </c>
      <c r="AR6" s="24">
        <v>0</v>
      </c>
      <c r="AS6" s="24">
        <v>0</v>
      </c>
      <c r="AT6" s="24">
        <v>1</v>
      </c>
      <c r="AU6" s="24">
        <v>0</v>
      </c>
      <c r="AV6" s="24">
        <v>1</v>
      </c>
      <c r="AW6" s="24">
        <v>5</v>
      </c>
    </row>
    <row r="7" spans="1:49" x14ac:dyDescent="0.2">
      <c r="A7" s="7" t="s">
        <v>13</v>
      </c>
      <c r="B7" s="7">
        <v>1979</v>
      </c>
      <c r="C7" s="7"/>
      <c r="D7" s="3" t="s">
        <v>6</v>
      </c>
      <c r="E7" s="3" t="s">
        <v>2</v>
      </c>
      <c r="F7" s="3">
        <v>1</v>
      </c>
      <c r="G7" s="4">
        <v>3.8</v>
      </c>
      <c r="H7" s="4">
        <v>3.8</v>
      </c>
      <c r="I7" s="6"/>
      <c r="J7" s="6"/>
      <c r="K7" s="6"/>
      <c r="L7" s="6" t="str">
        <f t="shared" si="0"/>
        <v>wolf</v>
      </c>
      <c r="M7" s="6" t="str">
        <f t="shared" si="1"/>
        <v>Alien (Weaver, Skerritt)</v>
      </c>
      <c r="N7" s="9">
        <f t="shared" si="2"/>
        <v>3.8</v>
      </c>
      <c r="P7" t="str">
        <f t="shared" si="3"/>
        <v>"wolf";"Alien";"3.8"</v>
      </c>
      <c r="U7" t="str">
        <f t="shared" si="4"/>
        <v>wolf</v>
      </c>
      <c r="V7" t="str">
        <f t="shared" si="6"/>
        <v>Alien</v>
      </c>
      <c r="W7">
        <f t="shared" si="5"/>
        <v>1</v>
      </c>
      <c r="Z7" s="23" t="s">
        <v>100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1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1</v>
      </c>
      <c r="AR7" s="24">
        <v>0</v>
      </c>
      <c r="AS7" s="24">
        <v>1</v>
      </c>
      <c r="AT7" s="24">
        <v>0</v>
      </c>
      <c r="AU7" s="24">
        <v>0</v>
      </c>
      <c r="AV7" s="24">
        <v>0</v>
      </c>
      <c r="AW7" s="24">
        <v>3</v>
      </c>
    </row>
    <row r="8" spans="1:49" x14ac:dyDescent="0.2">
      <c r="A8" s="6" t="s">
        <v>14</v>
      </c>
      <c r="B8" s="7">
        <v>1960</v>
      </c>
      <c r="C8" s="7"/>
      <c r="D8" s="3" t="s">
        <v>6</v>
      </c>
      <c r="E8" s="3" t="s">
        <v>2</v>
      </c>
      <c r="F8" s="3">
        <v>1</v>
      </c>
      <c r="G8" s="4">
        <v>2</v>
      </c>
      <c r="H8" s="4">
        <v>2</v>
      </c>
      <c r="I8" s="6"/>
      <c r="J8" s="6"/>
      <c r="K8" s="6"/>
      <c r="L8" s="6" t="str">
        <f t="shared" si="0"/>
        <v>wolf</v>
      </c>
      <c r="M8" s="6" t="str">
        <f t="shared" si="1"/>
        <v>Apartment (Lemmon, MacLaine)</v>
      </c>
      <c r="N8" s="9">
        <f t="shared" si="2"/>
        <v>2</v>
      </c>
      <c r="P8" t="str">
        <f t="shared" si="3"/>
        <v>"wolf";"Apartment";"2"</v>
      </c>
      <c r="U8" t="str">
        <f t="shared" si="4"/>
        <v>wolf</v>
      </c>
      <c r="V8" t="str">
        <f t="shared" si="6"/>
        <v>Apartment</v>
      </c>
      <c r="W8">
        <f t="shared" si="5"/>
        <v>1</v>
      </c>
      <c r="Z8" s="23" t="s">
        <v>101</v>
      </c>
      <c r="AA8" s="24">
        <v>0</v>
      </c>
      <c r="AB8" s="24">
        <v>1</v>
      </c>
      <c r="AC8" s="24">
        <v>0</v>
      </c>
      <c r="AD8" s="24">
        <v>1</v>
      </c>
      <c r="AE8" s="24">
        <v>1</v>
      </c>
      <c r="AF8" s="24">
        <v>0</v>
      </c>
      <c r="AG8" s="24">
        <v>1</v>
      </c>
      <c r="AH8" s="24">
        <v>1</v>
      </c>
      <c r="AI8" s="24">
        <v>0</v>
      </c>
      <c r="AJ8" s="24">
        <v>0</v>
      </c>
      <c r="AK8" s="24">
        <v>0</v>
      </c>
      <c r="AL8" s="24">
        <v>1</v>
      </c>
      <c r="AM8" s="24">
        <v>1</v>
      </c>
      <c r="AN8" s="24">
        <v>0</v>
      </c>
      <c r="AO8" s="24">
        <v>0</v>
      </c>
      <c r="AP8" s="24">
        <v>0</v>
      </c>
      <c r="AQ8" s="24">
        <v>1</v>
      </c>
      <c r="AR8" s="24">
        <v>0</v>
      </c>
      <c r="AS8" s="24">
        <v>1</v>
      </c>
      <c r="AT8" s="24">
        <v>1</v>
      </c>
      <c r="AU8" s="24">
        <v>0</v>
      </c>
      <c r="AV8" s="24">
        <v>1</v>
      </c>
      <c r="AW8" s="24">
        <v>11</v>
      </c>
    </row>
    <row r="9" spans="1:49" x14ac:dyDescent="0.2">
      <c r="A9" s="7" t="s">
        <v>15</v>
      </c>
      <c r="B9" s="7">
        <v>1979</v>
      </c>
      <c r="C9" s="7"/>
      <c r="D9" s="3" t="s">
        <v>6</v>
      </c>
      <c r="E9" s="3" t="s">
        <v>2</v>
      </c>
      <c r="F9" s="3">
        <v>1</v>
      </c>
      <c r="G9" s="4">
        <v>3.5</v>
      </c>
      <c r="H9" s="4">
        <v>3.5</v>
      </c>
      <c r="I9" s="6"/>
      <c r="J9" s="6"/>
      <c r="K9" s="6"/>
      <c r="L9" s="6" t="str">
        <f t="shared" si="0"/>
        <v>wolf</v>
      </c>
      <c r="M9" s="6" t="str">
        <f t="shared" si="1"/>
        <v>Apocalypse Now (Sheen, Brando)</v>
      </c>
      <c r="N9" s="9">
        <f t="shared" si="2"/>
        <v>3.5</v>
      </c>
      <c r="P9" t="str">
        <f t="shared" si="3"/>
        <v>"wolf";"Apocalypse Now";"3.5"</v>
      </c>
      <c r="U9" t="str">
        <f t="shared" si="4"/>
        <v>wolf</v>
      </c>
      <c r="V9" t="str">
        <f t="shared" si="6"/>
        <v>Apocalypse Now</v>
      </c>
      <c r="W9">
        <f t="shared" si="5"/>
        <v>1</v>
      </c>
      <c r="Z9" s="23" t="s">
        <v>102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1</v>
      </c>
      <c r="AI9" s="24">
        <v>0</v>
      </c>
      <c r="AJ9" s="24">
        <v>0</v>
      </c>
      <c r="AK9" s="24">
        <v>0</v>
      </c>
      <c r="AL9" s="24">
        <v>1</v>
      </c>
      <c r="AM9" s="24">
        <v>0</v>
      </c>
      <c r="AN9" s="24">
        <v>0</v>
      </c>
      <c r="AO9" s="24">
        <v>0</v>
      </c>
      <c r="AP9" s="24">
        <v>0</v>
      </c>
      <c r="AQ9" s="24">
        <v>1</v>
      </c>
      <c r="AR9" s="24">
        <v>0</v>
      </c>
      <c r="AS9" s="24">
        <v>0</v>
      </c>
      <c r="AT9" s="24">
        <v>0</v>
      </c>
      <c r="AU9" s="24">
        <v>0</v>
      </c>
      <c r="AV9" s="24">
        <v>1</v>
      </c>
      <c r="AW9" s="24">
        <v>4</v>
      </c>
    </row>
    <row r="10" spans="1:49" x14ac:dyDescent="0.2">
      <c r="A10" s="6" t="s">
        <v>16</v>
      </c>
      <c r="B10" s="7">
        <v>1956</v>
      </c>
      <c r="C10" s="7"/>
      <c r="D10" s="3" t="s">
        <v>6</v>
      </c>
      <c r="E10" s="3" t="s">
        <v>2</v>
      </c>
      <c r="F10" s="3">
        <v>1</v>
      </c>
      <c r="G10" s="4">
        <v>4.5</v>
      </c>
      <c r="H10" s="4">
        <v>4.5</v>
      </c>
      <c r="I10" s="6"/>
      <c r="J10" s="6"/>
      <c r="K10" s="6"/>
      <c r="L10" s="6" t="str">
        <f t="shared" si="0"/>
        <v>wolf</v>
      </c>
      <c r="M10" s="6" t="str">
        <f t="shared" si="1"/>
        <v>Around The World In 80 Days (Niven, Cantinflas)</v>
      </c>
      <c r="N10" s="9">
        <f t="shared" si="2"/>
        <v>4.5</v>
      </c>
      <c r="P10" t="str">
        <f t="shared" si="3"/>
        <v>"wolf";"Around The World In 80 Days";"4.5"</v>
      </c>
      <c r="U10" t="str">
        <f t="shared" si="4"/>
        <v>wolf</v>
      </c>
      <c r="V10" t="str">
        <f t="shared" si="6"/>
        <v>Around The World In 80 Days</v>
      </c>
      <c r="W10">
        <f t="shared" si="5"/>
        <v>1</v>
      </c>
      <c r="Z10" s="23" t="s">
        <v>103</v>
      </c>
      <c r="AA10" s="24">
        <v>0</v>
      </c>
      <c r="AB10" s="24">
        <v>1</v>
      </c>
      <c r="AC10" s="24">
        <v>0</v>
      </c>
      <c r="AD10" s="24">
        <v>1</v>
      </c>
      <c r="AE10" s="24">
        <v>1</v>
      </c>
      <c r="AF10" s="24">
        <v>0</v>
      </c>
      <c r="AG10" s="24">
        <v>1</v>
      </c>
      <c r="AH10" s="24">
        <v>1</v>
      </c>
      <c r="AI10" s="24">
        <v>0</v>
      </c>
      <c r="AJ10" s="24">
        <v>1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1</v>
      </c>
      <c r="AR10" s="24">
        <v>0</v>
      </c>
      <c r="AS10" s="24">
        <v>1</v>
      </c>
      <c r="AT10" s="24">
        <v>0</v>
      </c>
      <c r="AU10" s="24">
        <v>0</v>
      </c>
      <c r="AV10" s="24">
        <v>1</v>
      </c>
      <c r="AW10" s="24">
        <v>9</v>
      </c>
    </row>
    <row r="11" spans="1:49" x14ac:dyDescent="0.2">
      <c r="A11" s="7" t="s">
        <v>17</v>
      </c>
      <c r="B11" s="7">
        <v>2009</v>
      </c>
      <c r="C11" s="7"/>
      <c r="D11" s="3" t="s">
        <v>6</v>
      </c>
      <c r="E11" s="3" t="s">
        <v>2</v>
      </c>
      <c r="F11" s="3">
        <v>1</v>
      </c>
      <c r="G11" s="4">
        <v>4.9000000000000004</v>
      </c>
      <c r="H11" s="4">
        <v>4.9000000000000004</v>
      </c>
      <c r="I11" s="6"/>
      <c r="J11" s="6"/>
      <c r="K11" s="6"/>
      <c r="L11" s="6" t="str">
        <f t="shared" si="0"/>
        <v>wolf</v>
      </c>
      <c r="M11" s="6" t="str">
        <f t="shared" si="1"/>
        <v>Avatar (Worthington, Saldana)</v>
      </c>
      <c r="N11" s="9">
        <f t="shared" si="2"/>
        <v>4.9000000000000004</v>
      </c>
      <c r="P11" t="str">
        <f t="shared" si="3"/>
        <v>"wolf";"Avatar";"4.9"</v>
      </c>
      <c r="U11" t="str">
        <f t="shared" si="4"/>
        <v>wolf</v>
      </c>
      <c r="V11" t="str">
        <f t="shared" si="6"/>
        <v>Avatar</v>
      </c>
      <c r="W11">
        <f t="shared" si="5"/>
        <v>1</v>
      </c>
      <c r="Z11" s="23" t="s">
        <v>104</v>
      </c>
      <c r="AA11" s="24">
        <v>0</v>
      </c>
      <c r="AB11" s="24">
        <v>0</v>
      </c>
      <c r="AC11" s="24">
        <v>0</v>
      </c>
      <c r="AD11" s="24">
        <v>1</v>
      </c>
      <c r="AE11" s="24">
        <v>0</v>
      </c>
      <c r="AF11" s="24">
        <v>1</v>
      </c>
      <c r="AG11" s="24">
        <v>1</v>
      </c>
      <c r="AH11" s="24">
        <v>1</v>
      </c>
      <c r="AI11" s="24">
        <v>0</v>
      </c>
      <c r="AJ11" s="24">
        <v>0</v>
      </c>
      <c r="AK11" s="24">
        <v>1</v>
      </c>
      <c r="AL11" s="24">
        <v>1</v>
      </c>
      <c r="AM11" s="24">
        <v>0</v>
      </c>
      <c r="AN11" s="24">
        <v>1</v>
      </c>
      <c r="AO11" s="24">
        <v>0</v>
      </c>
      <c r="AP11" s="24">
        <v>0</v>
      </c>
      <c r="AQ11" s="24">
        <v>1</v>
      </c>
      <c r="AR11" s="24">
        <v>0</v>
      </c>
      <c r="AS11" s="24">
        <v>1</v>
      </c>
      <c r="AT11" s="24">
        <v>0</v>
      </c>
      <c r="AU11" s="24">
        <v>1</v>
      </c>
      <c r="AV11" s="24">
        <v>1</v>
      </c>
      <c r="AW11" s="24">
        <v>11</v>
      </c>
    </row>
    <row r="12" spans="1:49" x14ac:dyDescent="0.2">
      <c r="A12" s="6" t="s">
        <v>18</v>
      </c>
      <c r="B12" s="7">
        <v>1989</v>
      </c>
      <c r="C12" s="7"/>
      <c r="D12" s="3" t="s">
        <v>6</v>
      </c>
      <c r="E12" s="3" t="s">
        <v>2</v>
      </c>
      <c r="F12" s="3">
        <v>1</v>
      </c>
      <c r="G12" s="4">
        <v>3.5</v>
      </c>
      <c r="H12" s="4">
        <v>3.5</v>
      </c>
      <c r="I12" s="6"/>
      <c r="J12" s="6"/>
      <c r="K12" s="6"/>
      <c r="L12" s="6" t="str">
        <f t="shared" si="0"/>
        <v>wolf</v>
      </c>
      <c r="M12" s="6" t="str">
        <f t="shared" si="1"/>
        <v>Batman (Keaton, Nicholson, Basinger)</v>
      </c>
      <c r="N12" s="9">
        <f t="shared" si="2"/>
        <v>3.5</v>
      </c>
      <c r="P12" t="str">
        <f t="shared" si="3"/>
        <v>"wolf";"Batman";"3.5"</v>
      </c>
      <c r="U12" t="str">
        <f t="shared" si="4"/>
        <v>wolf</v>
      </c>
      <c r="V12" t="str">
        <f t="shared" si="6"/>
        <v>Batman</v>
      </c>
      <c r="W12">
        <f t="shared" si="5"/>
        <v>1</v>
      </c>
      <c r="Z12" s="23" t="s">
        <v>105</v>
      </c>
      <c r="AA12" s="24">
        <v>1</v>
      </c>
      <c r="AB12" s="24">
        <v>1</v>
      </c>
      <c r="AC12" s="24">
        <v>1</v>
      </c>
      <c r="AD12" s="24">
        <v>1</v>
      </c>
      <c r="AE12" s="24">
        <v>1</v>
      </c>
      <c r="AF12" s="24">
        <v>1</v>
      </c>
      <c r="AG12" s="24">
        <v>0</v>
      </c>
      <c r="AH12" s="24">
        <v>1</v>
      </c>
      <c r="AI12" s="24">
        <v>1</v>
      </c>
      <c r="AJ12" s="24">
        <v>1</v>
      </c>
      <c r="AK12" s="24">
        <v>1</v>
      </c>
      <c r="AL12" s="24">
        <v>1</v>
      </c>
      <c r="AM12" s="24">
        <v>1</v>
      </c>
      <c r="AN12" s="24">
        <v>1</v>
      </c>
      <c r="AO12" s="24">
        <v>1</v>
      </c>
      <c r="AP12" s="24">
        <v>1</v>
      </c>
      <c r="AQ12" s="24">
        <v>1</v>
      </c>
      <c r="AR12" s="24">
        <v>1</v>
      </c>
      <c r="AS12" s="24">
        <v>1</v>
      </c>
      <c r="AT12" s="24">
        <v>1</v>
      </c>
      <c r="AU12" s="24">
        <v>1</v>
      </c>
      <c r="AV12" s="24">
        <v>1</v>
      </c>
      <c r="AW12" s="24">
        <v>21</v>
      </c>
    </row>
    <row r="13" spans="1:49" x14ac:dyDescent="0.2">
      <c r="A13" s="6" t="s">
        <v>19</v>
      </c>
      <c r="B13" s="7">
        <v>1982</v>
      </c>
      <c r="C13" s="7"/>
      <c r="D13" s="3" t="s">
        <v>6</v>
      </c>
      <c r="E13" s="3" t="s">
        <v>2</v>
      </c>
      <c r="F13" s="3">
        <v>1</v>
      </c>
      <c r="G13" s="4">
        <v>4.2</v>
      </c>
      <c r="H13" s="4">
        <v>4.2</v>
      </c>
      <c r="I13" s="6"/>
      <c r="J13" s="6"/>
      <c r="K13" s="6"/>
      <c r="L13" s="6" t="str">
        <f t="shared" si="0"/>
        <v>wolf</v>
      </c>
      <c r="M13" s="6" t="str">
        <f t="shared" si="1"/>
        <v>Blade Runner (Ford, Hauer)</v>
      </c>
      <c r="N13" s="9">
        <f t="shared" si="2"/>
        <v>4.2</v>
      </c>
      <c r="P13" t="str">
        <f t="shared" si="3"/>
        <v>"wolf";"Blade Runner";"4.2"</v>
      </c>
      <c r="U13" t="str">
        <f t="shared" si="4"/>
        <v>wolf</v>
      </c>
      <c r="V13" t="str">
        <f t="shared" si="6"/>
        <v>Blade Runner</v>
      </c>
      <c r="W13">
        <f t="shared" si="5"/>
        <v>1</v>
      </c>
      <c r="Z13" s="23" t="s">
        <v>106</v>
      </c>
      <c r="AA13" s="24">
        <v>0</v>
      </c>
      <c r="AB13" s="24">
        <v>1</v>
      </c>
      <c r="AC13" s="24">
        <v>0</v>
      </c>
      <c r="AD13" s="24">
        <v>1</v>
      </c>
      <c r="AE13" s="24">
        <v>1</v>
      </c>
      <c r="AF13" s="24">
        <v>0</v>
      </c>
      <c r="AG13" s="24">
        <v>1</v>
      </c>
      <c r="AH13" s="24">
        <v>1</v>
      </c>
      <c r="AI13" s="24">
        <v>0</v>
      </c>
      <c r="AJ13" s="24">
        <v>1</v>
      </c>
      <c r="AK13" s="24">
        <v>1</v>
      </c>
      <c r="AL13" s="24">
        <v>1</v>
      </c>
      <c r="AM13" s="24">
        <v>0</v>
      </c>
      <c r="AN13" s="24">
        <v>1</v>
      </c>
      <c r="AO13" s="24">
        <v>0</v>
      </c>
      <c r="AP13" s="24">
        <v>0</v>
      </c>
      <c r="AQ13" s="24">
        <v>1</v>
      </c>
      <c r="AR13" s="24">
        <v>1</v>
      </c>
      <c r="AS13" s="24">
        <v>1</v>
      </c>
      <c r="AT13" s="24">
        <v>0</v>
      </c>
      <c r="AU13" s="24">
        <v>0</v>
      </c>
      <c r="AV13" s="24">
        <v>1</v>
      </c>
      <c r="AW13" s="24">
        <v>13</v>
      </c>
    </row>
    <row r="14" spans="1:49" x14ac:dyDescent="0.2">
      <c r="A14" s="6" t="s">
        <v>20</v>
      </c>
      <c r="B14" s="7">
        <v>2018</v>
      </c>
      <c r="C14" s="7"/>
      <c r="D14" s="3" t="s">
        <v>6</v>
      </c>
      <c r="E14" s="3" t="s">
        <v>3</v>
      </c>
      <c r="F14" s="3">
        <v>0</v>
      </c>
      <c r="G14" s="4"/>
      <c r="H14" s="4">
        <v>0</v>
      </c>
      <c r="I14" s="6"/>
      <c r="J14" s="6"/>
      <c r="K14" s="6"/>
      <c r="L14" s="6" t="str">
        <f t="shared" si="0"/>
        <v>wolf</v>
      </c>
      <c r="M14" s="6" t="str">
        <f t="shared" si="1"/>
        <v>Bohemian Rhapsody (Malek, Boynton)</v>
      </c>
      <c r="N14" s="9">
        <f t="shared" si="2"/>
        <v>0</v>
      </c>
      <c r="P14" t="str">
        <f t="shared" si="3"/>
        <v>"wolf";"Bohemian Rhapsody";"0"</v>
      </c>
      <c r="U14" t="str">
        <f t="shared" si="4"/>
        <v>wolf</v>
      </c>
      <c r="V14" t="str">
        <f t="shared" si="6"/>
        <v>Bohemian Rhapsody</v>
      </c>
      <c r="W14">
        <f t="shared" si="5"/>
        <v>0</v>
      </c>
      <c r="Z14" s="23" t="s">
        <v>107</v>
      </c>
      <c r="AA14" s="24">
        <v>0</v>
      </c>
      <c r="AB14" s="24">
        <v>1</v>
      </c>
      <c r="AC14" s="24">
        <v>1</v>
      </c>
      <c r="AD14" s="24">
        <v>1</v>
      </c>
      <c r="AE14" s="24">
        <v>0</v>
      </c>
      <c r="AF14" s="24">
        <v>1</v>
      </c>
      <c r="AG14" s="24">
        <v>0</v>
      </c>
      <c r="AH14" s="24">
        <v>1</v>
      </c>
      <c r="AI14" s="24">
        <v>0</v>
      </c>
      <c r="AJ14" s="24">
        <v>1</v>
      </c>
      <c r="AK14" s="24">
        <v>1</v>
      </c>
      <c r="AL14" s="24">
        <v>1</v>
      </c>
      <c r="AM14" s="24">
        <v>1</v>
      </c>
      <c r="AN14" s="24">
        <v>1</v>
      </c>
      <c r="AO14" s="24">
        <v>0</v>
      </c>
      <c r="AP14" s="24">
        <v>0</v>
      </c>
      <c r="AQ14" s="24">
        <v>1</v>
      </c>
      <c r="AR14" s="24">
        <v>0</v>
      </c>
      <c r="AS14" s="24">
        <v>1</v>
      </c>
      <c r="AT14" s="24">
        <v>0</v>
      </c>
      <c r="AU14" s="24">
        <v>0</v>
      </c>
      <c r="AV14" s="24">
        <v>1</v>
      </c>
      <c r="AW14" s="24">
        <v>13</v>
      </c>
    </row>
    <row r="15" spans="1:49" x14ac:dyDescent="0.2">
      <c r="A15" s="6" t="s">
        <v>21</v>
      </c>
      <c r="B15" s="7">
        <v>2011</v>
      </c>
      <c r="C15" s="7"/>
      <c r="D15" s="3" t="s">
        <v>6</v>
      </c>
      <c r="E15" s="3" t="s">
        <v>2</v>
      </c>
      <c r="F15" s="3">
        <v>1</v>
      </c>
      <c r="G15" s="4">
        <v>3.7</v>
      </c>
      <c r="H15" s="4">
        <v>3.7</v>
      </c>
      <c r="I15" s="6"/>
      <c r="J15" s="6"/>
      <c r="K15" s="6"/>
      <c r="L15" s="6" t="str">
        <f t="shared" si="0"/>
        <v>wolf</v>
      </c>
      <c r="M15" s="6" t="str">
        <f t="shared" si="1"/>
        <v>Captain America (Evans, Waeving)</v>
      </c>
      <c r="N15" s="9">
        <f t="shared" si="2"/>
        <v>3.7</v>
      </c>
      <c r="P15" t="str">
        <f t="shared" si="3"/>
        <v>"wolf";"Captain America";"3.7"</v>
      </c>
      <c r="U15" t="str">
        <f t="shared" si="4"/>
        <v>wolf</v>
      </c>
      <c r="V15" t="str">
        <f t="shared" si="6"/>
        <v>Captain America</v>
      </c>
      <c r="W15">
        <f t="shared" si="5"/>
        <v>1</v>
      </c>
      <c r="Z15" s="23" t="s">
        <v>108</v>
      </c>
      <c r="AA15" s="24">
        <v>1</v>
      </c>
      <c r="AB15" s="24">
        <v>1</v>
      </c>
      <c r="AC15" s="24">
        <v>0</v>
      </c>
      <c r="AD15" s="24">
        <v>1</v>
      </c>
      <c r="AE15" s="24">
        <v>1</v>
      </c>
      <c r="AF15" s="24">
        <v>0</v>
      </c>
      <c r="AG15" s="24">
        <v>0</v>
      </c>
      <c r="AH15" s="24">
        <v>1</v>
      </c>
      <c r="AI15" s="24">
        <v>1</v>
      </c>
      <c r="AJ15" s="24">
        <v>0</v>
      </c>
      <c r="AK15" s="24">
        <v>1</v>
      </c>
      <c r="AL15" s="24">
        <v>0</v>
      </c>
      <c r="AM15" s="24">
        <v>0</v>
      </c>
      <c r="AN15" s="24">
        <v>1</v>
      </c>
      <c r="AO15" s="24">
        <v>0</v>
      </c>
      <c r="AP15" s="24">
        <v>0</v>
      </c>
      <c r="AQ15" s="24">
        <v>0</v>
      </c>
      <c r="AR15" s="24">
        <v>0</v>
      </c>
      <c r="AS15" s="24">
        <v>1</v>
      </c>
      <c r="AT15" s="24">
        <v>0</v>
      </c>
      <c r="AU15" s="24">
        <v>0</v>
      </c>
      <c r="AV15" s="24">
        <v>0</v>
      </c>
      <c r="AW15" s="24">
        <v>9</v>
      </c>
    </row>
    <row r="16" spans="1:49" x14ac:dyDescent="0.2">
      <c r="A16" s="6" t="s">
        <v>22</v>
      </c>
      <c r="B16" s="7">
        <v>2000</v>
      </c>
      <c r="C16" s="7"/>
      <c r="D16" s="3" t="s">
        <v>6</v>
      </c>
      <c r="E16" s="3" t="s">
        <v>2</v>
      </c>
      <c r="F16" s="3">
        <v>1</v>
      </c>
      <c r="G16" s="4">
        <v>4.3</v>
      </c>
      <c r="H16" s="4">
        <v>4.3</v>
      </c>
      <c r="I16" s="6"/>
      <c r="J16" s="6"/>
      <c r="K16" s="6"/>
      <c r="L16" s="6" t="str">
        <f t="shared" si="0"/>
        <v>wolf</v>
      </c>
      <c r="M16" s="6" t="str">
        <f t="shared" si="1"/>
        <v>Cast Away (Hanks, Hunt)</v>
      </c>
      <c r="N16" s="9">
        <f t="shared" si="2"/>
        <v>4.3</v>
      </c>
      <c r="P16" t="str">
        <f t="shared" si="3"/>
        <v>"wolf";"Cast Away";"4.3"</v>
      </c>
      <c r="U16" t="str">
        <f t="shared" si="4"/>
        <v>wolf</v>
      </c>
      <c r="V16" t="str">
        <f t="shared" si="6"/>
        <v>Cast Away</v>
      </c>
      <c r="W16">
        <f t="shared" si="5"/>
        <v>1</v>
      </c>
      <c r="Z16" s="23" t="s">
        <v>109</v>
      </c>
      <c r="AA16" s="24">
        <v>0</v>
      </c>
      <c r="AB16" s="24">
        <v>0</v>
      </c>
      <c r="AC16" s="24">
        <v>0</v>
      </c>
      <c r="AD16" s="24">
        <v>1</v>
      </c>
      <c r="AE16" s="24">
        <v>0</v>
      </c>
      <c r="AF16" s="24">
        <v>0</v>
      </c>
      <c r="AG16" s="24">
        <v>0</v>
      </c>
      <c r="AH16" s="24">
        <v>1</v>
      </c>
      <c r="AI16" s="24">
        <v>1</v>
      </c>
      <c r="AJ16" s="24">
        <v>0</v>
      </c>
      <c r="AK16" s="24">
        <v>1</v>
      </c>
      <c r="AL16" s="24">
        <v>0</v>
      </c>
      <c r="AM16" s="24">
        <v>1</v>
      </c>
      <c r="AN16" s="24">
        <v>1</v>
      </c>
      <c r="AO16" s="24">
        <v>0</v>
      </c>
      <c r="AP16" s="24">
        <v>1</v>
      </c>
      <c r="AQ16" s="24">
        <v>1</v>
      </c>
      <c r="AR16" s="24">
        <v>0</v>
      </c>
      <c r="AS16" s="24">
        <v>1</v>
      </c>
      <c r="AT16" s="24">
        <v>1</v>
      </c>
      <c r="AU16" s="24">
        <v>0</v>
      </c>
      <c r="AV16" s="24">
        <v>1</v>
      </c>
      <c r="AW16" s="24">
        <v>11</v>
      </c>
    </row>
    <row r="17" spans="1:49" x14ac:dyDescent="0.2">
      <c r="A17" s="6" t="s">
        <v>23</v>
      </c>
      <c r="B17" s="7">
        <v>1958</v>
      </c>
      <c r="C17" s="7"/>
      <c r="D17" s="3" t="s">
        <v>6</v>
      </c>
      <c r="E17" s="3" t="s">
        <v>2</v>
      </c>
      <c r="F17" s="3">
        <v>1</v>
      </c>
      <c r="G17" s="4">
        <v>4.2</v>
      </c>
      <c r="H17" s="4">
        <v>4.2</v>
      </c>
      <c r="I17" s="6"/>
      <c r="J17" s="6"/>
      <c r="K17" s="6"/>
      <c r="L17" s="6" t="str">
        <f t="shared" si="0"/>
        <v>wolf</v>
      </c>
      <c r="M17" s="6" t="str">
        <f t="shared" si="1"/>
        <v>Cat On Hot Tin Roof (Taylor, Newman)</v>
      </c>
      <c r="N17" s="9">
        <f t="shared" si="2"/>
        <v>4.2</v>
      </c>
      <c r="P17" t="str">
        <f t="shared" si="3"/>
        <v>"wolf";"Cat On Hot Tin Roof";"4.2"</v>
      </c>
      <c r="U17" t="str">
        <f t="shared" si="4"/>
        <v>wolf</v>
      </c>
      <c r="V17" t="str">
        <f t="shared" si="6"/>
        <v>Cat On Hot Tin Roof</v>
      </c>
      <c r="W17">
        <f t="shared" si="5"/>
        <v>1</v>
      </c>
      <c r="Z17" s="23" t="s">
        <v>110</v>
      </c>
      <c r="AA17" s="24">
        <v>0</v>
      </c>
      <c r="AB17" s="24">
        <v>1</v>
      </c>
      <c r="AC17" s="24">
        <v>0</v>
      </c>
      <c r="AD17" s="24">
        <v>1</v>
      </c>
      <c r="AE17" s="24">
        <v>1</v>
      </c>
      <c r="AF17" s="24">
        <v>0</v>
      </c>
      <c r="AG17" s="24">
        <v>0</v>
      </c>
      <c r="AH17" s="24">
        <v>1</v>
      </c>
      <c r="AI17" s="24">
        <v>0</v>
      </c>
      <c r="AJ17" s="24">
        <v>1</v>
      </c>
      <c r="AK17" s="24">
        <v>1</v>
      </c>
      <c r="AL17" s="24">
        <v>1</v>
      </c>
      <c r="AM17" s="24">
        <v>1</v>
      </c>
      <c r="AN17" s="24">
        <v>1</v>
      </c>
      <c r="AO17" s="24">
        <v>1</v>
      </c>
      <c r="AP17" s="24">
        <v>1</v>
      </c>
      <c r="AQ17" s="24">
        <v>1</v>
      </c>
      <c r="AR17" s="24">
        <v>1</v>
      </c>
      <c r="AS17" s="24">
        <v>1</v>
      </c>
      <c r="AT17" s="24">
        <v>1</v>
      </c>
      <c r="AU17" s="24">
        <v>1</v>
      </c>
      <c r="AV17" s="24">
        <v>1</v>
      </c>
      <c r="AW17" s="24">
        <v>17</v>
      </c>
    </row>
    <row r="18" spans="1:49" x14ac:dyDescent="0.2">
      <c r="A18" s="7" t="s">
        <v>24</v>
      </c>
      <c r="B18" s="7">
        <v>1963</v>
      </c>
      <c r="C18" s="7"/>
      <c r="D18" s="3" t="s">
        <v>6</v>
      </c>
      <c r="E18" s="3" t="s">
        <v>2</v>
      </c>
      <c r="F18" s="3">
        <v>1</v>
      </c>
      <c r="G18" s="4">
        <v>4.2</v>
      </c>
      <c r="H18" s="4">
        <v>4.2</v>
      </c>
      <c r="I18" s="6"/>
      <c r="J18" s="6"/>
      <c r="K18" s="6"/>
      <c r="L18" s="6" t="str">
        <f t="shared" si="0"/>
        <v>wolf</v>
      </c>
      <c r="M18" s="6" t="str">
        <f t="shared" si="1"/>
        <v>Charade (Grant, Hepburn)</v>
      </c>
      <c r="N18" s="9">
        <f t="shared" si="2"/>
        <v>4.2</v>
      </c>
      <c r="P18" t="str">
        <f t="shared" si="3"/>
        <v>"wolf";"Charade";"4.2"</v>
      </c>
      <c r="U18" t="str">
        <f t="shared" si="4"/>
        <v>wolf</v>
      </c>
      <c r="V18" t="str">
        <f t="shared" si="6"/>
        <v>Charade</v>
      </c>
      <c r="W18">
        <f t="shared" si="5"/>
        <v>1</v>
      </c>
      <c r="Z18" s="23" t="s">
        <v>111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1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1</v>
      </c>
      <c r="AW18" s="24">
        <v>2</v>
      </c>
    </row>
    <row r="19" spans="1:49" x14ac:dyDescent="0.2">
      <c r="A19" s="7" t="s">
        <v>25</v>
      </c>
      <c r="B19" s="7">
        <v>2000</v>
      </c>
      <c r="C19" s="7"/>
      <c r="D19" s="3" t="s">
        <v>6</v>
      </c>
      <c r="E19" s="3" t="s">
        <v>2</v>
      </c>
      <c r="F19" s="3">
        <v>1</v>
      </c>
      <c r="G19" s="4">
        <v>2</v>
      </c>
      <c r="H19" s="4">
        <v>2</v>
      </c>
      <c r="I19" s="6"/>
      <c r="J19" s="6"/>
      <c r="K19" s="6"/>
      <c r="L19" s="6" t="str">
        <f t="shared" si="0"/>
        <v>wolf</v>
      </c>
      <c r="M19" s="6" t="str">
        <f t="shared" si="1"/>
        <v>Charlies Angels (Diaz, Barrymore, Liu)</v>
      </c>
      <c r="N19" s="9">
        <f t="shared" si="2"/>
        <v>2</v>
      </c>
      <c r="P19" t="str">
        <f t="shared" si="3"/>
        <v>"wolf";"Charlies Angels";"2"</v>
      </c>
      <c r="U19" t="str">
        <f t="shared" si="4"/>
        <v>wolf</v>
      </c>
      <c r="V19" t="str">
        <f t="shared" si="6"/>
        <v>Charlies Angels</v>
      </c>
      <c r="W19">
        <f t="shared" si="5"/>
        <v>1</v>
      </c>
      <c r="Z19" s="23" t="s">
        <v>112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1</v>
      </c>
      <c r="AR19" s="24">
        <v>1</v>
      </c>
      <c r="AS19" s="24">
        <v>0</v>
      </c>
      <c r="AT19" s="24">
        <v>0</v>
      </c>
      <c r="AU19" s="24">
        <v>0</v>
      </c>
      <c r="AV19" s="24">
        <v>1</v>
      </c>
      <c r="AW19" s="24">
        <v>3</v>
      </c>
    </row>
    <row r="20" spans="1:49" x14ac:dyDescent="0.2">
      <c r="A20" s="6" t="s">
        <v>26</v>
      </c>
      <c r="B20" s="7">
        <v>1974</v>
      </c>
      <c r="C20" s="7"/>
      <c r="D20" s="3" t="s">
        <v>6</v>
      </c>
      <c r="E20" s="3" t="s">
        <v>3</v>
      </c>
      <c r="F20" s="3">
        <v>0</v>
      </c>
      <c r="G20" s="4"/>
      <c r="H20" s="4">
        <v>0</v>
      </c>
      <c r="I20" s="6"/>
      <c r="J20" s="6"/>
      <c r="K20" s="6"/>
      <c r="L20" s="6" t="str">
        <f t="shared" si="0"/>
        <v>wolf</v>
      </c>
      <c r="M20" s="6" t="str">
        <f t="shared" si="1"/>
        <v>Chinatown (Nicholson, Dunaway)</v>
      </c>
      <c r="N20" s="9">
        <f t="shared" si="2"/>
        <v>0</v>
      </c>
      <c r="P20" t="str">
        <f t="shared" si="3"/>
        <v>"wolf";"Chinatown";"0"</v>
      </c>
      <c r="U20" t="str">
        <f t="shared" si="4"/>
        <v>wolf</v>
      </c>
      <c r="V20" t="str">
        <f t="shared" si="6"/>
        <v>Chinatown</v>
      </c>
      <c r="W20">
        <f t="shared" si="5"/>
        <v>0</v>
      </c>
      <c r="Z20" s="23" t="s">
        <v>113</v>
      </c>
      <c r="AA20" s="24">
        <v>1</v>
      </c>
      <c r="AB20" s="24">
        <v>0</v>
      </c>
      <c r="AC20" s="24">
        <v>1</v>
      </c>
      <c r="AD20" s="24">
        <v>1</v>
      </c>
      <c r="AE20" s="24">
        <v>0</v>
      </c>
      <c r="AF20" s="24">
        <v>0</v>
      </c>
      <c r="AG20" s="24">
        <v>1</v>
      </c>
      <c r="AH20" s="24">
        <v>1</v>
      </c>
      <c r="AI20" s="24">
        <v>1</v>
      </c>
      <c r="AJ20" s="24">
        <v>1</v>
      </c>
      <c r="AK20" s="24">
        <v>1</v>
      </c>
      <c r="AL20" s="24">
        <v>0</v>
      </c>
      <c r="AM20" s="24">
        <v>1</v>
      </c>
      <c r="AN20" s="24">
        <v>1</v>
      </c>
      <c r="AO20" s="24">
        <v>0</v>
      </c>
      <c r="AP20" s="24">
        <v>1</v>
      </c>
      <c r="AQ20" s="24">
        <v>1</v>
      </c>
      <c r="AR20" s="24">
        <v>1</v>
      </c>
      <c r="AS20" s="24">
        <v>1</v>
      </c>
      <c r="AT20" s="24">
        <v>1</v>
      </c>
      <c r="AU20" s="24">
        <v>0</v>
      </c>
      <c r="AV20" s="24">
        <v>1</v>
      </c>
      <c r="AW20" s="24">
        <v>16</v>
      </c>
    </row>
    <row r="21" spans="1:49" x14ac:dyDescent="0.2">
      <c r="A21" s="6" t="s">
        <v>27</v>
      </c>
      <c r="B21" s="7">
        <v>1986</v>
      </c>
      <c r="C21" s="7"/>
      <c r="D21" s="3" t="s">
        <v>6</v>
      </c>
      <c r="E21" s="3" t="s">
        <v>2</v>
      </c>
      <c r="F21" s="3">
        <v>1</v>
      </c>
      <c r="G21" s="4">
        <v>4.8</v>
      </c>
      <c r="H21" s="4">
        <v>4.8</v>
      </c>
      <c r="I21" s="6"/>
      <c r="J21" s="6"/>
      <c r="K21" s="6"/>
      <c r="L21" s="6" t="str">
        <f t="shared" si="0"/>
        <v>wolf</v>
      </c>
      <c r="M21" s="6" t="str">
        <f t="shared" si="1"/>
        <v>Clockwise (Gleese, Leatherbarrow)</v>
      </c>
      <c r="N21" s="9">
        <f t="shared" si="2"/>
        <v>4.8</v>
      </c>
      <c r="P21" t="str">
        <f t="shared" si="3"/>
        <v>"wolf";"Clockwise";"4.8"</v>
      </c>
      <c r="U21" t="str">
        <f t="shared" si="4"/>
        <v>wolf</v>
      </c>
      <c r="V21" t="str">
        <f t="shared" si="6"/>
        <v>Clockwise</v>
      </c>
      <c r="W21">
        <f t="shared" si="5"/>
        <v>1</v>
      </c>
      <c r="Z21" s="23" t="s">
        <v>114</v>
      </c>
      <c r="AA21" s="24">
        <v>0</v>
      </c>
      <c r="AB21" s="24">
        <v>1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1</v>
      </c>
      <c r="AM21" s="24">
        <v>0</v>
      </c>
      <c r="AN21" s="24">
        <v>0</v>
      </c>
      <c r="AO21" s="24">
        <v>0</v>
      </c>
      <c r="AP21" s="24">
        <v>0</v>
      </c>
      <c r="AQ21" s="24">
        <v>1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3</v>
      </c>
    </row>
    <row r="22" spans="1:49" x14ac:dyDescent="0.2">
      <c r="A22" s="7" t="s">
        <v>28</v>
      </c>
      <c r="B22" s="7">
        <v>2011</v>
      </c>
      <c r="C22" s="7"/>
      <c r="D22" s="3" t="s">
        <v>6</v>
      </c>
      <c r="E22" s="3" t="s">
        <v>2</v>
      </c>
      <c r="F22" s="3">
        <v>1</v>
      </c>
      <c r="G22" s="4">
        <v>4.7</v>
      </c>
      <c r="H22" s="4">
        <v>4.7</v>
      </c>
      <c r="I22" s="6"/>
      <c r="J22" s="6"/>
      <c r="K22" s="6"/>
      <c r="L22" s="6" t="str">
        <f t="shared" si="0"/>
        <v>wolf</v>
      </c>
      <c r="M22" s="6" t="str">
        <f t="shared" si="1"/>
        <v>Colombiana (Saldana, Molla)</v>
      </c>
      <c r="N22" s="9">
        <f t="shared" si="2"/>
        <v>4.7</v>
      </c>
      <c r="P22" t="str">
        <f t="shared" si="3"/>
        <v>"wolf";"Colombiana";"4.7"</v>
      </c>
      <c r="U22" t="str">
        <f t="shared" si="4"/>
        <v>wolf</v>
      </c>
      <c r="V22" t="str">
        <f t="shared" si="6"/>
        <v>Colombiana</v>
      </c>
      <c r="W22">
        <f t="shared" si="5"/>
        <v>1</v>
      </c>
      <c r="Z22" s="23" t="s">
        <v>115</v>
      </c>
      <c r="AA22" s="24">
        <v>0</v>
      </c>
      <c r="AB22" s="24">
        <v>0</v>
      </c>
      <c r="AC22" s="24">
        <v>0</v>
      </c>
      <c r="AD22" s="24">
        <v>1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1</v>
      </c>
      <c r="AR22" s="24">
        <v>0</v>
      </c>
      <c r="AS22" s="24">
        <v>0</v>
      </c>
      <c r="AT22" s="24">
        <v>0</v>
      </c>
      <c r="AU22" s="24">
        <v>0</v>
      </c>
      <c r="AV22" s="24">
        <v>1</v>
      </c>
      <c r="AW22" s="24">
        <v>3</v>
      </c>
    </row>
    <row r="23" spans="1:49" x14ac:dyDescent="0.2">
      <c r="A23" s="7" t="s">
        <v>29</v>
      </c>
      <c r="B23" s="7">
        <v>1962</v>
      </c>
      <c r="C23" s="7"/>
      <c r="D23" s="3" t="s">
        <v>6</v>
      </c>
      <c r="E23" s="3" t="s">
        <v>2</v>
      </c>
      <c r="F23" s="3">
        <v>1</v>
      </c>
      <c r="G23" s="4">
        <v>3.5</v>
      </c>
      <c r="H23" s="4">
        <v>3.5</v>
      </c>
      <c r="I23" s="6"/>
      <c r="J23" s="6"/>
      <c r="K23" s="6"/>
      <c r="L23" s="6" t="str">
        <f t="shared" si="0"/>
        <v>wolf</v>
      </c>
      <c r="M23" s="6" t="str">
        <f t="shared" si="1"/>
        <v>Doctor No (Connery, Andress)</v>
      </c>
      <c r="N23" s="9">
        <f t="shared" si="2"/>
        <v>3.5</v>
      </c>
      <c r="P23" t="str">
        <f t="shared" si="3"/>
        <v>"wolf";"Doctor No";"3.5"</v>
      </c>
      <c r="U23" t="str">
        <f t="shared" si="4"/>
        <v>wolf</v>
      </c>
      <c r="V23" t="str">
        <f t="shared" si="6"/>
        <v>Doctor No</v>
      </c>
      <c r="W23">
        <f t="shared" si="5"/>
        <v>1</v>
      </c>
      <c r="Z23" s="23" t="s">
        <v>116</v>
      </c>
      <c r="AA23" s="24">
        <v>0</v>
      </c>
      <c r="AB23" s="24">
        <v>1</v>
      </c>
      <c r="AC23" s="24">
        <v>0</v>
      </c>
      <c r="AD23" s="24">
        <v>1</v>
      </c>
      <c r="AE23" s="24">
        <v>0</v>
      </c>
      <c r="AF23" s="24">
        <v>0</v>
      </c>
      <c r="AG23" s="24">
        <v>0</v>
      </c>
      <c r="AH23" s="24">
        <v>1</v>
      </c>
      <c r="AI23" s="24">
        <v>0</v>
      </c>
      <c r="AJ23" s="24">
        <v>0</v>
      </c>
      <c r="AK23" s="24">
        <v>1</v>
      </c>
      <c r="AL23" s="24">
        <v>0</v>
      </c>
      <c r="AM23" s="24">
        <v>0</v>
      </c>
      <c r="AN23" s="24">
        <v>0</v>
      </c>
      <c r="AO23" s="24">
        <v>0</v>
      </c>
      <c r="AP23" s="24">
        <v>1</v>
      </c>
      <c r="AQ23" s="24">
        <v>1</v>
      </c>
      <c r="AR23" s="24">
        <v>0</v>
      </c>
      <c r="AS23" s="24">
        <v>0</v>
      </c>
      <c r="AT23" s="24">
        <v>1</v>
      </c>
      <c r="AU23" s="24">
        <v>0</v>
      </c>
      <c r="AV23" s="24">
        <v>1</v>
      </c>
      <c r="AW23" s="24">
        <v>8</v>
      </c>
    </row>
    <row r="24" spans="1:49" x14ac:dyDescent="0.2">
      <c r="A24" s="7" t="s">
        <v>30</v>
      </c>
      <c r="B24" s="7">
        <v>1965</v>
      </c>
      <c r="C24" s="7"/>
      <c r="D24" s="3" t="s">
        <v>6</v>
      </c>
      <c r="E24" s="3" t="s">
        <v>3</v>
      </c>
      <c r="F24" s="3">
        <v>0</v>
      </c>
      <c r="G24" s="4"/>
      <c r="H24" s="4">
        <v>0</v>
      </c>
      <c r="I24" s="6"/>
      <c r="J24" s="6"/>
      <c r="K24" s="6"/>
      <c r="L24" s="6" t="str">
        <f t="shared" si="0"/>
        <v>wolf</v>
      </c>
      <c r="M24" s="6" t="str">
        <f t="shared" si="1"/>
        <v>Doctor Zhiwago (Sharif, Christie)</v>
      </c>
      <c r="N24" s="9">
        <f t="shared" si="2"/>
        <v>0</v>
      </c>
      <c r="P24" t="str">
        <f t="shared" si="3"/>
        <v>"wolf";"Doctor Zhiwago";"0"</v>
      </c>
      <c r="U24" t="str">
        <f t="shared" si="4"/>
        <v>wolf</v>
      </c>
      <c r="V24" t="str">
        <f t="shared" si="6"/>
        <v>Doctor Zhiwago</v>
      </c>
      <c r="W24">
        <f t="shared" si="5"/>
        <v>0</v>
      </c>
      <c r="Z24" s="23" t="s">
        <v>117</v>
      </c>
      <c r="AA24" s="24">
        <v>0</v>
      </c>
      <c r="AB24" s="24">
        <v>0</v>
      </c>
      <c r="AC24" s="24">
        <v>0</v>
      </c>
      <c r="AD24" s="24">
        <v>1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1</v>
      </c>
      <c r="AK24" s="24">
        <v>1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1</v>
      </c>
      <c r="AR24" s="24">
        <v>0</v>
      </c>
      <c r="AS24" s="24">
        <v>1</v>
      </c>
      <c r="AT24" s="24">
        <v>0</v>
      </c>
      <c r="AU24" s="24">
        <v>0</v>
      </c>
      <c r="AV24" s="24">
        <v>1</v>
      </c>
      <c r="AW24" s="24">
        <v>6</v>
      </c>
    </row>
    <row r="25" spans="1:49" x14ac:dyDescent="0.2">
      <c r="A25" s="7" t="s">
        <v>153</v>
      </c>
      <c r="B25" s="7">
        <v>1964</v>
      </c>
      <c r="C25" s="7"/>
      <c r="D25" s="3" t="s">
        <v>6</v>
      </c>
      <c r="E25" s="3" t="s">
        <v>2</v>
      </c>
      <c r="F25" s="3">
        <v>1</v>
      </c>
      <c r="G25" s="4">
        <v>3.5</v>
      </c>
      <c r="H25" s="4">
        <v>3.5</v>
      </c>
      <c r="I25" s="6"/>
      <c r="J25" s="6"/>
      <c r="K25" s="6"/>
      <c r="L25" s="6" t="str">
        <f t="shared" si="0"/>
        <v>wolf</v>
      </c>
      <c r="M25" s="6" t="str">
        <f t="shared" si="1"/>
        <v>Dr. Strangelove... (Sellers, Scott)</v>
      </c>
      <c r="N25" s="9">
        <f t="shared" si="2"/>
        <v>3.5</v>
      </c>
      <c r="P25" t="str">
        <f t="shared" si="3"/>
        <v>"wolf";"Dr. Strangelove...";"3.5"</v>
      </c>
      <c r="U25" t="str">
        <f t="shared" si="4"/>
        <v>wolf</v>
      </c>
      <c r="V25" t="str">
        <f t="shared" si="6"/>
        <v>Dr. Strangelove...</v>
      </c>
      <c r="W25">
        <f t="shared" si="5"/>
        <v>1</v>
      </c>
      <c r="Z25" s="23" t="s">
        <v>118</v>
      </c>
      <c r="AA25" s="24">
        <v>0</v>
      </c>
      <c r="AB25" s="24">
        <v>1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1</v>
      </c>
      <c r="AR25" s="24">
        <v>0</v>
      </c>
      <c r="AS25" s="24">
        <v>1</v>
      </c>
      <c r="AT25" s="24">
        <v>0</v>
      </c>
      <c r="AU25" s="24">
        <v>0</v>
      </c>
      <c r="AV25" s="24">
        <v>0</v>
      </c>
      <c r="AW25" s="24">
        <v>3</v>
      </c>
    </row>
    <row r="26" spans="1:49" x14ac:dyDescent="0.2">
      <c r="A26" s="7" t="s">
        <v>32</v>
      </c>
      <c r="B26" s="7">
        <v>2000</v>
      </c>
      <c r="C26" s="7"/>
      <c r="D26" s="3" t="s">
        <v>6</v>
      </c>
      <c r="E26" s="3" t="s">
        <v>2</v>
      </c>
      <c r="F26" s="3">
        <v>1</v>
      </c>
      <c r="G26" s="4">
        <v>3.5</v>
      </c>
      <c r="H26" s="4">
        <v>3.5</v>
      </c>
      <c r="I26" s="6"/>
      <c r="J26" s="6"/>
      <c r="K26" s="6"/>
      <c r="L26" s="6" t="str">
        <f t="shared" si="0"/>
        <v>wolf</v>
      </c>
      <c r="M26" s="6" t="str">
        <f t="shared" si="1"/>
        <v>Dr. T and the women (Gere, Hunt)</v>
      </c>
      <c r="N26" s="9">
        <f t="shared" si="2"/>
        <v>3.5</v>
      </c>
      <c r="P26" t="str">
        <f t="shared" si="3"/>
        <v>"wolf";"Dr. T and the women";"3.5"</v>
      </c>
      <c r="U26" t="str">
        <f t="shared" si="4"/>
        <v>wolf</v>
      </c>
      <c r="V26" t="str">
        <f t="shared" si="6"/>
        <v>Dr. T and the women</v>
      </c>
      <c r="W26">
        <f t="shared" si="5"/>
        <v>1</v>
      </c>
      <c r="Z26" s="23" t="s">
        <v>119</v>
      </c>
      <c r="AA26" s="24">
        <v>0</v>
      </c>
      <c r="AB26" s="24">
        <v>1</v>
      </c>
      <c r="AC26" s="24">
        <v>0</v>
      </c>
      <c r="AD26" s="24">
        <v>0</v>
      </c>
      <c r="AE26" s="24">
        <v>0</v>
      </c>
      <c r="AF26" s="24">
        <v>0</v>
      </c>
      <c r="AG26" s="24">
        <v>1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1</v>
      </c>
      <c r="AW26" s="24">
        <v>3</v>
      </c>
    </row>
    <row r="27" spans="1:49" x14ac:dyDescent="0.2">
      <c r="A27" s="7" t="s">
        <v>33</v>
      </c>
      <c r="B27" s="7">
        <v>1953</v>
      </c>
      <c r="C27" s="7"/>
      <c r="D27" s="3" t="s">
        <v>6</v>
      </c>
      <c r="E27" s="3" t="s">
        <v>3</v>
      </c>
      <c r="F27" s="3">
        <v>0</v>
      </c>
      <c r="G27" s="4"/>
      <c r="H27" s="4">
        <v>0</v>
      </c>
      <c r="I27" s="6"/>
      <c r="J27" s="6"/>
      <c r="K27" s="6"/>
      <c r="L27" s="6" t="str">
        <f t="shared" si="0"/>
        <v>wolf</v>
      </c>
      <c r="M27" s="6" t="str">
        <f t="shared" si="1"/>
        <v>Gentlemen Prefer Blondes (Monroe, Russell)</v>
      </c>
      <c r="N27" s="9">
        <f t="shared" si="2"/>
        <v>0</v>
      </c>
      <c r="P27" t="str">
        <f t="shared" si="3"/>
        <v>"wolf";"Gentlemen Prefer Blondes";"0"</v>
      </c>
      <c r="U27" t="str">
        <f t="shared" si="4"/>
        <v>wolf</v>
      </c>
      <c r="V27" t="str">
        <f t="shared" si="6"/>
        <v>Gentlemen Prefer Blondes</v>
      </c>
      <c r="W27">
        <f t="shared" si="5"/>
        <v>0</v>
      </c>
      <c r="Z27" s="23" t="s">
        <v>120</v>
      </c>
      <c r="AA27" s="24">
        <v>0</v>
      </c>
      <c r="AB27" s="24">
        <v>0</v>
      </c>
      <c r="AC27" s="24">
        <v>0</v>
      </c>
      <c r="AD27" s="24">
        <v>1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1</v>
      </c>
      <c r="AL27" s="24">
        <v>0</v>
      </c>
      <c r="AM27" s="24">
        <v>0</v>
      </c>
      <c r="AN27" s="24">
        <v>0</v>
      </c>
      <c r="AO27" s="24">
        <v>0</v>
      </c>
      <c r="AP27" s="24">
        <v>0</v>
      </c>
      <c r="AQ27" s="24">
        <v>1</v>
      </c>
      <c r="AR27" s="24">
        <v>0</v>
      </c>
      <c r="AS27" s="24">
        <v>0</v>
      </c>
      <c r="AT27" s="24">
        <v>0</v>
      </c>
      <c r="AU27" s="24">
        <v>0</v>
      </c>
      <c r="AV27" s="24">
        <v>1</v>
      </c>
      <c r="AW27" s="24">
        <v>4</v>
      </c>
    </row>
    <row r="28" spans="1:49" x14ac:dyDescent="0.2">
      <c r="A28" s="7" t="s">
        <v>34</v>
      </c>
      <c r="B28" s="7">
        <v>2014</v>
      </c>
      <c r="C28" s="7"/>
      <c r="D28" s="3" t="s">
        <v>6</v>
      </c>
      <c r="E28" s="3" t="s">
        <v>3</v>
      </c>
      <c r="F28" s="3">
        <v>0</v>
      </c>
      <c r="G28" s="4"/>
      <c r="H28" s="4">
        <v>0</v>
      </c>
      <c r="I28" s="6"/>
      <c r="J28" s="6"/>
      <c r="K28" s="6"/>
      <c r="L28" s="6" t="str">
        <f t="shared" si="0"/>
        <v>wolf</v>
      </c>
      <c r="M28" s="6" t="str">
        <f t="shared" si="1"/>
        <v>Grand Budapest Hotel (Fiennes, Abraham)</v>
      </c>
      <c r="N28" s="9">
        <f t="shared" si="2"/>
        <v>0</v>
      </c>
      <c r="P28" t="str">
        <f t="shared" si="3"/>
        <v>"wolf";"Grand Budapest Hotel";"0"</v>
      </c>
      <c r="U28" t="str">
        <f t="shared" si="4"/>
        <v>wolf</v>
      </c>
      <c r="V28" t="str">
        <f t="shared" si="6"/>
        <v>Grand Budapest Hotel</v>
      </c>
      <c r="W28">
        <f t="shared" si="5"/>
        <v>0</v>
      </c>
      <c r="Z28" s="23" t="s">
        <v>121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</row>
    <row r="29" spans="1:49" x14ac:dyDescent="0.2">
      <c r="A29" s="7" t="s">
        <v>35</v>
      </c>
      <c r="B29" s="7">
        <v>2001</v>
      </c>
      <c r="C29" s="7"/>
      <c r="D29" s="3" t="s">
        <v>6</v>
      </c>
      <c r="E29" s="3" t="s">
        <v>3</v>
      </c>
      <c r="F29" s="3">
        <v>0</v>
      </c>
      <c r="G29" s="4"/>
      <c r="H29" s="4">
        <v>0</v>
      </c>
      <c r="I29" s="6"/>
      <c r="J29" s="6"/>
      <c r="K29" s="6"/>
      <c r="L29" s="6" t="str">
        <f t="shared" si="0"/>
        <v>wolf</v>
      </c>
      <c r="M29" s="6" t="str">
        <f t="shared" si="1"/>
        <v>Harry Potter and the Philosopher's Stone (Radcliff, Harris)</v>
      </c>
      <c r="N29" s="9">
        <f t="shared" si="2"/>
        <v>0</v>
      </c>
      <c r="P29" t="str">
        <f t="shared" si="3"/>
        <v>"wolf";"Harry Potter and the Philosopher's Stone";"0"</v>
      </c>
      <c r="U29" t="str">
        <f t="shared" si="4"/>
        <v>wolf</v>
      </c>
      <c r="V29" t="str">
        <f t="shared" si="6"/>
        <v>Harry Potter and the Philosopher's Stone</v>
      </c>
      <c r="W29">
        <f t="shared" si="5"/>
        <v>0</v>
      </c>
      <c r="Z29" s="23" t="s">
        <v>122</v>
      </c>
      <c r="AA29" s="24">
        <v>0</v>
      </c>
      <c r="AB29" s="24">
        <v>1</v>
      </c>
      <c r="AC29" s="24">
        <v>0</v>
      </c>
      <c r="AD29" s="24">
        <v>1</v>
      </c>
      <c r="AE29" s="24">
        <v>0</v>
      </c>
      <c r="AF29" s="24">
        <v>1</v>
      </c>
      <c r="AG29" s="24">
        <v>1</v>
      </c>
      <c r="AH29" s="24">
        <v>0</v>
      </c>
      <c r="AI29" s="24">
        <v>1</v>
      </c>
      <c r="AJ29" s="24">
        <v>0</v>
      </c>
      <c r="AK29" s="24">
        <v>1</v>
      </c>
      <c r="AL29" s="24">
        <v>1</v>
      </c>
      <c r="AM29" s="24">
        <v>1</v>
      </c>
      <c r="AN29" s="24">
        <v>0</v>
      </c>
      <c r="AO29" s="24">
        <v>0</v>
      </c>
      <c r="AP29" s="24">
        <v>0</v>
      </c>
      <c r="AQ29" s="24">
        <v>0</v>
      </c>
      <c r="AR29" s="24">
        <v>1</v>
      </c>
      <c r="AS29" s="24">
        <v>0</v>
      </c>
      <c r="AT29" s="24">
        <v>1</v>
      </c>
      <c r="AU29" s="24">
        <v>1</v>
      </c>
      <c r="AV29" s="24">
        <v>0</v>
      </c>
      <c r="AW29" s="24">
        <v>11</v>
      </c>
    </row>
    <row r="30" spans="1:49" x14ac:dyDescent="0.2">
      <c r="A30" s="6" t="s">
        <v>36</v>
      </c>
      <c r="B30" s="7">
        <v>1950</v>
      </c>
      <c r="C30" s="7"/>
      <c r="D30" s="3" t="s">
        <v>6</v>
      </c>
      <c r="E30" s="3" t="s">
        <v>2</v>
      </c>
      <c r="F30" s="3">
        <v>1</v>
      </c>
      <c r="G30" s="4">
        <v>3.6</v>
      </c>
      <c r="H30" s="4">
        <v>3.6</v>
      </c>
      <c r="I30" s="6"/>
      <c r="J30" s="6"/>
      <c r="K30" s="6"/>
      <c r="L30" s="6" t="str">
        <f t="shared" si="0"/>
        <v>wolf</v>
      </c>
      <c r="M30" s="6" t="str">
        <f t="shared" si="1"/>
        <v>Harvey (Stewart, Hull)</v>
      </c>
      <c r="N30" s="9">
        <f t="shared" si="2"/>
        <v>3.6</v>
      </c>
      <c r="P30" t="str">
        <f t="shared" si="3"/>
        <v>"wolf";"Harvey";"3.6"</v>
      </c>
      <c r="U30" t="str">
        <f t="shared" si="4"/>
        <v>wolf</v>
      </c>
      <c r="V30" t="str">
        <f t="shared" si="6"/>
        <v>Harvey</v>
      </c>
      <c r="W30">
        <f t="shared" si="5"/>
        <v>1</v>
      </c>
      <c r="Z30" s="23" t="s">
        <v>123</v>
      </c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>
        <v>1</v>
      </c>
      <c r="AU30" s="24">
        <v>0</v>
      </c>
      <c r="AV30" s="24">
        <v>0</v>
      </c>
      <c r="AW30" s="24">
        <v>20</v>
      </c>
    </row>
    <row r="31" spans="1:49" x14ac:dyDescent="0.2">
      <c r="A31" s="7" t="s">
        <v>37</v>
      </c>
      <c r="B31" s="7">
        <v>1962</v>
      </c>
      <c r="C31" s="7"/>
      <c r="D31" s="3" t="s">
        <v>6</v>
      </c>
      <c r="E31" s="3" t="s">
        <v>2</v>
      </c>
      <c r="F31" s="3">
        <v>1</v>
      </c>
      <c r="G31" s="4">
        <v>3.8</v>
      </c>
      <c r="H31" s="4">
        <v>3.8</v>
      </c>
      <c r="I31" s="6"/>
      <c r="J31" s="6"/>
      <c r="K31" s="6"/>
      <c r="L31" s="6" t="str">
        <f t="shared" si="0"/>
        <v>wolf</v>
      </c>
      <c r="M31" s="6" t="str">
        <f t="shared" si="1"/>
        <v>Hatari! (Wayne, Martinelli)</v>
      </c>
      <c r="N31" s="9">
        <f t="shared" si="2"/>
        <v>3.8</v>
      </c>
      <c r="P31" t="str">
        <f t="shared" si="3"/>
        <v>"wolf";"Hatari!";"3.8"</v>
      </c>
      <c r="U31" t="str">
        <f t="shared" si="4"/>
        <v>wolf</v>
      </c>
      <c r="V31" t="str">
        <f t="shared" si="6"/>
        <v>Hatari!</v>
      </c>
      <c r="W31">
        <f t="shared" si="5"/>
        <v>1</v>
      </c>
      <c r="Z31" s="23" t="s">
        <v>124</v>
      </c>
      <c r="AA31" s="24">
        <v>0</v>
      </c>
      <c r="AB31" s="24">
        <v>0</v>
      </c>
      <c r="AC31" s="24">
        <v>0</v>
      </c>
      <c r="AD31" s="24">
        <v>0</v>
      </c>
      <c r="AE31" s="24">
        <v>0</v>
      </c>
      <c r="AF31" s="24">
        <v>0</v>
      </c>
      <c r="AG31" s="24">
        <v>1</v>
      </c>
      <c r="AH31" s="24">
        <v>1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  <c r="AQ31" s="24">
        <v>1</v>
      </c>
      <c r="AR31" s="24">
        <v>0</v>
      </c>
      <c r="AS31" s="24">
        <v>0</v>
      </c>
      <c r="AT31" s="24">
        <v>0</v>
      </c>
      <c r="AU31" s="24">
        <v>0</v>
      </c>
      <c r="AV31" s="24">
        <v>1</v>
      </c>
      <c r="AW31" s="24">
        <v>4</v>
      </c>
    </row>
    <row r="32" spans="1:49" x14ac:dyDescent="0.2">
      <c r="A32" s="7" t="s">
        <v>38</v>
      </c>
      <c r="B32" s="7">
        <v>1990</v>
      </c>
      <c r="C32" s="7"/>
      <c r="D32" s="3" t="s">
        <v>6</v>
      </c>
      <c r="E32" s="3" t="s">
        <v>2</v>
      </c>
      <c r="F32" s="3">
        <v>1</v>
      </c>
      <c r="G32" s="4">
        <v>4</v>
      </c>
      <c r="H32" s="4">
        <v>4</v>
      </c>
      <c r="I32" s="6"/>
      <c r="J32" s="6"/>
      <c r="K32" s="6"/>
      <c r="L32" s="6" t="str">
        <f t="shared" si="0"/>
        <v>wolf</v>
      </c>
      <c r="M32" s="6" t="str">
        <f t="shared" si="1"/>
        <v>Home alone (Culkin, Pesci)</v>
      </c>
      <c r="N32" s="9">
        <f t="shared" si="2"/>
        <v>4</v>
      </c>
      <c r="P32" t="str">
        <f t="shared" si="3"/>
        <v>"wolf";"Home alone";"4"</v>
      </c>
      <c r="U32" t="str">
        <f t="shared" si="4"/>
        <v>wolf</v>
      </c>
      <c r="V32" t="str">
        <f t="shared" si="6"/>
        <v>Home alone</v>
      </c>
      <c r="W32">
        <f t="shared" si="5"/>
        <v>1</v>
      </c>
      <c r="Z32" s="23" t="s">
        <v>125</v>
      </c>
      <c r="AA32" s="24">
        <v>0</v>
      </c>
      <c r="AB32" s="24">
        <v>0</v>
      </c>
      <c r="AC32" s="24">
        <v>0</v>
      </c>
      <c r="AD32" s="24">
        <v>1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1</v>
      </c>
      <c r="AR32" s="24">
        <v>0</v>
      </c>
      <c r="AS32" s="24">
        <v>0</v>
      </c>
      <c r="AT32" s="24">
        <v>0</v>
      </c>
      <c r="AU32" s="24">
        <v>0</v>
      </c>
      <c r="AV32" s="24">
        <v>1</v>
      </c>
      <c r="AW32" s="24">
        <v>3</v>
      </c>
    </row>
    <row r="33" spans="1:49" x14ac:dyDescent="0.2">
      <c r="A33" s="6" t="s">
        <v>39</v>
      </c>
      <c r="B33" s="7">
        <v>2004</v>
      </c>
      <c r="C33" s="7"/>
      <c r="D33" s="3" t="s">
        <v>6</v>
      </c>
      <c r="E33" s="3" t="s">
        <v>2</v>
      </c>
      <c r="F33" s="3">
        <v>1</v>
      </c>
      <c r="G33" s="4">
        <v>4.5</v>
      </c>
      <c r="H33" s="4">
        <v>4.5</v>
      </c>
      <c r="I33" s="6"/>
      <c r="J33" s="6"/>
      <c r="K33" s="6"/>
      <c r="L33" s="6" t="str">
        <f t="shared" si="0"/>
        <v>wolf</v>
      </c>
      <c r="M33" s="6" t="str">
        <f t="shared" si="1"/>
        <v>I, Robot (Smith, Moynahan)</v>
      </c>
      <c r="N33" s="9">
        <f t="shared" si="2"/>
        <v>4.5</v>
      </c>
      <c r="P33" t="str">
        <f t="shared" si="3"/>
        <v>"wolf";"I, Robot";"4.5"</v>
      </c>
      <c r="U33" t="str">
        <f t="shared" si="4"/>
        <v>wolf</v>
      </c>
      <c r="V33" t="str">
        <f t="shared" si="6"/>
        <v>I, Robot</v>
      </c>
      <c r="W33">
        <f t="shared" si="5"/>
        <v>1</v>
      </c>
      <c r="Z33" s="23" t="s">
        <v>126</v>
      </c>
      <c r="AA33" s="24">
        <v>1</v>
      </c>
      <c r="AB33" s="24">
        <v>1</v>
      </c>
      <c r="AC33" s="24">
        <v>1</v>
      </c>
      <c r="AD33" s="24">
        <v>1</v>
      </c>
      <c r="AE33" s="24">
        <v>1</v>
      </c>
      <c r="AF33" s="24">
        <v>1</v>
      </c>
      <c r="AG33" s="24">
        <v>1</v>
      </c>
      <c r="AH33" s="24">
        <v>1</v>
      </c>
      <c r="AI33" s="24">
        <v>1</v>
      </c>
      <c r="AJ33" s="24">
        <v>1</v>
      </c>
      <c r="AK33" s="24">
        <v>1</v>
      </c>
      <c r="AL33" s="24">
        <v>1</v>
      </c>
      <c r="AM33" s="24">
        <v>1</v>
      </c>
      <c r="AN33" s="24">
        <v>1</v>
      </c>
      <c r="AO33" s="24">
        <v>1</v>
      </c>
      <c r="AP33" s="24">
        <v>1</v>
      </c>
      <c r="AQ33" s="24">
        <v>1</v>
      </c>
      <c r="AR33" s="24">
        <v>1</v>
      </c>
      <c r="AS33" s="24">
        <v>0</v>
      </c>
      <c r="AT33" s="24">
        <v>1</v>
      </c>
      <c r="AU33" s="24">
        <v>0</v>
      </c>
      <c r="AV33" s="24">
        <v>1</v>
      </c>
      <c r="AW33" s="24">
        <v>20</v>
      </c>
    </row>
    <row r="34" spans="1:49" x14ac:dyDescent="0.2">
      <c r="A34" s="7" t="s">
        <v>40</v>
      </c>
      <c r="B34" s="7">
        <v>1967</v>
      </c>
      <c r="C34" s="7"/>
      <c r="D34" s="3" t="s">
        <v>6</v>
      </c>
      <c r="E34" s="3" t="s">
        <v>2</v>
      </c>
      <c r="F34" s="3">
        <v>1</v>
      </c>
      <c r="G34" s="4">
        <v>4.0999999999999996</v>
      </c>
      <c r="H34" s="4">
        <v>4.0999999999999996</v>
      </c>
      <c r="I34" s="6"/>
      <c r="J34" s="6"/>
      <c r="K34" s="6"/>
      <c r="L34" s="6" t="str">
        <f t="shared" si="0"/>
        <v>wolf</v>
      </c>
      <c r="M34" s="6" t="str">
        <f t="shared" si="1"/>
        <v>In The Heat Of The Night (Poitier, Steiger)</v>
      </c>
      <c r="N34" s="9">
        <f t="shared" si="2"/>
        <v>4.0999999999999996</v>
      </c>
      <c r="P34" t="str">
        <f t="shared" si="3"/>
        <v>"wolf";"In The Heat Of The Night";"4.1"</v>
      </c>
      <c r="U34" t="str">
        <f t="shared" si="4"/>
        <v>wolf</v>
      </c>
      <c r="V34" t="str">
        <f t="shared" si="6"/>
        <v>In The Heat Of The Night</v>
      </c>
      <c r="W34">
        <f t="shared" si="5"/>
        <v>1</v>
      </c>
      <c r="Z34" s="23" t="s">
        <v>127</v>
      </c>
      <c r="AA34" s="24">
        <v>1</v>
      </c>
      <c r="AB34" s="24">
        <v>0</v>
      </c>
      <c r="AC34" s="24">
        <v>0</v>
      </c>
      <c r="AD34" s="24">
        <v>1</v>
      </c>
      <c r="AE34" s="24">
        <v>1</v>
      </c>
      <c r="AF34" s="24">
        <v>1</v>
      </c>
      <c r="AG34" s="24">
        <v>1</v>
      </c>
      <c r="AH34" s="24">
        <v>1</v>
      </c>
      <c r="AI34" s="24">
        <v>1</v>
      </c>
      <c r="AJ34" s="24">
        <v>1</v>
      </c>
      <c r="AK34" s="24">
        <v>1</v>
      </c>
      <c r="AL34" s="24">
        <v>0</v>
      </c>
      <c r="AM34" s="24">
        <v>1</v>
      </c>
      <c r="AN34" s="24">
        <v>1</v>
      </c>
      <c r="AO34" s="24">
        <v>1</v>
      </c>
      <c r="AP34" s="24">
        <v>1</v>
      </c>
      <c r="AQ34" s="24">
        <v>1</v>
      </c>
      <c r="AR34" s="24">
        <v>0</v>
      </c>
      <c r="AS34" s="24">
        <v>1</v>
      </c>
      <c r="AT34" s="24">
        <v>1</v>
      </c>
      <c r="AU34" s="24">
        <v>1</v>
      </c>
      <c r="AV34" s="24">
        <v>1</v>
      </c>
      <c r="AW34" s="24">
        <v>18</v>
      </c>
    </row>
    <row r="35" spans="1:49" x14ac:dyDescent="0.2">
      <c r="A35" s="7" t="s">
        <v>41</v>
      </c>
      <c r="B35" s="7">
        <v>2014</v>
      </c>
      <c r="C35" s="7"/>
      <c r="D35" s="3" t="s">
        <v>6</v>
      </c>
      <c r="E35" s="3" t="s">
        <v>2</v>
      </c>
      <c r="F35" s="3">
        <v>1</v>
      </c>
      <c r="G35" s="4">
        <v>4.3</v>
      </c>
      <c r="H35" s="4">
        <v>4.3</v>
      </c>
      <c r="I35" s="6"/>
      <c r="J35" s="6"/>
      <c r="K35" s="6"/>
      <c r="L35" s="6" t="str">
        <f t="shared" si="0"/>
        <v>wolf</v>
      </c>
      <c r="M35" s="6" t="str">
        <f t="shared" si="1"/>
        <v>Jack Ryan: Shadow Recruite (Pine, Costner)</v>
      </c>
      <c r="N35" s="9">
        <f t="shared" si="2"/>
        <v>4.3</v>
      </c>
      <c r="P35" t="str">
        <f t="shared" si="3"/>
        <v>"wolf";"Jack Ryan: Shadow Recruite";"4.3"</v>
      </c>
      <c r="U35" t="str">
        <f t="shared" si="4"/>
        <v>wolf</v>
      </c>
      <c r="V35" t="str">
        <f t="shared" si="6"/>
        <v>Jack Ryan: Shadow Recruite</v>
      </c>
      <c r="W35">
        <f t="shared" si="5"/>
        <v>1</v>
      </c>
      <c r="Z35" s="23" t="s">
        <v>128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1</v>
      </c>
      <c r="AR35" s="24">
        <v>0</v>
      </c>
      <c r="AS35" s="24">
        <v>0</v>
      </c>
      <c r="AT35" s="24">
        <v>0</v>
      </c>
      <c r="AU35" s="24">
        <v>0</v>
      </c>
      <c r="AV35" s="24">
        <v>1</v>
      </c>
      <c r="AW35" s="24">
        <v>2</v>
      </c>
    </row>
    <row r="36" spans="1:49" x14ac:dyDescent="0.2">
      <c r="A36" s="6" t="s">
        <v>42</v>
      </c>
      <c r="B36" s="7">
        <v>1995</v>
      </c>
      <c r="C36" s="7"/>
      <c r="D36" s="3" t="s">
        <v>6</v>
      </c>
      <c r="E36" s="3" t="s">
        <v>2</v>
      </c>
      <c r="F36" s="3">
        <v>1</v>
      </c>
      <c r="G36" s="4">
        <v>3.6</v>
      </c>
      <c r="H36" s="4">
        <v>3.6</v>
      </c>
      <c r="I36" s="6"/>
      <c r="J36" s="6"/>
      <c r="K36" s="6"/>
      <c r="L36" s="6" t="str">
        <f t="shared" si="0"/>
        <v>wolf</v>
      </c>
      <c r="M36" s="6" t="str">
        <f t="shared" si="1"/>
        <v>Jumanji (Williams, Dunst)</v>
      </c>
      <c r="N36" s="9">
        <f t="shared" si="2"/>
        <v>3.6</v>
      </c>
      <c r="P36" t="str">
        <f t="shared" si="3"/>
        <v>"wolf";"Jumanji";"3.6"</v>
      </c>
      <c r="U36" t="str">
        <f t="shared" si="4"/>
        <v>wolf</v>
      </c>
      <c r="V36" t="str">
        <f t="shared" si="6"/>
        <v>Jumanji</v>
      </c>
      <c r="W36">
        <f t="shared" si="5"/>
        <v>1</v>
      </c>
      <c r="Z36" s="23" t="s">
        <v>129</v>
      </c>
      <c r="AA36" s="24">
        <v>0</v>
      </c>
      <c r="AB36" s="24">
        <v>0</v>
      </c>
      <c r="AC36" s="24">
        <v>0</v>
      </c>
      <c r="AD36" s="24">
        <v>1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24">
        <v>1</v>
      </c>
      <c r="AL36" s="24">
        <v>0</v>
      </c>
      <c r="AM36" s="24">
        <v>0</v>
      </c>
      <c r="AN36" s="24">
        <v>1</v>
      </c>
      <c r="AO36" s="24">
        <v>0</v>
      </c>
      <c r="AP36" s="24">
        <v>0</v>
      </c>
      <c r="AQ36" s="24">
        <v>1</v>
      </c>
      <c r="AR36" s="24">
        <v>0</v>
      </c>
      <c r="AS36" s="24">
        <v>0</v>
      </c>
      <c r="AT36" s="24">
        <v>1</v>
      </c>
      <c r="AU36" s="24">
        <v>0</v>
      </c>
      <c r="AV36" s="24">
        <v>1</v>
      </c>
      <c r="AW36" s="24">
        <v>6</v>
      </c>
    </row>
    <row r="37" spans="1:49" x14ac:dyDescent="0.2">
      <c r="A37" s="6" t="s">
        <v>43</v>
      </c>
      <c r="B37" s="7">
        <v>2005</v>
      </c>
      <c r="C37" s="7"/>
      <c r="D37" s="3" t="s">
        <v>6</v>
      </c>
      <c r="E37" s="3" t="s">
        <v>3</v>
      </c>
      <c r="F37" s="3">
        <v>0</v>
      </c>
      <c r="G37" s="4"/>
      <c r="H37" s="4">
        <v>0</v>
      </c>
      <c r="I37" s="6"/>
      <c r="J37" s="6"/>
      <c r="K37" s="6"/>
      <c r="L37" s="6" t="str">
        <f t="shared" si="0"/>
        <v>wolf</v>
      </c>
      <c r="M37" s="6" t="str">
        <f t="shared" si="1"/>
        <v>King Kong (Watts, Black)</v>
      </c>
      <c r="N37" s="9">
        <f t="shared" si="2"/>
        <v>0</v>
      </c>
      <c r="P37" t="str">
        <f t="shared" si="3"/>
        <v>"wolf";"King Kong";"0"</v>
      </c>
      <c r="U37" t="str">
        <f t="shared" si="4"/>
        <v>wolf</v>
      </c>
      <c r="V37" t="str">
        <f t="shared" si="6"/>
        <v>King Kong</v>
      </c>
      <c r="W37">
        <f t="shared" si="5"/>
        <v>0</v>
      </c>
      <c r="Z37" s="23" t="s">
        <v>130</v>
      </c>
      <c r="AA37" s="24">
        <v>0</v>
      </c>
      <c r="AB37" s="24">
        <v>1</v>
      </c>
      <c r="AC37" s="24">
        <v>0</v>
      </c>
      <c r="AD37" s="24">
        <v>1</v>
      </c>
      <c r="AE37" s="24">
        <v>0</v>
      </c>
      <c r="AF37" s="24">
        <v>1</v>
      </c>
      <c r="AG37" s="24">
        <v>1</v>
      </c>
      <c r="AH37" s="24">
        <v>1</v>
      </c>
      <c r="AI37" s="24">
        <v>0</v>
      </c>
      <c r="AJ37" s="24">
        <v>0</v>
      </c>
      <c r="AK37" s="24">
        <v>1</v>
      </c>
      <c r="AL37" s="24">
        <v>1</v>
      </c>
      <c r="AM37" s="24">
        <v>1</v>
      </c>
      <c r="AN37" s="24">
        <v>1</v>
      </c>
      <c r="AO37" s="24">
        <v>0</v>
      </c>
      <c r="AP37" s="24">
        <v>1</v>
      </c>
      <c r="AQ37" s="24">
        <v>1</v>
      </c>
      <c r="AR37" s="24">
        <v>1</v>
      </c>
      <c r="AS37" s="24">
        <v>1</v>
      </c>
      <c r="AT37" s="24">
        <v>0</v>
      </c>
      <c r="AU37" s="24">
        <v>0</v>
      </c>
      <c r="AV37" s="24">
        <v>1</v>
      </c>
      <c r="AW37" s="24">
        <v>14</v>
      </c>
    </row>
    <row r="38" spans="1:49" x14ac:dyDescent="0.2">
      <c r="A38" s="7" t="s">
        <v>44</v>
      </c>
      <c r="B38" s="7">
        <v>2016</v>
      </c>
      <c r="C38" s="7"/>
      <c r="D38" s="3" t="s">
        <v>6</v>
      </c>
      <c r="E38" s="3" t="s">
        <v>3</v>
      </c>
      <c r="F38" s="3">
        <v>0</v>
      </c>
      <c r="G38" s="4"/>
      <c r="H38" s="4">
        <v>0</v>
      </c>
      <c r="I38" s="6"/>
      <c r="J38" s="6"/>
      <c r="K38" s="6"/>
      <c r="L38" s="6" t="str">
        <f t="shared" si="0"/>
        <v>wolf</v>
      </c>
      <c r="M38" s="6" t="str">
        <f t="shared" si="1"/>
        <v>La La Land (Gosling, Stone)</v>
      </c>
      <c r="N38" s="9">
        <f t="shared" si="2"/>
        <v>0</v>
      </c>
      <c r="P38" t="str">
        <f t="shared" si="3"/>
        <v>"wolf";"La La Land";"0"</v>
      </c>
      <c r="U38" t="str">
        <f t="shared" si="4"/>
        <v>wolf</v>
      </c>
      <c r="V38" t="str">
        <f t="shared" si="6"/>
        <v>La La Land</v>
      </c>
      <c r="W38">
        <f t="shared" si="5"/>
        <v>0</v>
      </c>
      <c r="Z38" s="23" t="s">
        <v>131</v>
      </c>
      <c r="AA38" s="24">
        <v>0</v>
      </c>
      <c r="AB38" s="24">
        <v>1</v>
      </c>
      <c r="AC38" s="24">
        <v>0</v>
      </c>
      <c r="AD38" s="24">
        <v>1</v>
      </c>
      <c r="AE38" s="24">
        <v>1</v>
      </c>
      <c r="AF38" s="24">
        <v>1</v>
      </c>
      <c r="AG38" s="24">
        <v>1</v>
      </c>
      <c r="AH38" s="24">
        <v>1</v>
      </c>
      <c r="AI38" s="24">
        <v>0</v>
      </c>
      <c r="AJ38" s="24">
        <v>1</v>
      </c>
      <c r="AK38" s="24">
        <v>1</v>
      </c>
      <c r="AL38" s="24">
        <v>0</v>
      </c>
      <c r="AM38" s="24">
        <v>1</v>
      </c>
      <c r="AN38" s="24">
        <v>1</v>
      </c>
      <c r="AO38" s="24">
        <v>0</v>
      </c>
      <c r="AP38" s="24">
        <v>0</v>
      </c>
      <c r="AQ38" s="24">
        <v>1</v>
      </c>
      <c r="AR38" s="24">
        <v>0</v>
      </c>
      <c r="AS38" s="24">
        <v>1</v>
      </c>
      <c r="AT38" s="24">
        <v>1</v>
      </c>
      <c r="AU38" s="24">
        <v>0</v>
      </c>
      <c r="AV38" s="24">
        <v>0</v>
      </c>
      <c r="AW38" s="24">
        <v>13</v>
      </c>
    </row>
    <row r="39" spans="1:49" x14ac:dyDescent="0.2">
      <c r="A39" s="6" t="s">
        <v>45</v>
      </c>
      <c r="B39" s="7">
        <v>2001</v>
      </c>
      <c r="C39" s="7"/>
      <c r="D39" s="3" t="s">
        <v>6</v>
      </c>
      <c r="E39" s="3" t="s">
        <v>2</v>
      </c>
      <c r="F39" s="3">
        <v>1</v>
      </c>
      <c r="G39" s="4">
        <v>2</v>
      </c>
      <c r="H39" s="4">
        <v>2</v>
      </c>
      <c r="I39" s="6"/>
      <c r="J39" s="6"/>
      <c r="K39" s="6"/>
      <c r="L39" s="6" t="str">
        <f t="shared" si="0"/>
        <v>wolf</v>
      </c>
      <c r="M39" s="6" t="str">
        <f t="shared" si="1"/>
        <v>Lord of the Rings (Woods, McKellen)</v>
      </c>
      <c r="N39" s="9">
        <f t="shared" si="2"/>
        <v>2</v>
      </c>
      <c r="P39" t="str">
        <f t="shared" si="3"/>
        <v>"wolf";"Lord of the Rings";"2"</v>
      </c>
      <c r="U39" t="str">
        <f t="shared" si="4"/>
        <v>wolf</v>
      </c>
      <c r="V39" t="str">
        <f t="shared" si="6"/>
        <v>Lord of the Rings</v>
      </c>
      <c r="W39">
        <f t="shared" si="5"/>
        <v>1</v>
      </c>
      <c r="Z39" s="23" t="s">
        <v>132</v>
      </c>
      <c r="AA39" s="24">
        <v>0</v>
      </c>
      <c r="AB39" s="24">
        <v>0</v>
      </c>
      <c r="AC39" s="24">
        <v>0</v>
      </c>
      <c r="AD39" s="24">
        <v>1</v>
      </c>
      <c r="AE39" s="24">
        <v>0</v>
      </c>
      <c r="AF39" s="24">
        <v>1</v>
      </c>
      <c r="AG39" s="24">
        <v>0</v>
      </c>
      <c r="AH39" s="24">
        <v>0</v>
      </c>
      <c r="AI39" s="24">
        <v>0</v>
      </c>
      <c r="AJ39" s="24">
        <v>0</v>
      </c>
      <c r="AK39" s="24">
        <v>1</v>
      </c>
      <c r="AL39" s="24">
        <v>0</v>
      </c>
      <c r="AM39" s="24">
        <v>0</v>
      </c>
      <c r="AN39" s="24">
        <v>0</v>
      </c>
      <c r="AO39" s="24">
        <v>0</v>
      </c>
      <c r="AP39" s="24">
        <v>1</v>
      </c>
      <c r="AQ39" s="24">
        <v>1</v>
      </c>
      <c r="AR39" s="24">
        <v>0</v>
      </c>
      <c r="AS39" s="24">
        <v>0</v>
      </c>
      <c r="AT39" s="24">
        <v>0</v>
      </c>
      <c r="AU39" s="24">
        <v>0</v>
      </c>
      <c r="AV39" s="24">
        <v>0</v>
      </c>
      <c r="AW39" s="24">
        <v>5</v>
      </c>
    </row>
    <row r="40" spans="1:49" x14ac:dyDescent="0.2">
      <c r="A40" s="6" t="s">
        <v>46</v>
      </c>
      <c r="B40" s="7">
        <v>1964</v>
      </c>
      <c r="C40" s="7"/>
      <c r="D40" s="3" t="s">
        <v>6</v>
      </c>
      <c r="E40" s="3" t="s">
        <v>2</v>
      </c>
      <c r="F40" s="3">
        <v>1</v>
      </c>
      <c r="G40" s="4">
        <v>3</v>
      </c>
      <c r="H40" s="4">
        <v>3</v>
      </c>
      <c r="I40" s="6"/>
      <c r="J40" s="6"/>
      <c r="K40" s="6"/>
      <c r="L40" s="6" t="str">
        <f t="shared" si="0"/>
        <v>wolf</v>
      </c>
      <c r="M40" s="6" t="str">
        <f t="shared" si="1"/>
        <v>Per Un Pugno Di Dollari (Eastwood, Koch)</v>
      </c>
      <c r="N40" s="9">
        <f t="shared" si="2"/>
        <v>3</v>
      </c>
      <c r="P40" t="str">
        <f t="shared" si="3"/>
        <v>"wolf";"Per Un Pugno Di Dollari";"3"</v>
      </c>
      <c r="U40" t="str">
        <f t="shared" si="4"/>
        <v>wolf</v>
      </c>
      <c r="V40" t="str">
        <f t="shared" si="6"/>
        <v>Per Un Pugno Di Dollari</v>
      </c>
      <c r="W40">
        <f t="shared" si="5"/>
        <v>1</v>
      </c>
      <c r="Z40" s="23" t="s">
        <v>133</v>
      </c>
      <c r="AA40" s="24">
        <v>1</v>
      </c>
      <c r="AB40" s="24">
        <v>1</v>
      </c>
      <c r="AC40" s="24">
        <v>0</v>
      </c>
      <c r="AD40" s="24">
        <v>1</v>
      </c>
      <c r="AE40" s="24">
        <v>1</v>
      </c>
      <c r="AF40" s="24">
        <v>1</v>
      </c>
      <c r="AG40" s="24">
        <v>1</v>
      </c>
      <c r="AH40" s="24">
        <v>1</v>
      </c>
      <c r="AI40" s="24">
        <v>1</v>
      </c>
      <c r="AJ40" s="24">
        <v>1</v>
      </c>
      <c r="AK40" s="24">
        <v>1</v>
      </c>
      <c r="AL40" s="24">
        <v>1</v>
      </c>
      <c r="AM40" s="24">
        <v>1</v>
      </c>
      <c r="AN40" s="24">
        <v>1</v>
      </c>
      <c r="AO40" s="24">
        <v>0</v>
      </c>
      <c r="AP40" s="24">
        <v>1</v>
      </c>
      <c r="AQ40" s="24">
        <v>1</v>
      </c>
      <c r="AR40" s="24">
        <v>0</v>
      </c>
      <c r="AS40" s="24">
        <v>1</v>
      </c>
      <c r="AT40" s="24">
        <v>1</v>
      </c>
      <c r="AU40" s="24">
        <v>0</v>
      </c>
      <c r="AV40" s="24">
        <v>1</v>
      </c>
      <c r="AW40" s="24">
        <v>18</v>
      </c>
    </row>
    <row r="41" spans="1:49" x14ac:dyDescent="0.2">
      <c r="A41" s="7" t="s">
        <v>47</v>
      </c>
      <c r="B41" s="7">
        <v>1954</v>
      </c>
      <c r="C41" s="7"/>
      <c r="D41" s="3" t="s">
        <v>6</v>
      </c>
      <c r="E41" s="3" t="s">
        <v>2</v>
      </c>
      <c r="F41" s="3">
        <v>1</v>
      </c>
      <c r="G41" s="4">
        <v>1</v>
      </c>
      <c r="H41" s="4">
        <v>1</v>
      </c>
      <c r="I41" s="6"/>
      <c r="J41" s="6"/>
      <c r="K41" s="6"/>
      <c r="L41" s="6" t="str">
        <f t="shared" si="0"/>
        <v>wolf</v>
      </c>
      <c r="M41" s="6" t="str">
        <f t="shared" si="1"/>
        <v>Rear Window (Stewart, Kelly)</v>
      </c>
      <c r="N41" s="9">
        <f t="shared" si="2"/>
        <v>1</v>
      </c>
      <c r="P41" t="str">
        <f t="shared" si="3"/>
        <v>"wolf";"Rear Window";"1"</v>
      </c>
      <c r="U41" t="str">
        <f t="shared" si="4"/>
        <v>wolf</v>
      </c>
      <c r="V41" t="str">
        <f t="shared" si="6"/>
        <v>Rear Window</v>
      </c>
      <c r="W41">
        <f t="shared" si="5"/>
        <v>1</v>
      </c>
      <c r="Z41" s="23" t="s">
        <v>134</v>
      </c>
      <c r="AA41" s="24">
        <v>0</v>
      </c>
      <c r="AB41" s="24">
        <v>1</v>
      </c>
      <c r="AC41" s="24">
        <v>0</v>
      </c>
      <c r="AD41" s="24">
        <v>1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1</v>
      </c>
      <c r="AM41" s="24">
        <v>0</v>
      </c>
      <c r="AN41" s="24">
        <v>0</v>
      </c>
      <c r="AO41" s="24">
        <v>0</v>
      </c>
      <c r="AP41" s="24">
        <v>0</v>
      </c>
      <c r="AQ41" s="24">
        <v>1</v>
      </c>
      <c r="AR41" s="24">
        <v>0</v>
      </c>
      <c r="AS41" s="24">
        <v>0</v>
      </c>
      <c r="AT41" s="24">
        <v>0</v>
      </c>
      <c r="AU41" s="24">
        <v>0</v>
      </c>
      <c r="AV41" s="24">
        <v>1</v>
      </c>
      <c r="AW41" s="24">
        <v>5</v>
      </c>
    </row>
    <row r="42" spans="1:49" x14ac:dyDescent="0.2">
      <c r="A42" s="7" t="s">
        <v>48</v>
      </c>
      <c r="B42" s="7">
        <v>1955</v>
      </c>
      <c r="C42" s="7"/>
      <c r="D42" s="3" t="s">
        <v>6</v>
      </c>
      <c r="E42" s="3" t="s">
        <v>2</v>
      </c>
      <c r="F42" s="3">
        <v>1</v>
      </c>
      <c r="G42" s="4">
        <v>2.8</v>
      </c>
      <c r="H42" s="4">
        <v>2.8</v>
      </c>
      <c r="I42" s="6"/>
      <c r="J42" s="6"/>
      <c r="K42" s="6"/>
      <c r="L42" s="6" t="str">
        <f t="shared" si="0"/>
        <v>wolf</v>
      </c>
      <c r="M42" s="6" t="str">
        <f t="shared" si="1"/>
        <v>Rebel Without A Cause (Dean, Wood)</v>
      </c>
      <c r="N42" s="9">
        <f t="shared" si="2"/>
        <v>2.8</v>
      </c>
      <c r="P42" t="str">
        <f t="shared" si="3"/>
        <v>"wolf";"Rebel Without A Cause";"2.8"</v>
      </c>
      <c r="U42" t="str">
        <f t="shared" si="4"/>
        <v>wolf</v>
      </c>
      <c r="V42" t="str">
        <f t="shared" si="6"/>
        <v>Rebel Without A Cause</v>
      </c>
      <c r="W42">
        <f t="shared" si="5"/>
        <v>1</v>
      </c>
      <c r="Z42" s="23" t="s">
        <v>135</v>
      </c>
      <c r="AA42" s="24">
        <v>0</v>
      </c>
      <c r="AB42" s="24">
        <v>1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4">
        <v>1</v>
      </c>
      <c r="AK42" s="24">
        <v>0</v>
      </c>
      <c r="AL42" s="24">
        <v>0</v>
      </c>
      <c r="AM42" s="24">
        <v>0</v>
      </c>
      <c r="AN42" s="24">
        <v>0</v>
      </c>
      <c r="AO42" s="24">
        <v>0</v>
      </c>
      <c r="AP42" s="24">
        <v>0</v>
      </c>
      <c r="AQ42" s="24">
        <v>1</v>
      </c>
      <c r="AR42" s="24">
        <v>0</v>
      </c>
      <c r="AS42" s="24">
        <v>0</v>
      </c>
      <c r="AT42" s="24">
        <v>0</v>
      </c>
      <c r="AU42" s="24">
        <v>0</v>
      </c>
      <c r="AV42" s="24">
        <v>1</v>
      </c>
      <c r="AW42" s="24">
        <v>4</v>
      </c>
    </row>
    <row r="43" spans="1:49" x14ac:dyDescent="0.2">
      <c r="A43" s="7" t="s">
        <v>66</v>
      </c>
      <c r="B43" s="7">
        <v>2005</v>
      </c>
      <c r="C43" s="7"/>
      <c r="D43" s="3" t="s">
        <v>6</v>
      </c>
      <c r="E43" s="3" t="s">
        <v>3</v>
      </c>
      <c r="F43" s="3">
        <v>0</v>
      </c>
      <c r="G43" s="4"/>
      <c r="H43" s="4">
        <v>0</v>
      </c>
      <c r="I43" s="6"/>
      <c r="J43" s="6"/>
      <c r="K43" s="6"/>
      <c r="L43" s="6" t="str">
        <f t="shared" si="0"/>
        <v>wolf</v>
      </c>
      <c r="M43" s="6" t="str">
        <f t="shared" si="1"/>
        <v>Rumor has it (Aniston, Costner)</v>
      </c>
      <c r="N43" s="9">
        <f t="shared" si="2"/>
        <v>0</v>
      </c>
      <c r="P43" t="str">
        <f t="shared" si="3"/>
        <v>"wolf";"Rumor has it";"0"</v>
      </c>
      <c r="U43" t="str">
        <f t="shared" si="4"/>
        <v>wolf</v>
      </c>
      <c r="V43" t="str">
        <f t="shared" si="6"/>
        <v>Rumor has it</v>
      </c>
      <c r="W43">
        <f t="shared" si="5"/>
        <v>0</v>
      </c>
      <c r="Z43" s="23" t="s">
        <v>136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  <c r="AN43" s="24">
        <v>0</v>
      </c>
      <c r="AO43" s="24">
        <v>0</v>
      </c>
      <c r="AP43" s="24">
        <v>0</v>
      </c>
      <c r="AQ43" s="24">
        <v>1</v>
      </c>
      <c r="AR43" s="24">
        <v>0</v>
      </c>
      <c r="AS43" s="24">
        <v>0</v>
      </c>
      <c r="AT43" s="24">
        <v>0</v>
      </c>
      <c r="AU43" s="24">
        <v>0</v>
      </c>
      <c r="AV43" s="24">
        <v>1</v>
      </c>
      <c r="AW43" s="24">
        <v>2</v>
      </c>
    </row>
    <row r="44" spans="1:49" x14ac:dyDescent="0.2">
      <c r="A44" s="7" t="s">
        <v>49</v>
      </c>
      <c r="B44" s="7">
        <v>1998</v>
      </c>
      <c r="C44" s="7"/>
      <c r="D44" s="3" t="s">
        <v>6</v>
      </c>
      <c r="E44" s="3" t="s">
        <v>2</v>
      </c>
      <c r="F44" s="3">
        <v>1</v>
      </c>
      <c r="G44" s="4">
        <v>2.5</v>
      </c>
      <c r="H44" s="4">
        <v>2.5</v>
      </c>
      <c r="I44" s="6"/>
      <c r="J44" s="6"/>
      <c r="K44" s="6"/>
      <c r="L44" s="6" t="str">
        <f t="shared" si="0"/>
        <v>wolf</v>
      </c>
      <c r="M44" s="6" t="str">
        <f t="shared" si="1"/>
        <v>Saving private Ryan (Hanks, Damon)</v>
      </c>
      <c r="N44" s="9">
        <f t="shared" si="2"/>
        <v>2.5</v>
      </c>
      <c r="P44" t="str">
        <f t="shared" si="3"/>
        <v>"wolf";"Saving private Ryan";"2.5"</v>
      </c>
      <c r="U44" t="str">
        <f t="shared" si="4"/>
        <v>wolf</v>
      </c>
      <c r="V44" t="str">
        <f t="shared" si="6"/>
        <v>Saving private Ryan</v>
      </c>
      <c r="W44">
        <f t="shared" si="5"/>
        <v>1</v>
      </c>
      <c r="Z44" s="23" t="s">
        <v>137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1</v>
      </c>
      <c r="AK44" s="24">
        <v>1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1</v>
      </c>
      <c r="AR44" s="24">
        <v>0</v>
      </c>
      <c r="AS44" s="24">
        <v>0</v>
      </c>
      <c r="AT44" s="24">
        <v>0</v>
      </c>
      <c r="AU44" s="24">
        <v>0</v>
      </c>
      <c r="AV44" s="24">
        <v>0</v>
      </c>
      <c r="AW44" s="24">
        <v>3</v>
      </c>
    </row>
    <row r="45" spans="1:49" x14ac:dyDescent="0.2">
      <c r="A45" s="6" t="s">
        <v>50</v>
      </c>
      <c r="B45" s="7">
        <v>1993</v>
      </c>
      <c r="C45" s="7"/>
      <c r="D45" s="3" t="s">
        <v>6</v>
      </c>
      <c r="E45" s="3" t="s">
        <v>3</v>
      </c>
      <c r="F45" s="3">
        <v>0</v>
      </c>
      <c r="G45" s="4"/>
      <c r="H45" s="4">
        <v>0</v>
      </c>
      <c r="I45" s="6"/>
      <c r="J45" s="6"/>
      <c r="K45" s="6"/>
      <c r="L45" s="6" t="str">
        <f t="shared" si="0"/>
        <v>wolf</v>
      </c>
      <c r="M45" s="6" t="str">
        <f t="shared" si="1"/>
        <v>Schindlers List (Neeson, Fiennes)</v>
      </c>
      <c r="N45" s="9">
        <f t="shared" si="2"/>
        <v>0</v>
      </c>
      <c r="P45" t="str">
        <f t="shared" si="3"/>
        <v>"wolf";"Schindlers List";"0"</v>
      </c>
      <c r="U45" t="str">
        <f t="shared" si="4"/>
        <v>wolf</v>
      </c>
      <c r="V45" t="str">
        <f t="shared" si="6"/>
        <v>Schindlers List</v>
      </c>
      <c r="W45">
        <f t="shared" si="5"/>
        <v>0</v>
      </c>
      <c r="Z45" s="23" t="s">
        <v>138</v>
      </c>
      <c r="AA45" s="24">
        <v>0</v>
      </c>
      <c r="AB45" s="24">
        <v>1</v>
      </c>
      <c r="AC45" s="24">
        <v>0</v>
      </c>
      <c r="AD45" s="24">
        <v>1</v>
      </c>
      <c r="AE45" s="24">
        <v>1</v>
      </c>
      <c r="AF45" s="24">
        <v>0</v>
      </c>
      <c r="AG45" s="24">
        <v>0</v>
      </c>
      <c r="AH45" s="24">
        <v>1</v>
      </c>
      <c r="AI45" s="24">
        <v>1</v>
      </c>
      <c r="AJ45" s="24">
        <v>1</v>
      </c>
      <c r="AK45" s="24">
        <v>1</v>
      </c>
      <c r="AL45" s="24">
        <v>0</v>
      </c>
      <c r="AM45" s="24">
        <v>0</v>
      </c>
      <c r="AN45" s="24">
        <v>1</v>
      </c>
      <c r="AO45" s="24">
        <v>0</v>
      </c>
      <c r="AP45" s="24">
        <v>1</v>
      </c>
      <c r="AQ45" s="24">
        <v>0</v>
      </c>
      <c r="AR45" s="24">
        <v>1</v>
      </c>
      <c r="AS45" s="24">
        <v>0</v>
      </c>
      <c r="AT45" s="24">
        <v>0</v>
      </c>
      <c r="AU45" s="24">
        <v>0</v>
      </c>
      <c r="AV45" s="24">
        <v>1</v>
      </c>
      <c r="AW45" s="24">
        <v>11</v>
      </c>
    </row>
    <row r="46" spans="1:49" x14ac:dyDescent="0.2">
      <c r="A46" s="6" t="s">
        <v>51</v>
      </c>
      <c r="B46" s="7">
        <v>1996</v>
      </c>
      <c r="C46" s="7"/>
      <c r="D46" s="3" t="s">
        <v>6</v>
      </c>
      <c r="E46" s="3" t="s">
        <v>3</v>
      </c>
      <c r="F46" s="3">
        <v>0</v>
      </c>
      <c r="G46" s="4"/>
      <c r="H46" s="4">
        <v>0</v>
      </c>
      <c r="I46" s="6"/>
      <c r="J46" s="6"/>
      <c r="K46" s="6"/>
      <c r="L46" s="6" t="str">
        <f t="shared" si="0"/>
        <v>wolf</v>
      </c>
      <c r="M46" s="6" t="str">
        <f t="shared" si="1"/>
        <v>Scream (Arquette, Campell)</v>
      </c>
      <c r="N46" s="9">
        <f t="shared" si="2"/>
        <v>0</v>
      </c>
      <c r="P46" t="str">
        <f t="shared" si="3"/>
        <v>"wolf";"Scream";"0"</v>
      </c>
      <c r="U46" t="str">
        <f t="shared" si="4"/>
        <v>wolf</v>
      </c>
      <c r="V46" t="str">
        <f t="shared" si="6"/>
        <v>Scream</v>
      </c>
      <c r="W46">
        <f t="shared" si="5"/>
        <v>0</v>
      </c>
      <c r="Z46" s="23" t="s">
        <v>139</v>
      </c>
      <c r="AA46" s="24">
        <v>0</v>
      </c>
      <c r="AB46" s="24">
        <v>1</v>
      </c>
      <c r="AC46" s="24">
        <v>1</v>
      </c>
      <c r="AD46" s="24">
        <v>1</v>
      </c>
      <c r="AE46" s="24">
        <v>1</v>
      </c>
      <c r="AF46" s="24">
        <v>0</v>
      </c>
      <c r="AG46" s="24">
        <v>1</v>
      </c>
      <c r="AH46" s="24">
        <v>1</v>
      </c>
      <c r="AI46" s="24">
        <v>0</v>
      </c>
      <c r="AJ46" s="24">
        <v>1</v>
      </c>
      <c r="AK46" s="24">
        <v>1</v>
      </c>
      <c r="AL46" s="24">
        <v>1</v>
      </c>
      <c r="AM46" s="24">
        <v>0</v>
      </c>
      <c r="AN46" s="24">
        <v>1</v>
      </c>
      <c r="AO46" s="24">
        <v>1</v>
      </c>
      <c r="AP46" s="24">
        <v>1</v>
      </c>
      <c r="AQ46" s="24">
        <v>0</v>
      </c>
      <c r="AR46" s="24">
        <v>0</v>
      </c>
      <c r="AS46" s="24">
        <v>1</v>
      </c>
      <c r="AT46" s="24">
        <v>1</v>
      </c>
      <c r="AU46" s="24">
        <v>1</v>
      </c>
      <c r="AV46" s="24">
        <v>0</v>
      </c>
      <c r="AW46" s="24">
        <v>15</v>
      </c>
    </row>
    <row r="47" spans="1:49" x14ac:dyDescent="0.2">
      <c r="A47" s="7" t="s">
        <v>52</v>
      </c>
      <c r="B47" s="7">
        <v>1977</v>
      </c>
      <c r="C47" s="7"/>
      <c r="D47" s="3" t="s">
        <v>6</v>
      </c>
      <c r="E47" s="3" t="s">
        <v>2</v>
      </c>
      <c r="F47" s="3">
        <v>1</v>
      </c>
      <c r="G47" s="4">
        <v>3.2</v>
      </c>
      <c r="H47" s="4">
        <v>3.2</v>
      </c>
      <c r="I47" s="6"/>
      <c r="J47" s="6"/>
      <c r="K47" s="6"/>
      <c r="L47" s="6" t="str">
        <f t="shared" si="0"/>
        <v>wolf</v>
      </c>
      <c r="M47" s="6" t="str">
        <f t="shared" si="1"/>
        <v>Star Wars IV: A new hope (Hamill, Ford)</v>
      </c>
      <c r="N47" s="9">
        <f t="shared" si="2"/>
        <v>3.2</v>
      </c>
      <c r="P47" t="str">
        <f t="shared" si="3"/>
        <v>"wolf";"Star Wars IV: A new hope";"3.2"</v>
      </c>
      <c r="U47" t="str">
        <f t="shared" si="4"/>
        <v>wolf</v>
      </c>
      <c r="V47" t="str">
        <f t="shared" si="6"/>
        <v>Star Wars IV: A new hope</v>
      </c>
      <c r="W47">
        <f t="shared" si="5"/>
        <v>1</v>
      </c>
      <c r="Z47" s="23" t="s">
        <v>140</v>
      </c>
      <c r="AA47" s="24">
        <v>0</v>
      </c>
      <c r="AB47" s="24">
        <v>1</v>
      </c>
      <c r="AC47" s="24">
        <v>0</v>
      </c>
      <c r="AD47" s="24">
        <v>1</v>
      </c>
      <c r="AE47" s="24">
        <v>1</v>
      </c>
      <c r="AF47" s="24">
        <v>0</v>
      </c>
      <c r="AG47" s="24">
        <v>1</v>
      </c>
      <c r="AH47" s="24">
        <v>1</v>
      </c>
      <c r="AI47" s="24">
        <v>0</v>
      </c>
      <c r="AJ47" s="24">
        <v>1</v>
      </c>
      <c r="AK47" s="24">
        <v>1</v>
      </c>
      <c r="AL47" s="24">
        <v>1</v>
      </c>
      <c r="AM47" s="24">
        <v>0</v>
      </c>
      <c r="AN47" s="24">
        <v>1</v>
      </c>
      <c r="AO47" s="24">
        <v>0</v>
      </c>
      <c r="AP47" s="24">
        <v>0</v>
      </c>
      <c r="AQ47" s="24">
        <v>1</v>
      </c>
      <c r="AR47" s="24">
        <v>1</v>
      </c>
      <c r="AS47" s="24">
        <v>1</v>
      </c>
      <c r="AT47" s="24">
        <v>1</v>
      </c>
      <c r="AU47" s="24">
        <v>0</v>
      </c>
      <c r="AV47" s="24">
        <v>0</v>
      </c>
      <c r="AW47" s="24">
        <v>13</v>
      </c>
    </row>
    <row r="48" spans="1:49" x14ac:dyDescent="0.2">
      <c r="A48" s="6" t="s">
        <v>53</v>
      </c>
      <c r="B48" s="7">
        <v>2016</v>
      </c>
      <c r="C48" s="7"/>
      <c r="D48" s="3" t="s">
        <v>6</v>
      </c>
      <c r="E48" s="3" t="s">
        <v>2</v>
      </c>
      <c r="F48" s="3">
        <v>1</v>
      </c>
      <c r="G48" s="4">
        <v>3.5</v>
      </c>
      <c r="H48" s="4">
        <v>3.5</v>
      </c>
      <c r="I48" s="6"/>
      <c r="J48" s="6"/>
      <c r="K48" s="6"/>
      <c r="L48" s="6" t="str">
        <f t="shared" si="0"/>
        <v>wolf</v>
      </c>
      <c r="M48" s="6" t="str">
        <f t="shared" si="1"/>
        <v>Suicide Squad (Smith, Robbie)</v>
      </c>
      <c r="N48" s="9">
        <f t="shared" si="2"/>
        <v>3.5</v>
      </c>
      <c r="P48" t="str">
        <f t="shared" si="3"/>
        <v>"wolf";"Suicide Squad";"3.5"</v>
      </c>
      <c r="U48" t="str">
        <f t="shared" si="4"/>
        <v>wolf</v>
      </c>
      <c r="V48" t="str">
        <f t="shared" si="6"/>
        <v>Suicide Squad</v>
      </c>
      <c r="W48">
        <f t="shared" si="5"/>
        <v>1</v>
      </c>
      <c r="Z48" s="23" t="s">
        <v>141</v>
      </c>
      <c r="AA48" s="24">
        <v>0</v>
      </c>
      <c r="AB48" s="24">
        <v>1</v>
      </c>
      <c r="AC48" s="24">
        <v>0</v>
      </c>
      <c r="AD48" s="24">
        <v>1</v>
      </c>
      <c r="AE48" s="24">
        <v>0</v>
      </c>
      <c r="AF48" s="24">
        <v>0</v>
      </c>
      <c r="AG48" s="24">
        <v>0</v>
      </c>
      <c r="AH48" s="24">
        <v>1</v>
      </c>
      <c r="AI48" s="24">
        <v>1</v>
      </c>
      <c r="AJ48" s="24">
        <v>0</v>
      </c>
      <c r="AK48" s="24">
        <v>1</v>
      </c>
      <c r="AL48" s="24">
        <v>1</v>
      </c>
      <c r="AM48" s="24">
        <v>1</v>
      </c>
      <c r="AN48" s="24">
        <v>1</v>
      </c>
      <c r="AO48" s="24">
        <v>0</v>
      </c>
      <c r="AP48" s="24">
        <v>1</v>
      </c>
      <c r="AQ48" s="24">
        <v>1</v>
      </c>
      <c r="AR48" s="24">
        <v>0</v>
      </c>
      <c r="AS48" s="24">
        <v>1</v>
      </c>
      <c r="AT48" s="24">
        <v>1</v>
      </c>
      <c r="AU48" s="24">
        <v>0</v>
      </c>
      <c r="AV48" s="24">
        <v>1</v>
      </c>
      <c r="AW48" s="24">
        <v>13</v>
      </c>
    </row>
    <row r="49" spans="1:49" x14ac:dyDescent="0.2">
      <c r="A49" s="6" t="s">
        <v>54</v>
      </c>
      <c r="B49" s="7">
        <v>2010</v>
      </c>
      <c r="C49" s="7"/>
      <c r="D49" s="3" t="s">
        <v>6</v>
      </c>
      <c r="E49" s="3" t="s">
        <v>2</v>
      </c>
      <c r="F49" s="3">
        <v>1</v>
      </c>
      <c r="G49" s="4">
        <v>1.5</v>
      </c>
      <c r="H49" s="4">
        <v>1.5</v>
      </c>
      <c r="I49" s="6"/>
      <c r="J49" s="6"/>
      <c r="K49" s="6"/>
      <c r="L49" s="6" t="str">
        <f t="shared" si="0"/>
        <v>wolf</v>
      </c>
      <c r="M49" s="6" t="str">
        <f t="shared" si="1"/>
        <v>Tangled (Disney)</v>
      </c>
      <c r="N49" s="9">
        <f t="shared" si="2"/>
        <v>1.5</v>
      </c>
      <c r="P49" t="str">
        <f t="shared" si="3"/>
        <v>"wolf";"Tangled";"1.5"</v>
      </c>
      <c r="U49" t="str">
        <f t="shared" si="4"/>
        <v>wolf</v>
      </c>
      <c r="V49" t="str">
        <f t="shared" si="6"/>
        <v>Tangled</v>
      </c>
      <c r="W49">
        <f t="shared" si="5"/>
        <v>1</v>
      </c>
      <c r="Z49" s="23" t="s">
        <v>142</v>
      </c>
      <c r="AA49" s="24">
        <v>0</v>
      </c>
      <c r="AB49" s="24">
        <v>0</v>
      </c>
      <c r="AC49" s="24">
        <v>1</v>
      </c>
      <c r="AD49" s="24">
        <v>1</v>
      </c>
      <c r="AE49" s="24">
        <v>0</v>
      </c>
      <c r="AF49" s="24">
        <v>1</v>
      </c>
      <c r="AG49" s="24">
        <v>0</v>
      </c>
      <c r="AH49" s="24">
        <v>1</v>
      </c>
      <c r="AI49" s="24">
        <v>1</v>
      </c>
      <c r="AJ49" s="24">
        <v>0</v>
      </c>
      <c r="AK49" s="24">
        <v>1</v>
      </c>
      <c r="AL49" s="24">
        <v>0</v>
      </c>
      <c r="AM49" s="24">
        <v>1</v>
      </c>
      <c r="AN49" s="24">
        <v>1</v>
      </c>
      <c r="AO49" s="24">
        <v>0</v>
      </c>
      <c r="AP49" s="24">
        <v>1</v>
      </c>
      <c r="AQ49" s="24">
        <v>1</v>
      </c>
      <c r="AR49" s="24">
        <v>0</v>
      </c>
      <c r="AS49" s="24">
        <v>1</v>
      </c>
      <c r="AT49" s="24">
        <v>1</v>
      </c>
      <c r="AU49" s="24">
        <v>0</v>
      </c>
      <c r="AV49" s="24">
        <v>1</v>
      </c>
      <c r="AW49" s="24">
        <v>13</v>
      </c>
    </row>
    <row r="50" spans="1:49" x14ac:dyDescent="0.2">
      <c r="A50" s="7" t="s">
        <v>55</v>
      </c>
      <c r="B50" s="7">
        <v>2012</v>
      </c>
      <c r="C50" s="7"/>
      <c r="D50" s="3" t="s">
        <v>6</v>
      </c>
      <c r="E50" s="3" t="s">
        <v>2</v>
      </c>
      <c r="F50" s="3">
        <v>1</v>
      </c>
      <c r="G50" s="4">
        <v>3.8</v>
      </c>
      <c r="H50" s="4">
        <v>3.8</v>
      </c>
      <c r="I50" s="6"/>
      <c r="J50" s="6"/>
      <c r="K50" s="6"/>
      <c r="L50" s="6" t="str">
        <f t="shared" si="0"/>
        <v>wolf</v>
      </c>
      <c r="M50" s="6" t="str">
        <f t="shared" si="1"/>
        <v>The Avengers (Downey Jr. Evans)</v>
      </c>
      <c r="N50" s="9">
        <f t="shared" si="2"/>
        <v>3.8</v>
      </c>
      <c r="P50" t="str">
        <f t="shared" si="3"/>
        <v>"wolf";"The Avengers";"3.8"</v>
      </c>
      <c r="U50" t="str">
        <f t="shared" si="4"/>
        <v>wolf</v>
      </c>
      <c r="V50" t="str">
        <f t="shared" si="6"/>
        <v>The Avengers</v>
      </c>
      <c r="W50">
        <f t="shared" si="5"/>
        <v>1</v>
      </c>
      <c r="Z50" s="23" t="s">
        <v>143</v>
      </c>
      <c r="AA50" s="24">
        <v>1</v>
      </c>
      <c r="AB50" s="24">
        <v>0</v>
      </c>
      <c r="AC50" s="24">
        <v>0</v>
      </c>
      <c r="AD50" s="24">
        <v>1</v>
      </c>
      <c r="AE50" s="24">
        <v>0</v>
      </c>
      <c r="AF50" s="24">
        <v>0</v>
      </c>
      <c r="AG50" s="24">
        <v>0</v>
      </c>
      <c r="AH50" s="24">
        <v>1</v>
      </c>
      <c r="AI50" s="24">
        <v>1</v>
      </c>
      <c r="AJ50" s="24">
        <v>0</v>
      </c>
      <c r="AK50" s="24">
        <v>1</v>
      </c>
      <c r="AL50" s="24">
        <v>1</v>
      </c>
      <c r="AM50" s="24">
        <v>0</v>
      </c>
      <c r="AN50" s="24">
        <v>0</v>
      </c>
      <c r="AO50" s="24">
        <v>0</v>
      </c>
      <c r="AP50" s="24">
        <v>0</v>
      </c>
      <c r="AQ50" s="24">
        <v>1</v>
      </c>
      <c r="AR50" s="24">
        <v>1</v>
      </c>
      <c r="AS50" s="24">
        <v>0</v>
      </c>
      <c r="AT50" s="24">
        <v>0</v>
      </c>
      <c r="AU50" s="24">
        <v>0</v>
      </c>
      <c r="AV50" s="24">
        <v>1</v>
      </c>
      <c r="AW50" s="24">
        <v>9</v>
      </c>
    </row>
    <row r="51" spans="1:49" x14ac:dyDescent="0.2">
      <c r="A51" s="6" t="s">
        <v>56</v>
      </c>
      <c r="B51" s="7">
        <v>1973</v>
      </c>
      <c r="C51" s="7"/>
      <c r="D51" s="3" t="s">
        <v>6</v>
      </c>
      <c r="E51" s="3" t="s">
        <v>3</v>
      </c>
      <c r="F51" s="3">
        <v>0</v>
      </c>
      <c r="G51" s="4"/>
      <c r="H51" s="4">
        <v>0</v>
      </c>
      <c r="I51" s="6"/>
      <c r="J51" s="6"/>
      <c r="K51" s="6"/>
      <c r="L51" s="6" t="str">
        <f t="shared" si="0"/>
        <v>wolf</v>
      </c>
      <c r="M51" s="6" t="str">
        <f t="shared" si="1"/>
        <v>The Exorcist (von Sydow, Blair)</v>
      </c>
      <c r="N51" s="9">
        <f t="shared" si="2"/>
        <v>0</v>
      </c>
      <c r="P51" t="str">
        <f t="shared" si="3"/>
        <v>"wolf";"The Exorcist";"0"</v>
      </c>
      <c r="U51" t="str">
        <f t="shared" si="4"/>
        <v>wolf</v>
      </c>
      <c r="V51" t="str">
        <f t="shared" si="6"/>
        <v>The Exorcist</v>
      </c>
      <c r="W51">
        <f t="shared" si="5"/>
        <v>0</v>
      </c>
      <c r="Z51" s="23" t="s">
        <v>144</v>
      </c>
      <c r="AA51" s="24">
        <v>0</v>
      </c>
      <c r="AB51" s="24">
        <v>0</v>
      </c>
      <c r="AC51" s="24">
        <v>0</v>
      </c>
      <c r="AD51" s="24">
        <v>1</v>
      </c>
      <c r="AE51" s="24">
        <v>0</v>
      </c>
      <c r="AF51" s="24">
        <v>1</v>
      </c>
      <c r="AG51" s="24">
        <v>1</v>
      </c>
      <c r="AH51" s="24">
        <v>1</v>
      </c>
      <c r="AI51" s="24">
        <v>1</v>
      </c>
      <c r="AJ51" s="24">
        <v>1</v>
      </c>
      <c r="AK51" s="24">
        <v>1</v>
      </c>
      <c r="AL51" s="24">
        <v>0</v>
      </c>
      <c r="AM51" s="24">
        <v>1</v>
      </c>
      <c r="AN51" s="24">
        <v>1</v>
      </c>
      <c r="AO51" s="24">
        <v>0</v>
      </c>
      <c r="AP51" s="24">
        <v>1</v>
      </c>
      <c r="AQ51" s="24">
        <v>1</v>
      </c>
      <c r="AR51" s="24">
        <v>0</v>
      </c>
      <c r="AS51" s="24">
        <v>1</v>
      </c>
      <c r="AT51" s="24">
        <v>1</v>
      </c>
      <c r="AU51" s="24">
        <v>1</v>
      </c>
      <c r="AV51" s="24">
        <v>1</v>
      </c>
      <c r="AW51" s="24">
        <v>15</v>
      </c>
    </row>
    <row r="52" spans="1:49" x14ac:dyDescent="0.2">
      <c r="A52" s="6" t="s">
        <v>57</v>
      </c>
      <c r="B52" s="7">
        <v>1972</v>
      </c>
      <c r="C52" s="7"/>
      <c r="D52" s="3" t="s">
        <v>6</v>
      </c>
      <c r="E52" s="3" t="s">
        <v>3</v>
      </c>
      <c r="F52" s="3">
        <v>0</v>
      </c>
      <c r="G52" s="4"/>
      <c r="H52" s="4">
        <v>0</v>
      </c>
      <c r="I52" s="6"/>
      <c r="J52" s="6"/>
      <c r="K52" s="6"/>
      <c r="L52" s="6" t="str">
        <f t="shared" si="0"/>
        <v>wolf</v>
      </c>
      <c r="M52" s="6" t="str">
        <f t="shared" si="1"/>
        <v>The Godfather (Brando, Pacino)</v>
      </c>
      <c r="N52" s="9">
        <f t="shared" si="2"/>
        <v>0</v>
      </c>
      <c r="P52" t="str">
        <f t="shared" si="3"/>
        <v>"wolf";"The Godfather";"0"</v>
      </c>
      <c r="U52" t="str">
        <f t="shared" si="4"/>
        <v>wolf</v>
      </c>
      <c r="V52" t="str">
        <f t="shared" si="6"/>
        <v>The Godfather</v>
      </c>
      <c r="W52">
        <f t="shared" si="5"/>
        <v>0</v>
      </c>
      <c r="Z52" s="23" t="s">
        <v>145</v>
      </c>
      <c r="AA52" s="24">
        <v>0</v>
      </c>
      <c r="AB52" s="24">
        <v>1</v>
      </c>
      <c r="AC52" s="24">
        <v>1</v>
      </c>
      <c r="AD52" s="24">
        <v>1</v>
      </c>
      <c r="AE52" s="24">
        <v>1</v>
      </c>
      <c r="AF52" s="24">
        <v>0</v>
      </c>
      <c r="AG52" s="24">
        <v>0</v>
      </c>
      <c r="AH52" s="24">
        <v>0</v>
      </c>
      <c r="AI52" s="24">
        <v>0</v>
      </c>
      <c r="AJ52" s="24">
        <v>1</v>
      </c>
      <c r="AK52" s="24">
        <v>1</v>
      </c>
      <c r="AL52" s="24">
        <v>1</v>
      </c>
      <c r="AM52" s="24">
        <v>0</v>
      </c>
      <c r="AN52" s="24">
        <v>1</v>
      </c>
      <c r="AO52" s="24">
        <v>0</v>
      </c>
      <c r="AP52" s="24">
        <v>0</v>
      </c>
      <c r="AQ52" s="24">
        <v>0</v>
      </c>
      <c r="AR52" s="24">
        <v>0</v>
      </c>
      <c r="AS52" s="24">
        <v>1</v>
      </c>
      <c r="AT52" s="24">
        <v>0</v>
      </c>
      <c r="AU52" s="24">
        <v>0</v>
      </c>
      <c r="AV52" s="24">
        <v>0</v>
      </c>
      <c r="AW52" s="24">
        <v>9</v>
      </c>
    </row>
    <row r="53" spans="1:49" x14ac:dyDescent="0.2">
      <c r="A53" s="6" t="s">
        <v>58</v>
      </c>
      <c r="B53" s="7">
        <v>1994</v>
      </c>
      <c r="C53" s="7"/>
      <c r="D53" s="3" t="s">
        <v>6</v>
      </c>
      <c r="E53" s="3" t="s">
        <v>3</v>
      </c>
      <c r="F53" s="3">
        <v>0</v>
      </c>
      <c r="G53" s="4"/>
      <c r="H53" s="4">
        <v>0</v>
      </c>
      <c r="I53" s="6"/>
      <c r="J53" s="6"/>
      <c r="K53" s="6"/>
      <c r="L53" s="6" t="str">
        <f t="shared" si="0"/>
        <v>wolf</v>
      </c>
      <c r="M53" s="6" t="str">
        <f t="shared" si="1"/>
        <v>The Lion King (Disney)</v>
      </c>
      <c r="N53" s="9">
        <f t="shared" si="2"/>
        <v>0</v>
      </c>
      <c r="P53" t="str">
        <f t="shared" si="3"/>
        <v>"wolf";"The Lion King";"0"</v>
      </c>
      <c r="U53" t="str">
        <f t="shared" si="4"/>
        <v>wolf</v>
      </c>
      <c r="V53" t="str">
        <f t="shared" si="6"/>
        <v>The Lion King</v>
      </c>
      <c r="W53">
        <f t="shared" si="5"/>
        <v>0</v>
      </c>
      <c r="Z53" s="23" t="s">
        <v>146</v>
      </c>
      <c r="AA53" s="24">
        <v>0</v>
      </c>
      <c r="AB53" s="24">
        <v>1</v>
      </c>
      <c r="AC53" s="24">
        <v>0</v>
      </c>
      <c r="AD53" s="24">
        <v>1</v>
      </c>
      <c r="AE53" s="24">
        <v>1</v>
      </c>
      <c r="AF53" s="24">
        <v>1</v>
      </c>
      <c r="AG53" s="24">
        <v>0</v>
      </c>
      <c r="AH53" s="24">
        <v>1</v>
      </c>
      <c r="AI53" s="24">
        <v>0</v>
      </c>
      <c r="AJ53" s="24">
        <v>1</v>
      </c>
      <c r="AK53" s="24">
        <v>1</v>
      </c>
      <c r="AL53" s="24">
        <v>1</v>
      </c>
      <c r="AM53" s="24">
        <v>1</v>
      </c>
      <c r="AN53" s="24">
        <v>1</v>
      </c>
      <c r="AO53" s="24">
        <v>0</v>
      </c>
      <c r="AP53" s="24">
        <v>0</v>
      </c>
      <c r="AQ53" s="24">
        <v>1</v>
      </c>
      <c r="AR53" s="24">
        <v>0</v>
      </c>
      <c r="AS53" s="24">
        <v>1</v>
      </c>
      <c r="AT53" s="24">
        <v>1</v>
      </c>
      <c r="AU53" s="24">
        <v>0</v>
      </c>
      <c r="AV53" s="24">
        <v>0</v>
      </c>
      <c r="AW53" s="24">
        <v>13</v>
      </c>
    </row>
    <row r="54" spans="1:49" x14ac:dyDescent="0.2">
      <c r="A54" s="7" t="s">
        <v>59</v>
      </c>
      <c r="B54" s="7">
        <v>1999</v>
      </c>
      <c r="C54" s="7"/>
      <c r="D54" s="3" t="s">
        <v>6</v>
      </c>
      <c r="E54" s="3" t="s">
        <v>2</v>
      </c>
      <c r="F54" s="3">
        <v>1</v>
      </c>
      <c r="G54" s="4">
        <v>4.5999999999999996</v>
      </c>
      <c r="H54" s="4">
        <v>4.5999999999999996</v>
      </c>
      <c r="I54" s="6"/>
      <c r="J54" s="6"/>
      <c r="K54" s="6"/>
      <c r="L54" s="6" t="str">
        <f t="shared" si="0"/>
        <v>wolf</v>
      </c>
      <c r="M54" s="6" t="str">
        <f t="shared" si="1"/>
        <v>The Matrix (Reeves, Fishburn)</v>
      </c>
      <c r="N54" s="9">
        <f t="shared" si="2"/>
        <v>4.5999999999999996</v>
      </c>
      <c r="P54" t="str">
        <f t="shared" si="3"/>
        <v>"wolf";"The Matrix";"4.6"</v>
      </c>
      <c r="U54" t="str">
        <f t="shared" si="4"/>
        <v>wolf</v>
      </c>
      <c r="V54" t="str">
        <f t="shared" si="6"/>
        <v>The Matrix</v>
      </c>
      <c r="W54">
        <f t="shared" si="5"/>
        <v>1</v>
      </c>
      <c r="Z54" s="23" t="s">
        <v>147</v>
      </c>
      <c r="AA54" s="24">
        <v>1</v>
      </c>
      <c r="AB54" s="24">
        <v>1</v>
      </c>
      <c r="AC54" s="24">
        <v>1</v>
      </c>
      <c r="AD54" s="24">
        <v>1</v>
      </c>
      <c r="AE54" s="24">
        <v>0</v>
      </c>
      <c r="AF54" s="24">
        <v>0</v>
      </c>
      <c r="AG54" s="24">
        <v>1</v>
      </c>
      <c r="AH54" s="24">
        <v>1</v>
      </c>
      <c r="AI54" s="24">
        <v>1</v>
      </c>
      <c r="AJ54" s="24">
        <v>1</v>
      </c>
      <c r="AK54" s="24">
        <v>1</v>
      </c>
      <c r="AL54" s="24">
        <v>1</v>
      </c>
      <c r="AM54" s="24">
        <v>1</v>
      </c>
      <c r="AN54" s="24">
        <v>1</v>
      </c>
      <c r="AO54" s="24">
        <v>1</v>
      </c>
      <c r="AP54" s="24">
        <v>1</v>
      </c>
      <c r="AQ54" s="24">
        <v>1</v>
      </c>
      <c r="AR54" s="24">
        <v>1</v>
      </c>
      <c r="AS54" s="24">
        <v>1</v>
      </c>
      <c r="AT54" s="24">
        <v>1</v>
      </c>
      <c r="AU54" s="24">
        <v>1</v>
      </c>
      <c r="AV54" s="24">
        <v>0</v>
      </c>
      <c r="AW54" s="24">
        <v>19</v>
      </c>
    </row>
    <row r="55" spans="1:49" x14ac:dyDescent="0.2">
      <c r="A55" s="6" t="s">
        <v>60</v>
      </c>
      <c r="B55" s="7">
        <v>1980</v>
      </c>
      <c r="C55" s="7"/>
      <c r="D55" s="3" t="s">
        <v>6</v>
      </c>
      <c r="E55" s="3" t="s">
        <v>3</v>
      </c>
      <c r="F55" s="3">
        <v>0</v>
      </c>
      <c r="G55" s="4"/>
      <c r="H55" s="4">
        <v>0</v>
      </c>
      <c r="I55" s="6"/>
      <c r="J55" s="6"/>
      <c r="K55" s="6"/>
      <c r="L55" s="6" t="str">
        <f t="shared" si="0"/>
        <v>wolf</v>
      </c>
      <c r="M55" s="6" t="str">
        <f t="shared" si="1"/>
        <v>The Shining (Nicholson, Duvall)</v>
      </c>
      <c r="N55" s="9">
        <f t="shared" si="2"/>
        <v>0</v>
      </c>
      <c r="P55" t="str">
        <f t="shared" si="3"/>
        <v>"wolf";"The Shining";"0"</v>
      </c>
      <c r="U55" t="str">
        <f t="shared" si="4"/>
        <v>wolf</v>
      </c>
      <c r="V55" t="str">
        <f t="shared" si="6"/>
        <v>The Shining</v>
      </c>
      <c r="W55">
        <f t="shared" si="5"/>
        <v>0</v>
      </c>
      <c r="Z55" s="23" t="s">
        <v>148</v>
      </c>
      <c r="AA55" s="24">
        <v>1</v>
      </c>
      <c r="AB55" s="24">
        <v>1</v>
      </c>
      <c r="AC55" s="24">
        <v>0</v>
      </c>
      <c r="AD55" s="24">
        <v>1</v>
      </c>
      <c r="AE55" s="24">
        <v>0</v>
      </c>
      <c r="AF55" s="24">
        <v>1</v>
      </c>
      <c r="AG55" s="24">
        <v>1</v>
      </c>
      <c r="AH55" s="24">
        <v>1</v>
      </c>
      <c r="AI55" s="24">
        <v>1</v>
      </c>
      <c r="AJ55" s="24">
        <v>1</v>
      </c>
      <c r="AK55" s="24">
        <v>1</v>
      </c>
      <c r="AL55" s="24">
        <v>1</v>
      </c>
      <c r="AM55" s="24">
        <v>1</v>
      </c>
      <c r="AN55" s="24">
        <v>1</v>
      </c>
      <c r="AO55" s="24">
        <v>0</v>
      </c>
      <c r="AP55" s="24">
        <v>1</v>
      </c>
      <c r="AQ55" s="24">
        <v>1</v>
      </c>
      <c r="AR55" s="24">
        <v>1</v>
      </c>
      <c r="AS55" s="24">
        <v>1</v>
      </c>
      <c r="AT55" s="24">
        <v>1</v>
      </c>
      <c r="AU55" s="24">
        <v>1</v>
      </c>
      <c r="AV55" s="24">
        <v>1</v>
      </c>
      <c r="AW55" s="24">
        <v>19</v>
      </c>
    </row>
    <row r="56" spans="1:49" x14ac:dyDescent="0.2">
      <c r="A56" s="6" t="s">
        <v>61</v>
      </c>
      <c r="B56" s="7">
        <v>1984</v>
      </c>
      <c r="C56" s="7"/>
      <c r="D56" s="3" t="s">
        <v>6</v>
      </c>
      <c r="E56" s="3" t="s">
        <v>2</v>
      </c>
      <c r="F56" s="3">
        <v>1</v>
      </c>
      <c r="G56" s="4">
        <v>4</v>
      </c>
      <c r="H56" s="4">
        <v>4</v>
      </c>
      <c r="I56" s="6"/>
      <c r="J56" s="6"/>
      <c r="K56" s="6"/>
      <c r="L56" s="6" t="str">
        <f t="shared" si="0"/>
        <v>wolf</v>
      </c>
      <c r="M56" s="6" t="str">
        <f t="shared" si="1"/>
        <v>The Terminator (Schwarzenegger, Hamilton)</v>
      </c>
      <c r="N56" s="9">
        <f t="shared" si="2"/>
        <v>4</v>
      </c>
      <c r="P56" t="str">
        <f t="shared" si="3"/>
        <v>"wolf";"The Terminator";"4"</v>
      </c>
      <c r="U56" t="str">
        <f t="shared" si="4"/>
        <v>wolf</v>
      </c>
      <c r="V56" t="str">
        <f t="shared" si="6"/>
        <v>The Terminator</v>
      </c>
      <c r="W56">
        <f t="shared" si="5"/>
        <v>1</v>
      </c>
      <c r="Z56" s="23" t="s">
        <v>149</v>
      </c>
      <c r="AA56" s="24">
        <v>0</v>
      </c>
      <c r="AB56" s="24">
        <v>1</v>
      </c>
      <c r="AC56" s="24">
        <v>0</v>
      </c>
      <c r="AD56" s="24">
        <v>0</v>
      </c>
      <c r="AE56" s="24">
        <v>1</v>
      </c>
      <c r="AF56" s="24">
        <v>1</v>
      </c>
      <c r="AG56" s="24">
        <v>1</v>
      </c>
      <c r="AH56" s="24">
        <v>1</v>
      </c>
      <c r="AI56" s="24">
        <v>0</v>
      </c>
      <c r="AJ56" s="24">
        <v>0</v>
      </c>
      <c r="AK56" s="24">
        <v>1</v>
      </c>
      <c r="AL56" s="24">
        <v>1</v>
      </c>
      <c r="AM56" s="24">
        <v>1</v>
      </c>
      <c r="AN56" s="24">
        <v>1</v>
      </c>
      <c r="AO56" s="24">
        <v>0</v>
      </c>
      <c r="AP56" s="24">
        <v>0</v>
      </c>
      <c r="AQ56" s="24">
        <v>1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24">
        <v>10</v>
      </c>
    </row>
    <row r="57" spans="1:49" x14ac:dyDescent="0.2">
      <c r="A57" s="6" t="s">
        <v>62</v>
      </c>
      <c r="B57" s="7">
        <v>1986</v>
      </c>
      <c r="C57" s="7"/>
      <c r="D57" s="3" t="s">
        <v>6</v>
      </c>
      <c r="E57" s="3" t="s">
        <v>2</v>
      </c>
      <c r="F57" s="3">
        <v>1</v>
      </c>
      <c r="G57" s="4">
        <v>3.7</v>
      </c>
      <c r="H57" s="4">
        <v>3.7</v>
      </c>
      <c r="I57" s="6"/>
      <c r="J57" s="6"/>
      <c r="K57" s="6"/>
      <c r="L57" s="6" t="str">
        <f t="shared" si="0"/>
        <v>wolf</v>
      </c>
      <c r="M57" s="6" t="str">
        <f t="shared" si="1"/>
        <v>Top Gun (Cruise, McGillis)</v>
      </c>
      <c r="N57" s="9">
        <f t="shared" si="2"/>
        <v>3.7</v>
      </c>
      <c r="P57" t="str">
        <f t="shared" si="3"/>
        <v>"wolf";"Top Gun";"3.7"</v>
      </c>
      <c r="U57" t="str">
        <f t="shared" si="4"/>
        <v>wolf</v>
      </c>
      <c r="V57" t="str">
        <f t="shared" si="6"/>
        <v>Top Gun</v>
      </c>
      <c r="W57">
        <f t="shared" si="5"/>
        <v>1</v>
      </c>
      <c r="Z57" s="23" t="s">
        <v>150</v>
      </c>
      <c r="AA57" s="24">
        <v>1</v>
      </c>
      <c r="AB57" s="24">
        <v>1</v>
      </c>
      <c r="AC57" s="24">
        <v>0</v>
      </c>
      <c r="AD57" s="24">
        <v>1</v>
      </c>
      <c r="AE57" s="24">
        <v>0</v>
      </c>
      <c r="AF57" s="24">
        <v>1</v>
      </c>
      <c r="AG57" s="24">
        <v>1</v>
      </c>
      <c r="AH57" s="24">
        <v>1</v>
      </c>
      <c r="AI57" s="24">
        <v>0</v>
      </c>
      <c r="AJ57" s="24">
        <v>1</v>
      </c>
      <c r="AK57" s="24">
        <v>1</v>
      </c>
      <c r="AL57" s="24">
        <v>1</v>
      </c>
      <c r="AM57" s="24">
        <v>1</v>
      </c>
      <c r="AN57" s="24">
        <v>1</v>
      </c>
      <c r="AO57" s="24">
        <v>0</v>
      </c>
      <c r="AP57" s="24">
        <v>1</v>
      </c>
      <c r="AQ57" s="24">
        <v>1</v>
      </c>
      <c r="AR57" s="24">
        <v>0</v>
      </c>
      <c r="AS57" s="24">
        <v>1</v>
      </c>
      <c r="AT57" s="24">
        <v>1</v>
      </c>
      <c r="AU57" s="24">
        <v>0</v>
      </c>
      <c r="AV57" s="24">
        <v>1</v>
      </c>
      <c r="AW57" s="24">
        <v>16</v>
      </c>
    </row>
    <row r="58" spans="1:49" x14ac:dyDescent="0.2">
      <c r="A58" s="6" t="s">
        <v>63</v>
      </c>
      <c r="B58" s="7">
        <v>1995</v>
      </c>
      <c r="C58" s="7"/>
      <c r="D58" s="3" t="s">
        <v>6</v>
      </c>
      <c r="E58" s="3" t="s">
        <v>2</v>
      </c>
      <c r="F58" s="3">
        <v>1</v>
      </c>
      <c r="G58" s="4">
        <v>4</v>
      </c>
      <c r="H58" s="4">
        <v>4</v>
      </c>
      <c r="I58" s="6"/>
      <c r="J58" s="6"/>
      <c r="K58" s="6"/>
      <c r="L58" s="6" t="str">
        <f t="shared" si="0"/>
        <v>wolf</v>
      </c>
      <c r="M58" s="6" t="str">
        <f t="shared" si="1"/>
        <v>Toy Story (Pixar)</v>
      </c>
      <c r="N58" s="9">
        <f t="shared" si="2"/>
        <v>4</v>
      </c>
      <c r="P58" t="str">
        <f t="shared" si="3"/>
        <v>"wolf";"Toy Story";"4"</v>
      </c>
      <c r="U58" t="str">
        <f t="shared" si="4"/>
        <v>wolf</v>
      </c>
      <c r="V58" t="str">
        <f t="shared" si="6"/>
        <v>Toy Story</v>
      </c>
      <c r="W58">
        <f t="shared" si="5"/>
        <v>1</v>
      </c>
      <c r="Z58" s="23" t="s">
        <v>151</v>
      </c>
      <c r="AA58" s="24">
        <v>0</v>
      </c>
      <c r="AB58" s="24">
        <v>0</v>
      </c>
      <c r="AC58" s="24">
        <v>0</v>
      </c>
      <c r="AD58" s="24">
        <v>1</v>
      </c>
      <c r="AE58" s="24">
        <v>0</v>
      </c>
      <c r="AF58" s="24">
        <v>0</v>
      </c>
      <c r="AG58" s="24">
        <v>0</v>
      </c>
      <c r="AH58" s="24">
        <v>1</v>
      </c>
      <c r="AI58" s="24">
        <v>1</v>
      </c>
      <c r="AJ58" s="24">
        <v>1</v>
      </c>
      <c r="AK58" s="24">
        <v>1</v>
      </c>
      <c r="AL58" s="24">
        <v>1</v>
      </c>
      <c r="AM58" s="24">
        <v>1</v>
      </c>
      <c r="AN58" s="24">
        <v>1</v>
      </c>
      <c r="AO58" s="24">
        <v>0</v>
      </c>
      <c r="AP58" s="24">
        <v>1</v>
      </c>
      <c r="AQ58" s="24">
        <v>1</v>
      </c>
      <c r="AR58" s="24">
        <v>0</v>
      </c>
      <c r="AS58" s="24">
        <v>1</v>
      </c>
      <c r="AT58" s="24">
        <v>1</v>
      </c>
      <c r="AU58" s="24">
        <v>0</v>
      </c>
      <c r="AV58" s="24">
        <v>1</v>
      </c>
      <c r="AW58" s="24">
        <v>13</v>
      </c>
    </row>
    <row r="59" spans="1:49" x14ac:dyDescent="0.2">
      <c r="A59" s="6" t="s">
        <v>8</v>
      </c>
      <c r="B59" s="7">
        <v>1968</v>
      </c>
      <c r="C59" s="7"/>
      <c r="D59" s="3" t="s">
        <v>65</v>
      </c>
      <c r="E59" s="3" t="s">
        <v>2</v>
      </c>
      <c r="F59" s="3">
        <v>1</v>
      </c>
      <c r="G59" s="4">
        <v>3</v>
      </c>
      <c r="H59" s="4">
        <v>3</v>
      </c>
      <c r="I59" s="6"/>
      <c r="J59" s="6"/>
      <c r="K59" s="6"/>
      <c r="L59" s="6" t="str">
        <f t="shared" si="0"/>
        <v>michi</v>
      </c>
      <c r="M59" s="6" t="str">
        <f t="shared" si="1"/>
        <v>2001: A Space Odyssey (Duella, Lockwood)</v>
      </c>
      <c r="N59" s="9">
        <f t="shared" si="2"/>
        <v>3</v>
      </c>
      <c r="P59" t="str">
        <f t="shared" si="3"/>
        <v>"michi";"2001: A Space Odyssey";"3"</v>
      </c>
      <c r="U59" t="str">
        <f t="shared" si="4"/>
        <v>michi</v>
      </c>
      <c r="V59" t="str">
        <f t="shared" si="6"/>
        <v>2001: A Space Odyssey</v>
      </c>
      <c r="W59">
        <f t="shared" si="5"/>
        <v>1</v>
      </c>
      <c r="Z59" s="23" t="s">
        <v>152</v>
      </c>
      <c r="AA59" s="24">
        <v>1</v>
      </c>
      <c r="AB59" s="24">
        <v>1</v>
      </c>
      <c r="AC59" s="24">
        <v>0</v>
      </c>
      <c r="AD59" s="24">
        <v>1</v>
      </c>
      <c r="AE59" s="24">
        <v>0</v>
      </c>
      <c r="AF59" s="24">
        <v>1</v>
      </c>
      <c r="AG59" s="24">
        <v>1</v>
      </c>
      <c r="AH59" s="24">
        <v>1</v>
      </c>
      <c r="AI59" s="24">
        <v>1</v>
      </c>
      <c r="AJ59" s="24">
        <v>1</v>
      </c>
      <c r="AK59" s="24">
        <v>1</v>
      </c>
      <c r="AL59" s="24">
        <v>1</v>
      </c>
      <c r="AM59" s="24">
        <v>1</v>
      </c>
      <c r="AN59" s="24">
        <v>1</v>
      </c>
      <c r="AO59" s="24">
        <v>1</v>
      </c>
      <c r="AP59" s="24">
        <v>1</v>
      </c>
      <c r="AQ59" s="24">
        <v>1</v>
      </c>
      <c r="AR59" s="24">
        <v>1</v>
      </c>
      <c r="AS59" s="24">
        <v>1</v>
      </c>
      <c r="AT59" s="24">
        <v>1</v>
      </c>
      <c r="AU59" s="24">
        <v>0</v>
      </c>
      <c r="AV59" s="24">
        <v>1</v>
      </c>
      <c r="AW59" s="24">
        <v>19</v>
      </c>
    </row>
    <row r="60" spans="1:49" x14ac:dyDescent="0.2">
      <c r="A60" s="6" t="s">
        <v>9</v>
      </c>
      <c r="B60" s="6">
        <v>1971</v>
      </c>
      <c r="C60" s="6"/>
      <c r="D60" s="6" t="s">
        <v>65</v>
      </c>
      <c r="E60" s="6" t="s">
        <v>3</v>
      </c>
      <c r="F60" s="6">
        <v>0</v>
      </c>
      <c r="G60" s="6"/>
      <c r="H60" s="6">
        <v>0</v>
      </c>
      <c r="I60" s="6"/>
      <c r="J60" s="6"/>
      <c r="K60" s="6"/>
      <c r="L60" s="6" t="str">
        <f t="shared" si="0"/>
        <v>michi</v>
      </c>
      <c r="M60" s="6" t="str">
        <f t="shared" si="1"/>
        <v>A Clockwork Orange (McDowell, Magee)</v>
      </c>
      <c r="N60" s="9">
        <f t="shared" si="2"/>
        <v>0</v>
      </c>
      <c r="P60" t="str">
        <f t="shared" si="3"/>
        <v>"michi";"A Clockwork Orange";"0"</v>
      </c>
      <c r="U60" t="str">
        <f t="shared" si="4"/>
        <v>michi</v>
      </c>
      <c r="V60" t="str">
        <f t="shared" si="6"/>
        <v>A Clockwork Orange</v>
      </c>
      <c r="W60">
        <f t="shared" si="5"/>
        <v>0</v>
      </c>
      <c r="Z60" s="23" t="s">
        <v>93</v>
      </c>
      <c r="AA60" s="24">
        <v>12</v>
      </c>
      <c r="AB60" s="24">
        <v>33</v>
      </c>
      <c r="AC60" s="24">
        <v>9</v>
      </c>
      <c r="AD60" s="24">
        <v>42</v>
      </c>
      <c r="AE60" s="24">
        <v>18</v>
      </c>
      <c r="AF60" s="24">
        <v>19</v>
      </c>
      <c r="AG60" s="24">
        <v>24</v>
      </c>
      <c r="AH60" s="24">
        <v>35</v>
      </c>
      <c r="AI60" s="24">
        <v>19</v>
      </c>
      <c r="AJ60" s="24">
        <v>28</v>
      </c>
      <c r="AK60" s="24">
        <v>37</v>
      </c>
      <c r="AL60" s="24">
        <v>28</v>
      </c>
      <c r="AM60" s="24">
        <v>25</v>
      </c>
      <c r="AN60" s="24">
        <v>29</v>
      </c>
      <c r="AO60" s="24">
        <v>8</v>
      </c>
      <c r="AP60" s="24">
        <v>22</v>
      </c>
      <c r="AQ60" s="24">
        <v>47</v>
      </c>
      <c r="AR60" s="24">
        <v>16</v>
      </c>
      <c r="AS60" s="24">
        <v>32</v>
      </c>
      <c r="AT60" s="24">
        <v>25</v>
      </c>
      <c r="AU60" s="24">
        <v>9</v>
      </c>
      <c r="AV60" s="24">
        <v>40</v>
      </c>
      <c r="AW60" s="24">
        <v>557</v>
      </c>
    </row>
    <row r="61" spans="1:49" x14ac:dyDescent="0.2">
      <c r="A61" s="6" t="s">
        <v>10</v>
      </c>
      <c r="B61" s="6">
        <v>2018</v>
      </c>
      <c r="C61" s="6"/>
      <c r="D61" s="6" t="s">
        <v>65</v>
      </c>
      <c r="E61" s="6" t="s">
        <v>3</v>
      </c>
      <c r="F61" s="6">
        <v>0</v>
      </c>
      <c r="G61" s="6"/>
      <c r="H61" s="6">
        <v>0</v>
      </c>
      <c r="I61" s="6"/>
      <c r="J61" s="6"/>
      <c r="K61" s="6"/>
      <c r="L61" s="6" t="str">
        <f t="shared" si="0"/>
        <v>michi</v>
      </c>
      <c r="M61" s="6" t="str">
        <f t="shared" si="1"/>
        <v>A star is born (Gaga, Cooper)</v>
      </c>
      <c r="N61" s="9">
        <f t="shared" si="2"/>
        <v>0</v>
      </c>
      <c r="P61" t="str">
        <f t="shared" si="3"/>
        <v>"michi";"A star is born";"0"</v>
      </c>
      <c r="U61" t="str">
        <f t="shared" si="4"/>
        <v>michi</v>
      </c>
      <c r="V61" t="str">
        <f t="shared" si="6"/>
        <v>A star is born</v>
      </c>
      <c r="W61">
        <f t="shared" si="5"/>
        <v>0</v>
      </c>
    </row>
    <row r="62" spans="1:49" x14ac:dyDescent="0.2">
      <c r="A62" s="6" t="s">
        <v>11</v>
      </c>
      <c r="B62" s="6">
        <v>2005</v>
      </c>
      <c r="C62" s="6"/>
      <c r="D62" s="6" t="s">
        <v>65</v>
      </c>
      <c r="E62" s="6" t="s">
        <v>2</v>
      </c>
      <c r="F62" s="6">
        <v>1</v>
      </c>
      <c r="G62" s="6">
        <v>2</v>
      </c>
      <c r="H62" s="6">
        <v>2</v>
      </c>
      <c r="I62" s="6"/>
      <c r="J62" s="6"/>
      <c r="K62" s="6"/>
      <c r="L62" s="6" t="str">
        <f t="shared" si="0"/>
        <v>michi</v>
      </c>
      <c r="M62" s="6" t="str">
        <f t="shared" si="1"/>
        <v>Aeon Flux (Theron, Csokas)</v>
      </c>
      <c r="N62" s="9">
        <f t="shared" si="2"/>
        <v>2</v>
      </c>
      <c r="P62" t="str">
        <f t="shared" si="3"/>
        <v>"michi";"Aeon Flux";"2"</v>
      </c>
      <c r="U62" t="str">
        <f t="shared" si="4"/>
        <v>michi</v>
      </c>
      <c r="V62" t="str">
        <f t="shared" si="6"/>
        <v>Aeon Flux</v>
      </c>
      <c r="W62">
        <f t="shared" si="5"/>
        <v>1</v>
      </c>
    </row>
    <row r="63" spans="1:49" x14ac:dyDescent="0.2">
      <c r="A63" s="6" t="s">
        <v>12</v>
      </c>
      <c r="B63" s="6">
        <v>1951</v>
      </c>
      <c r="C63" s="6"/>
      <c r="D63" s="6" t="s">
        <v>65</v>
      </c>
      <c r="E63" s="6" t="s">
        <v>2</v>
      </c>
      <c r="F63" s="6">
        <v>1</v>
      </c>
      <c r="G63" s="6">
        <v>5</v>
      </c>
      <c r="H63" s="6">
        <v>5</v>
      </c>
      <c r="I63" s="6"/>
      <c r="J63" s="6"/>
      <c r="K63" s="6"/>
      <c r="L63" s="6" t="str">
        <f t="shared" si="0"/>
        <v>michi</v>
      </c>
      <c r="M63" s="6" t="str">
        <f t="shared" si="1"/>
        <v>African Queen (Bogart, Hepburn)</v>
      </c>
      <c r="N63" s="9">
        <f t="shared" si="2"/>
        <v>5</v>
      </c>
      <c r="P63" t="str">
        <f t="shared" si="3"/>
        <v>"michi";"African Queen";"5"</v>
      </c>
      <c r="U63" t="str">
        <f t="shared" si="4"/>
        <v>michi</v>
      </c>
      <c r="V63" t="str">
        <f t="shared" si="6"/>
        <v>African Queen</v>
      </c>
      <c r="W63">
        <f t="shared" si="5"/>
        <v>1</v>
      </c>
    </row>
    <row r="64" spans="1:49" x14ac:dyDescent="0.2">
      <c r="A64" s="6" t="s">
        <v>13</v>
      </c>
      <c r="B64" s="6">
        <v>1979</v>
      </c>
      <c r="C64" s="6"/>
      <c r="D64" s="6" t="s">
        <v>65</v>
      </c>
      <c r="E64" s="6" t="s">
        <v>2</v>
      </c>
      <c r="F64" s="6">
        <v>1</v>
      </c>
      <c r="G64" s="6">
        <v>2</v>
      </c>
      <c r="H64" s="6">
        <v>2</v>
      </c>
      <c r="I64" s="6"/>
      <c r="J64" s="6"/>
      <c r="K64" s="6"/>
      <c r="L64" s="6" t="str">
        <f t="shared" si="0"/>
        <v>michi</v>
      </c>
      <c r="M64" s="6" t="str">
        <f t="shared" si="1"/>
        <v>Alien (Weaver, Skerritt)</v>
      </c>
      <c r="N64" s="9">
        <f t="shared" si="2"/>
        <v>2</v>
      </c>
      <c r="P64" t="str">
        <f t="shared" si="3"/>
        <v>"michi";"Alien";"2"</v>
      </c>
      <c r="U64" t="str">
        <f t="shared" si="4"/>
        <v>michi</v>
      </c>
      <c r="V64" t="str">
        <f t="shared" si="6"/>
        <v>Alien</v>
      </c>
      <c r="W64">
        <f t="shared" si="5"/>
        <v>1</v>
      </c>
    </row>
    <row r="65" spans="1:23" x14ac:dyDescent="0.2">
      <c r="A65" s="6" t="s">
        <v>14</v>
      </c>
      <c r="B65" s="6">
        <v>1960</v>
      </c>
      <c r="C65" s="6"/>
      <c r="D65" s="6" t="s">
        <v>65</v>
      </c>
      <c r="E65" s="6" t="s">
        <v>2</v>
      </c>
      <c r="F65" s="6">
        <v>1</v>
      </c>
      <c r="G65" s="6">
        <v>4</v>
      </c>
      <c r="H65" s="6">
        <v>4</v>
      </c>
      <c r="I65" s="6"/>
      <c r="J65" s="6"/>
      <c r="K65" s="6"/>
      <c r="L65" s="6" t="str">
        <f t="shared" si="0"/>
        <v>michi</v>
      </c>
      <c r="M65" s="6" t="str">
        <f t="shared" si="1"/>
        <v>Apartment (Lemmon, MacLaine)</v>
      </c>
      <c r="N65" s="9">
        <f t="shared" si="2"/>
        <v>4</v>
      </c>
      <c r="P65" t="str">
        <f t="shared" si="3"/>
        <v>"michi";"Apartment";"4"</v>
      </c>
      <c r="U65" t="str">
        <f t="shared" si="4"/>
        <v>michi</v>
      </c>
      <c r="V65" t="str">
        <f t="shared" si="6"/>
        <v>Apartment</v>
      </c>
      <c r="W65">
        <f t="shared" si="5"/>
        <v>1</v>
      </c>
    </row>
    <row r="66" spans="1:23" x14ac:dyDescent="0.2">
      <c r="A66" s="6" t="s">
        <v>15</v>
      </c>
      <c r="B66" s="6">
        <v>1979</v>
      </c>
      <c r="C66" s="6"/>
      <c r="D66" s="6" t="s">
        <v>65</v>
      </c>
      <c r="E66" s="6" t="s">
        <v>2</v>
      </c>
      <c r="F66" s="6">
        <v>1</v>
      </c>
      <c r="G66" s="6">
        <v>3</v>
      </c>
      <c r="H66" s="6">
        <v>3</v>
      </c>
      <c r="I66" s="6"/>
      <c r="J66" s="6"/>
      <c r="K66" s="6"/>
      <c r="L66" s="6" t="str">
        <f t="shared" si="0"/>
        <v>michi</v>
      </c>
      <c r="M66" s="6" t="str">
        <f t="shared" si="1"/>
        <v>Apocalypse Now (Sheen, Brando)</v>
      </c>
      <c r="N66" s="9">
        <f t="shared" si="2"/>
        <v>3</v>
      </c>
      <c r="P66" t="str">
        <f t="shared" si="3"/>
        <v>"michi";"Apocalypse Now";"3"</v>
      </c>
      <c r="U66" t="str">
        <f t="shared" si="4"/>
        <v>michi</v>
      </c>
      <c r="V66" t="str">
        <f t="shared" si="6"/>
        <v>Apocalypse Now</v>
      </c>
      <c r="W66">
        <f t="shared" si="5"/>
        <v>1</v>
      </c>
    </row>
    <row r="67" spans="1:23" x14ac:dyDescent="0.2">
      <c r="A67" s="6" t="s">
        <v>16</v>
      </c>
      <c r="B67" s="6">
        <v>1956</v>
      </c>
      <c r="C67" s="6"/>
      <c r="D67" s="6" t="s">
        <v>65</v>
      </c>
      <c r="E67" s="6" t="s">
        <v>2</v>
      </c>
      <c r="F67" s="6">
        <v>1</v>
      </c>
      <c r="G67" s="6">
        <v>3</v>
      </c>
      <c r="H67" s="6">
        <v>3</v>
      </c>
      <c r="I67" s="6"/>
      <c r="J67" s="6"/>
      <c r="K67" s="6"/>
      <c r="L67" s="6" t="str">
        <f t="shared" ref="L67:L130" si="7">D67</f>
        <v>michi</v>
      </c>
      <c r="M67" s="6" t="str">
        <f t="shared" ref="M67:M130" si="8">A67</f>
        <v>Around The World In 80 Days (Niven, Cantinflas)</v>
      </c>
      <c r="N67" s="9">
        <f t="shared" ref="N67:N130" si="9">H67</f>
        <v>3</v>
      </c>
      <c r="P67" t="str">
        <f t="shared" ref="P67:P130" si="10">""""&amp;L67&amp;""";"""&amp;LEFT(M67,FIND("(",M67)-2)&amp;""";"""&amp;SUBSTITUTE(N67,",",".")&amp;""""</f>
        <v>"michi";"Around The World In 80 Days";"3"</v>
      </c>
      <c r="U67" t="str">
        <f t="shared" ref="U67:U130" si="11">D67</f>
        <v>michi</v>
      </c>
      <c r="V67" t="str">
        <f t="shared" ref="V67:V130" si="12">LEFT(A67,FIND("(",A67)-2)</f>
        <v>Around The World In 80 Days</v>
      </c>
      <c r="W67">
        <f t="shared" ref="W67:W130" si="13">F67</f>
        <v>1</v>
      </c>
    </row>
    <row r="68" spans="1:23" x14ac:dyDescent="0.2">
      <c r="A68" s="6" t="s">
        <v>17</v>
      </c>
      <c r="B68" s="6">
        <v>2009</v>
      </c>
      <c r="C68" s="6"/>
      <c r="D68" s="6" t="s">
        <v>65</v>
      </c>
      <c r="E68" s="6" t="s">
        <v>2</v>
      </c>
      <c r="F68" s="6">
        <v>1</v>
      </c>
      <c r="G68" s="6">
        <v>5</v>
      </c>
      <c r="H68" s="6">
        <v>5</v>
      </c>
      <c r="I68" s="6"/>
      <c r="J68" s="6"/>
      <c r="K68" s="6"/>
      <c r="L68" s="6" t="str">
        <f t="shared" si="7"/>
        <v>michi</v>
      </c>
      <c r="M68" s="6" t="str">
        <f t="shared" si="8"/>
        <v>Avatar (Worthington, Saldana)</v>
      </c>
      <c r="N68" s="9">
        <f t="shared" si="9"/>
        <v>5</v>
      </c>
      <c r="P68" t="str">
        <f t="shared" si="10"/>
        <v>"michi";"Avatar";"5"</v>
      </c>
      <c r="U68" t="str">
        <f t="shared" si="11"/>
        <v>michi</v>
      </c>
      <c r="V68" t="str">
        <f t="shared" si="12"/>
        <v>Avatar</v>
      </c>
      <c r="W68">
        <f t="shared" si="13"/>
        <v>1</v>
      </c>
    </row>
    <row r="69" spans="1:23" x14ac:dyDescent="0.2">
      <c r="A69" s="6" t="s">
        <v>18</v>
      </c>
      <c r="B69" s="6">
        <v>1989</v>
      </c>
      <c r="C69" s="6"/>
      <c r="D69" s="6" t="s">
        <v>65</v>
      </c>
      <c r="E69" s="6" t="s">
        <v>2</v>
      </c>
      <c r="F69" s="6">
        <v>1</v>
      </c>
      <c r="G69" s="6">
        <v>2</v>
      </c>
      <c r="H69" s="6">
        <v>2</v>
      </c>
      <c r="I69" s="6"/>
      <c r="J69" s="6"/>
      <c r="K69" s="6"/>
      <c r="L69" s="6" t="str">
        <f t="shared" si="7"/>
        <v>michi</v>
      </c>
      <c r="M69" s="6" t="str">
        <f t="shared" si="8"/>
        <v>Batman (Keaton, Nicholson, Basinger)</v>
      </c>
      <c r="N69" s="9">
        <f t="shared" si="9"/>
        <v>2</v>
      </c>
      <c r="P69" t="str">
        <f t="shared" si="10"/>
        <v>"michi";"Batman";"2"</v>
      </c>
      <c r="U69" t="str">
        <f t="shared" si="11"/>
        <v>michi</v>
      </c>
      <c r="V69" t="str">
        <f t="shared" si="12"/>
        <v>Batman</v>
      </c>
      <c r="W69">
        <f t="shared" si="13"/>
        <v>1</v>
      </c>
    </row>
    <row r="70" spans="1:23" x14ac:dyDescent="0.2">
      <c r="A70" s="6" t="s">
        <v>19</v>
      </c>
      <c r="B70" s="6">
        <v>1982</v>
      </c>
      <c r="C70" s="6"/>
      <c r="D70" s="6" t="s">
        <v>65</v>
      </c>
      <c r="E70" s="6" t="s">
        <v>2</v>
      </c>
      <c r="F70" s="6">
        <v>1</v>
      </c>
      <c r="G70" s="6">
        <v>3</v>
      </c>
      <c r="H70" s="6">
        <v>3</v>
      </c>
      <c r="I70" s="6"/>
      <c r="J70" s="6"/>
      <c r="K70" s="6"/>
      <c r="L70" s="6" t="str">
        <f t="shared" si="7"/>
        <v>michi</v>
      </c>
      <c r="M70" s="6" t="str">
        <f t="shared" si="8"/>
        <v>Blade Runner (Ford, Hauer)</v>
      </c>
      <c r="N70" s="9">
        <f t="shared" si="9"/>
        <v>3</v>
      </c>
      <c r="P70" t="str">
        <f t="shared" si="10"/>
        <v>"michi";"Blade Runner";"3"</v>
      </c>
      <c r="U70" t="str">
        <f t="shared" si="11"/>
        <v>michi</v>
      </c>
      <c r="V70" t="str">
        <f t="shared" si="12"/>
        <v>Blade Runner</v>
      </c>
      <c r="W70">
        <f t="shared" si="13"/>
        <v>1</v>
      </c>
    </row>
    <row r="71" spans="1:23" x14ac:dyDescent="0.2">
      <c r="A71" s="6" t="s">
        <v>20</v>
      </c>
      <c r="B71" s="6">
        <v>2018</v>
      </c>
      <c r="C71" s="6"/>
      <c r="D71" s="6" t="s">
        <v>65</v>
      </c>
      <c r="E71" s="6" t="s">
        <v>3</v>
      </c>
      <c r="F71" s="6">
        <v>0</v>
      </c>
      <c r="G71" s="6"/>
      <c r="H71" s="6">
        <v>0</v>
      </c>
      <c r="I71" s="6"/>
      <c r="J71" s="6"/>
      <c r="K71" s="6"/>
      <c r="L71" s="6" t="str">
        <f t="shared" si="7"/>
        <v>michi</v>
      </c>
      <c r="M71" s="6" t="str">
        <f t="shared" si="8"/>
        <v>Bohemian Rhapsody (Malek, Boynton)</v>
      </c>
      <c r="N71" s="9">
        <f t="shared" si="9"/>
        <v>0</v>
      </c>
      <c r="P71" t="str">
        <f t="shared" si="10"/>
        <v>"michi";"Bohemian Rhapsody";"0"</v>
      </c>
      <c r="U71" t="str">
        <f t="shared" si="11"/>
        <v>michi</v>
      </c>
      <c r="V71" t="str">
        <f t="shared" si="12"/>
        <v>Bohemian Rhapsody</v>
      </c>
      <c r="W71">
        <f t="shared" si="13"/>
        <v>0</v>
      </c>
    </row>
    <row r="72" spans="1:23" x14ac:dyDescent="0.2">
      <c r="A72" s="6" t="s">
        <v>21</v>
      </c>
      <c r="B72" s="6">
        <v>2011</v>
      </c>
      <c r="C72" s="6"/>
      <c r="D72" s="6" t="s">
        <v>65</v>
      </c>
      <c r="E72" s="6" t="s">
        <v>2</v>
      </c>
      <c r="F72" s="6">
        <v>1</v>
      </c>
      <c r="G72" s="6">
        <v>2</v>
      </c>
      <c r="H72" s="6">
        <v>2</v>
      </c>
      <c r="I72" s="6"/>
      <c r="J72" s="6"/>
      <c r="K72" s="6"/>
      <c r="L72" s="6" t="str">
        <f t="shared" si="7"/>
        <v>michi</v>
      </c>
      <c r="M72" s="6" t="str">
        <f t="shared" si="8"/>
        <v>Captain America (Evans, Waeving)</v>
      </c>
      <c r="N72" s="9">
        <f t="shared" si="9"/>
        <v>2</v>
      </c>
      <c r="P72" t="str">
        <f t="shared" si="10"/>
        <v>"michi";"Captain America";"2"</v>
      </c>
      <c r="U72" t="str">
        <f t="shared" si="11"/>
        <v>michi</v>
      </c>
      <c r="V72" t="str">
        <f t="shared" si="12"/>
        <v>Captain America</v>
      </c>
      <c r="W72">
        <f t="shared" si="13"/>
        <v>1</v>
      </c>
    </row>
    <row r="73" spans="1:23" x14ac:dyDescent="0.2">
      <c r="A73" s="6" t="s">
        <v>22</v>
      </c>
      <c r="B73" s="6">
        <v>2000</v>
      </c>
      <c r="C73" s="6"/>
      <c r="D73" s="6" t="s">
        <v>65</v>
      </c>
      <c r="E73" s="6" t="s">
        <v>2</v>
      </c>
      <c r="F73" s="6">
        <v>1</v>
      </c>
      <c r="G73" s="6">
        <v>4</v>
      </c>
      <c r="H73" s="6">
        <v>4</v>
      </c>
      <c r="I73" s="6"/>
      <c r="J73" s="6"/>
      <c r="K73" s="6"/>
      <c r="L73" s="6" t="str">
        <f t="shared" si="7"/>
        <v>michi</v>
      </c>
      <c r="M73" s="6" t="str">
        <f t="shared" si="8"/>
        <v>Cast Away (Hanks, Hunt)</v>
      </c>
      <c r="N73" s="9">
        <f t="shared" si="9"/>
        <v>4</v>
      </c>
      <c r="P73" t="str">
        <f t="shared" si="10"/>
        <v>"michi";"Cast Away";"4"</v>
      </c>
      <c r="U73" t="str">
        <f t="shared" si="11"/>
        <v>michi</v>
      </c>
      <c r="V73" t="str">
        <f t="shared" si="12"/>
        <v>Cast Away</v>
      </c>
      <c r="W73">
        <f t="shared" si="13"/>
        <v>1</v>
      </c>
    </row>
    <row r="74" spans="1:23" x14ac:dyDescent="0.2">
      <c r="A74" s="6" t="s">
        <v>23</v>
      </c>
      <c r="B74" s="6">
        <v>1958</v>
      </c>
      <c r="C74" s="6"/>
      <c r="D74" s="6" t="s">
        <v>65</v>
      </c>
      <c r="E74" s="6" t="s">
        <v>3</v>
      </c>
      <c r="F74" s="6">
        <v>0</v>
      </c>
      <c r="G74" s="6"/>
      <c r="H74" s="6">
        <v>0</v>
      </c>
      <c r="I74" s="6"/>
      <c r="J74" s="6"/>
      <c r="K74" s="6"/>
      <c r="L74" s="6" t="str">
        <f t="shared" si="7"/>
        <v>michi</v>
      </c>
      <c r="M74" s="6" t="str">
        <f t="shared" si="8"/>
        <v>Cat On Hot Tin Roof (Taylor, Newman)</v>
      </c>
      <c r="N74" s="9">
        <f t="shared" si="9"/>
        <v>0</v>
      </c>
      <c r="P74" t="str">
        <f t="shared" si="10"/>
        <v>"michi";"Cat On Hot Tin Roof";"0"</v>
      </c>
      <c r="U74" t="str">
        <f t="shared" si="11"/>
        <v>michi</v>
      </c>
      <c r="V74" t="str">
        <f t="shared" si="12"/>
        <v>Cat On Hot Tin Roof</v>
      </c>
      <c r="W74">
        <f t="shared" si="13"/>
        <v>0</v>
      </c>
    </row>
    <row r="75" spans="1:23" x14ac:dyDescent="0.2">
      <c r="A75" s="6" t="s">
        <v>24</v>
      </c>
      <c r="B75" s="6">
        <v>1963</v>
      </c>
      <c r="C75" s="6"/>
      <c r="D75" s="6" t="s">
        <v>65</v>
      </c>
      <c r="E75" s="6" t="s">
        <v>2</v>
      </c>
      <c r="F75" s="6">
        <v>1</v>
      </c>
      <c r="G75" s="6">
        <v>3</v>
      </c>
      <c r="H75" s="6">
        <v>3</v>
      </c>
      <c r="I75" s="6"/>
      <c r="J75" s="6"/>
      <c r="K75" s="6"/>
      <c r="L75" s="6" t="str">
        <f t="shared" si="7"/>
        <v>michi</v>
      </c>
      <c r="M75" s="6" t="str">
        <f t="shared" si="8"/>
        <v>Charade (Grant, Hepburn)</v>
      </c>
      <c r="N75" s="9">
        <f t="shared" si="9"/>
        <v>3</v>
      </c>
      <c r="P75" t="str">
        <f t="shared" si="10"/>
        <v>"michi";"Charade";"3"</v>
      </c>
      <c r="U75" t="str">
        <f t="shared" si="11"/>
        <v>michi</v>
      </c>
      <c r="V75" t="str">
        <f t="shared" si="12"/>
        <v>Charade</v>
      </c>
      <c r="W75">
        <f t="shared" si="13"/>
        <v>1</v>
      </c>
    </row>
    <row r="76" spans="1:23" x14ac:dyDescent="0.2">
      <c r="A76" s="6" t="s">
        <v>25</v>
      </c>
      <c r="B76" s="6">
        <v>2000</v>
      </c>
      <c r="C76" s="6"/>
      <c r="D76" s="6" t="s">
        <v>65</v>
      </c>
      <c r="E76" s="6" t="s">
        <v>2</v>
      </c>
      <c r="F76" s="6">
        <v>1</v>
      </c>
      <c r="G76" s="6">
        <v>3</v>
      </c>
      <c r="H76" s="6">
        <v>3</v>
      </c>
      <c r="I76" s="6"/>
      <c r="J76" s="6"/>
      <c r="K76" s="6"/>
      <c r="L76" s="6" t="str">
        <f t="shared" si="7"/>
        <v>michi</v>
      </c>
      <c r="M76" s="6" t="str">
        <f t="shared" si="8"/>
        <v>Charlies Angels (Diaz, Barrymore, Liu)</v>
      </c>
      <c r="N76" s="9">
        <f t="shared" si="9"/>
        <v>3</v>
      </c>
      <c r="P76" t="str">
        <f t="shared" si="10"/>
        <v>"michi";"Charlies Angels";"3"</v>
      </c>
      <c r="U76" t="str">
        <f t="shared" si="11"/>
        <v>michi</v>
      </c>
      <c r="V76" t="str">
        <f t="shared" si="12"/>
        <v>Charlies Angels</v>
      </c>
      <c r="W76">
        <f t="shared" si="13"/>
        <v>1</v>
      </c>
    </row>
    <row r="77" spans="1:23" x14ac:dyDescent="0.2">
      <c r="A77" s="6" t="s">
        <v>26</v>
      </c>
      <c r="B77" s="6">
        <v>1974</v>
      </c>
      <c r="C77" s="6"/>
      <c r="D77" s="6" t="s">
        <v>65</v>
      </c>
      <c r="E77" s="6" t="s">
        <v>2</v>
      </c>
      <c r="F77" s="6">
        <v>1</v>
      </c>
      <c r="G77" s="6">
        <v>5</v>
      </c>
      <c r="H77" s="6">
        <v>5</v>
      </c>
      <c r="I77" s="6"/>
      <c r="J77" s="6"/>
      <c r="K77" s="6"/>
      <c r="L77" s="6" t="str">
        <f t="shared" si="7"/>
        <v>michi</v>
      </c>
      <c r="M77" s="6" t="str">
        <f t="shared" si="8"/>
        <v>Chinatown (Nicholson, Dunaway)</v>
      </c>
      <c r="N77" s="9">
        <f t="shared" si="9"/>
        <v>5</v>
      </c>
      <c r="P77" t="str">
        <f t="shared" si="10"/>
        <v>"michi";"Chinatown";"5"</v>
      </c>
      <c r="U77" t="str">
        <f t="shared" si="11"/>
        <v>michi</v>
      </c>
      <c r="V77" t="str">
        <f t="shared" si="12"/>
        <v>Chinatown</v>
      </c>
      <c r="W77">
        <f t="shared" si="13"/>
        <v>1</v>
      </c>
    </row>
    <row r="78" spans="1:23" x14ac:dyDescent="0.2">
      <c r="A78" s="6" t="s">
        <v>27</v>
      </c>
      <c r="B78" s="6">
        <v>1986</v>
      </c>
      <c r="C78" s="6"/>
      <c r="D78" s="6" t="s">
        <v>65</v>
      </c>
      <c r="E78" s="6" t="s">
        <v>2</v>
      </c>
      <c r="F78" s="6">
        <v>1</v>
      </c>
      <c r="G78" s="6">
        <v>5</v>
      </c>
      <c r="H78" s="6">
        <v>5</v>
      </c>
      <c r="I78" s="6"/>
      <c r="J78" s="6"/>
      <c r="K78" s="6"/>
      <c r="L78" s="6" t="str">
        <f t="shared" si="7"/>
        <v>michi</v>
      </c>
      <c r="M78" s="6" t="str">
        <f t="shared" si="8"/>
        <v>Clockwise (Gleese, Leatherbarrow)</v>
      </c>
      <c r="N78" s="9">
        <f t="shared" si="9"/>
        <v>5</v>
      </c>
      <c r="P78" t="str">
        <f t="shared" si="10"/>
        <v>"michi";"Clockwise";"5"</v>
      </c>
      <c r="U78" t="str">
        <f t="shared" si="11"/>
        <v>michi</v>
      </c>
      <c r="V78" t="str">
        <f t="shared" si="12"/>
        <v>Clockwise</v>
      </c>
      <c r="W78">
        <f t="shared" si="13"/>
        <v>1</v>
      </c>
    </row>
    <row r="79" spans="1:23" x14ac:dyDescent="0.2">
      <c r="A79" s="6" t="s">
        <v>28</v>
      </c>
      <c r="B79" s="6">
        <v>2011</v>
      </c>
      <c r="C79" s="6"/>
      <c r="D79" s="6" t="s">
        <v>65</v>
      </c>
      <c r="E79" s="6" t="s">
        <v>2</v>
      </c>
      <c r="F79" s="6">
        <v>1</v>
      </c>
      <c r="G79" s="6">
        <v>3</v>
      </c>
      <c r="H79" s="6">
        <v>3</v>
      </c>
      <c r="I79" s="6"/>
      <c r="J79" s="6"/>
      <c r="K79" s="6"/>
      <c r="L79" s="6" t="str">
        <f t="shared" si="7"/>
        <v>michi</v>
      </c>
      <c r="M79" s="6" t="str">
        <f t="shared" si="8"/>
        <v>Colombiana (Saldana, Molla)</v>
      </c>
      <c r="N79" s="9">
        <f t="shared" si="9"/>
        <v>3</v>
      </c>
      <c r="P79" t="str">
        <f t="shared" si="10"/>
        <v>"michi";"Colombiana";"3"</v>
      </c>
      <c r="U79" t="str">
        <f t="shared" si="11"/>
        <v>michi</v>
      </c>
      <c r="V79" t="str">
        <f t="shared" si="12"/>
        <v>Colombiana</v>
      </c>
      <c r="W79">
        <f t="shared" si="13"/>
        <v>1</v>
      </c>
    </row>
    <row r="80" spans="1:23" x14ac:dyDescent="0.2">
      <c r="A80" s="6" t="s">
        <v>29</v>
      </c>
      <c r="B80" s="6">
        <v>1962</v>
      </c>
      <c r="C80" s="6"/>
      <c r="D80" s="6" t="s">
        <v>65</v>
      </c>
      <c r="E80" s="6" t="s">
        <v>2</v>
      </c>
      <c r="F80" s="6">
        <v>1</v>
      </c>
      <c r="G80" s="6">
        <v>3</v>
      </c>
      <c r="H80" s="6">
        <v>3</v>
      </c>
      <c r="I80" s="6"/>
      <c r="J80" s="6"/>
      <c r="K80" s="6"/>
      <c r="L80" s="6" t="str">
        <f t="shared" si="7"/>
        <v>michi</v>
      </c>
      <c r="M80" s="6" t="str">
        <f t="shared" si="8"/>
        <v>Doctor No (Connery, Andress)</v>
      </c>
      <c r="N80" s="9">
        <f t="shared" si="9"/>
        <v>3</v>
      </c>
      <c r="P80" t="str">
        <f t="shared" si="10"/>
        <v>"michi";"Doctor No";"3"</v>
      </c>
      <c r="U80" t="str">
        <f t="shared" si="11"/>
        <v>michi</v>
      </c>
      <c r="V80" t="str">
        <f t="shared" si="12"/>
        <v>Doctor No</v>
      </c>
      <c r="W80">
        <f t="shared" si="13"/>
        <v>1</v>
      </c>
    </row>
    <row r="81" spans="1:23" x14ac:dyDescent="0.2">
      <c r="A81" s="6" t="s">
        <v>30</v>
      </c>
      <c r="B81" s="6">
        <v>1965</v>
      </c>
      <c r="C81" s="6"/>
      <c r="D81" s="6" t="s">
        <v>65</v>
      </c>
      <c r="E81" s="6" t="s">
        <v>2</v>
      </c>
      <c r="F81" s="6">
        <v>1</v>
      </c>
      <c r="G81" s="6">
        <v>5</v>
      </c>
      <c r="H81" s="6">
        <v>5</v>
      </c>
      <c r="I81" s="6"/>
      <c r="J81" s="6"/>
      <c r="K81" s="6"/>
      <c r="L81" s="6" t="str">
        <f t="shared" si="7"/>
        <v>michi</v>
      </c>
      <c r="M81" s="6" t="str">
        <f t="shared" si="8"/>
        <v>Doctor Zhiwago (Sharif, Christie)</v>
      </c>
      <c r="N81" s="9">
        <f t="shared" si="9"/>
        <v>5</v>
      </c>
      <c r="P81" t="str">
        <f t="shared" si="10"/>
        <v>"michi";"Doctor Zhiwago";"5"</v>
      </c>
      <c r="U81" t="str">
        <f t="shared" si="11"/>
        <v>michi</v>
      </c>
      <c r="V81" t="str">
        <f t="shared" si="12"/>
        <v>Doctor Zhiwago</v>
      </c>
      <c r="W81">
        <f t="shared" si="13"/>
        <v>1</v>
      </c>
    </row>
    <row r="82" spans="1:23" x14ac:dyDescent="0.2">
      <c r="A82" s="6" t="s">
        <v>31</v>
      </c>
      <c r="B82" s="6">
        <v>1964</v>
      </c>
      <c r="C82" s="6"/>
      <c r="D82" s="6" t="s">
        <v>65</v>
      </c>
      <c r="E82" s="6" t="s">
        <v>3</v>
      </c>
      <c r="F82" s="6">
        <v>0</v>
      </c>
      <c r="G82" s="6"/>
      <c r="H82" s="6">
        <v>0</v>
      </c>
      <c r="I82" s="6"/>
      <c r="J82" s="6"/>
      <c r="K82" s="6"/>
      <c r="L82" s="6" t="str">
        <f t="shared" si="7"/>
        <v>michi</v>
      </c>
      <c r="M82" s="6" t="str">
        <f t="shared" si="8"/>
        <v>Dr. Strangelove… (Sellers, Scott)</v>
      </c>
      <c r="N82" s="9">
        <f t="shared" si="9"/>
        <v>0</v>
      </c>
      <c r="P82" t="str">
        <f t="shared" si="10"/>
        <v>"michi";"Dr. Strangelove…";"0"</v>
      </c>
      <c r="U82" t="str">
        <f t="shared" si="11"/>
        <v>michi</v>
      </c>
      <c r="V82" t="str">
        <f t="shared" si="12"/>
        <v>Dr. Strangelove…</v>
      </c>
      <c r="W82">
        <f t="shared" si="13"/>
        <v>0</v>
      </c>
    </row>
    <row r="83" spans="1:23" x14ac:dyDescent="0.2">
      <c r="A83" s="6" t="s">
        <v>32</v>
      </c>
      <c r="B83" s="6">
        <v>2000</v>
      </c>
      <c r="C83" s="6"/>
      <c r="D83" s="6" t="s">
        <v>65</v>
      </c>
      <c r="E83" s="6" t="s">
        <v>2</v>
      </c>
      <c r="F83" s="6">
        <v>1</v>
      </c>
      <c r="G83" s="6">
        <v>5</v>
      </c>
      <c r="H83" s="6">
        <v>5</v>
      </c>
      <c r="I83" s="6"/>
      <c r="J83" s="6"/>
      <c r="K83" s="6"/>
      <c r="L83" s="6" t="str">
        <f t="shared" si="7"/>
        <v>michi</v>
      </c>
      <c r="M83" s="6" t="str">
        <f t="shared" si="8"/>
        <v>Dr. T and the women (Gere, Hunt)</v>
      </c>
      <c r="N83" s="9">
        <f t="shared" si="9"/>
        <v>5</v>
      </c>
      <c r="P83" t="str">
        <f t="shared" si="10"/>
        <v>"michi";"Dr. T and the women";"5"</v>
      </c>
      <c r="U83" t="str">
        <f t="shared" si="11"/>
        <v>michi</v>
      </c>
      <c r="V83" t="str">
        <f t="shared" si="12"/>
        <v>Dr. T and the women</v>
      </c>
      <c r="W83">
        <f t="shared" si="13"/>
        <v>1</v>
      </c>
    </row>
    <row r="84" spans="1:23" x14ac:dyDescent="0.2">
      <c r="A84" s="6" t="s">
        <v>33</v>
      </c>
      <c r="B84" s="6">
        <v>1953</v>
      </c>
      <c r="C84" s="6"/>
      <c r="D84" s="6" t="s">
        <v>65</v>
      </c>
      <c r="E84" s="6" t="s">
        <v>3</v>
      </c>
      <c r="F84" s="6">
        <v>0</v>
      </c>
      <c r="G84" s="6"/>
      <c r="H84" s="6">
        <v>0</v>
      </c>
      <c r="I84" s="6"/>
      <c r="J84" s="6"/>
      <c r="K84" s="6"/>
      <c r="L84" s="6" t="str">
        <f t="shared" si="7"/>
        <v>michi</v>
      </c>
      <c r="M84" s="6" t="str">
        <f t="shared" si="8"/>
        <v>Gentlemen Prefer Blondes (Monroe, Russell)</v>
      </c>
      <c r="N84" s="9">
        <f t="shared" si="9"/>
        <v>0</v>
      </c>
      <c r="P84" t="str">
        <f t="shared" si="10"/>
        <v>"michi";"Gentlemen Prefer Blondes";"0"</v>
      </c>
      <c r="U84" t="str">
        <f t="shared" si="11"/>
        <v>michi</v>
      </c>
      <c r="V84" t="str">
        <f t="shared" si="12"/>
        <v>Gentlemen Prefer Blondes</v>
      </c>
      <c r="W84">
        <f t="shared" si="13"/>
        <v>0</v>
      </c>
    </row>
    <row r="85" spans="1:23" x14ac:dyDescent="0.2">
      <c r="A85" s="6" t="s">
        <v>34</v>
      </c>
      <c r="B85" s="6">
        <v>2014</v>
      </c>
      <c r="C85" s="6"/>
      <c r="D85" s="6" t="s">
        <v>65</v>
      </c>
      <c r="E85" s="6" t="s">
        <v>3</v>
      </c>
      <c r="F85" s="6">
        <v>0</v>
      </c>
      <c r="G85" s="6"/>
      <c r="H85" s="6">
        <v>0</v>
      </c>
      <c r="I85" s="6"/>
      <c r="J85" s="6"/>
      <c r="K85" s="6"/>
      <c r="L85" s="6" t="str">
        <f t="shared" si="7"/>
        <v>michi</v>
      </c>
      <c r="M85" s="6" t="str">
        <f t="shared" si="8"/>
        <v>Grand Budapest Hotel (Fiennes, Abraham)</v>
      </c>
      <c r="N85" s="9">
        <f t="shared" si="9"/>
        <v>0</v>
      </c>
      <c r="P85" t="str">
        <f t="shared" si="10"/>
        <v>"michi";"Grand Budapest Hotel";"0"</v>
      </c>
      <c r="U85" t="str">
        <f t="shared" si="11"/>
        <v>michi</v>
      </c>
      <c r="V85" t="str">
        <f t="shared" si="12"/>
        <v>Grand Budapest Hotel</v>
      </c>
      <c r="W85">
        <f t="shared" si="13"/>
        <v>0</v>
      </c>
    </row>
    <row r="86" spans="1:23" x14ac:dyDescent="0.2">
      <c r="A86" s="6" t="s">
        <v>35</v>
      </c>
      <c r="B86" s="6">
        <v>2001</v>
      </c>
      <c r="C86" s="6"/>
      <c r="D86" s="6" t="s">
        <v>65</v>
      </c>
      <c r="E86" s="6" t="s">
        <v>2</v>
      </c>
      <c r="F86" s="6">
        <v>1</v>
      </c>
      <c r="G86" s="6">
        <v>5</v>
      </c>
      <c r="H86" s="6">
        <v>5</v>
      </c>
      <c r="I86" s="6"/>
      <c r="J86" s="6"/>
      <c r="K86" s="6"/>
      <c r="L86" s="6" t="str">
        <f t="shared" si="7"/>
        <v>michi</v>
      </c>
      <c r="M86" s="6" t="str">
        <f t="shared" si="8"/>
        <v>Harry Potter and the Philosopher's Stone (Radcliff, Harris)</v>
      </c>
      <c r="N86" s="9">
        <f t="shared" si="9"/>
        <v>5</v>
      </c>
      <c r="P86" t="str">
        <f t="shared" si="10"/>
        <v>"michi";"Harry Potter and the Philosopher's Stone";"5"</v>
      </c>
      <c r="U86" t="str">
        <f t="shared" si="11"/>
        <v>michi</v>
      </c>
      <c r="V86" t="str">
        <f t="shared" si="12"/>
        <v>Harry Potter and the Philosopher's Stone</v>
      </c>
      <c r="W86">
        <f t="shared" si="13"/>
        <v>1</v>
      </c>
    </row>
    <row r="87" spans="1:23" x14ac:dyDescent="0.2">
      <c r="A87" s="6" t="s">
        <v>36</v>
      </c>
      <c r="B87" s="6">
        <v>1950</v>
      </c>
      <c r="C87" s="6"/>
      <c r="D87" s="6" t="s">
        <v>65</v>
      </c>
      <c r="E87" s="6" t="s">
        <v>2</v>
      </c>
      <c r="F87" s="6">
        <v>1</v>
      </c>
      <c r="G87" s="6">
        <v>5</v>
      </c>
      <c r="H87" s="6">
        <v>5</v>
      </c>
      <c r="I87" s="6"/>
      <c r="J87" s="6"/>
      <c r="K87" s="6"/>
      <c r="L87" s="6" t="str">
        <f t="shared" si="7"/>
        <v>michi</v>
      </c>
      <c r="M87" s="6" t="str">
        <f t="shared" si="8"/>
        <v>Harvey (Stewart, Hull)</v>
      </c>
      <c r="N87" s="9">
        <f t="shared" si="9"/>
        <v>5</v>
      </c>
      <c r="P87" t="str">
        <f t="shared" si="10"/>
        <v>"michi";"Harvey";"5"</v>
      </c>
      <c r="U87" t="str">
        <f t="shared" si="11"/>
        <v>michi</v>
      </c>
      <c r="V87" t="str">
        <f t="shared" si="12"/>
        <v>Harvey</v>
      </c>
      <c r="W87">
        <f t="shared" si="13"/>
        <v>1</v>
      </c>
    </row>
    <row r="88" spans="1:23" x14ac:dyDescent="0.2">
      <c r="A88" s="6" t="s">
        <v>37</v>
      </c>
      <c r="B88" s="6">
        <v>1962</v>
      </c>
      <c r="C88" s="6"/>
      <c r="D88" s="6" t="s">
        <v>65</v>
      </c>
      <c r="E88" s="6" t="s">
        <v>2</v>
      </c>
      <c r="F88" s="6">
        <v>1</v>
      </c>
      <c r="G88" s="6">
        <v>3</v>
      </c>
      <c r="H88" s="6">
        <v>3</v>
      </c>
      <c r="I88" s="6"/>
      <c r="J88" s="6"/>
      <c r="K88" s="6"/>
      <c r="L88" s="6" t="str">
        <f t="shared" si="7"/>
        <v>michi</v>
      </c>
      <c r="M88" s="6" t="str">
        <f t="shared" si="8"/>
        <v>Hatari! (Wayne, Martinelli)</v>
      </c>
      <c r="N88" s="9">
        <f t="shared" si="9"/>
        <v>3</v>
      </c>
      <c r="P88" t="str">
        <f t="shared" si="10"/>
        <v>"michi";"Hatari!";"3"</v>
      </c>
      <c r="U88" t="str">
        <f t="shared" si="11"/>
        <v>michi</v>
      </c>
      <c r="V88" t="str">
        <f t="shared" si="12"/>
        <v>Hatari!</v>
      </c>
      <c r="W88">
        <f t="shared" si="13"/>
        <v>1</v>
      </c>
    </row>
    <row r="89" spans="1:23" x14ac:dyDescent="0.2">
      <c r="A89" s="6" t="s">
        <v>38</v>
      </c>
      <c r="B89" s="6">
        <v>1990</v>
      </c>
      <c r="C89" s="6"/>
      <c r="D89" s="6" t="s">
        <v>65</v>
      </c>
      <c r="E89" s="6" t="s">
        <v>2</v>
      </c>
      <c r="F89" s="6">
        <v>1</v>
      </c>
      <c r="G89" s="6">
        <v>5</v>
      </c>
      <c r="H89" s="6">
        <v>5</v>
      </c>
      <c r="I89" s="6"/>
      <c r="J89" s="6"/>
      <c r="K89" s="6"/>
      <c r="L89" s="6" t="str">
        <f t="shared" si="7"/>
        <v>michi</v>
      </c>
      <c r="M89" s="6" t="str">
        <f t="shared" si="8"/>
        <v>Home alone (Culkin, Pesci)</v>
      </c>
      <c r="N89" s="9">
        <f t="shared" si="9"/>
        <v>5</v>
      </c>
      <c r="P89" t="str">
        <f t="shared" si="10"/>
        <v>"michi";"Home alone";"5"</v>
      </c>
      <c r="U89" t="str">
        <f t="shared" si="11"/>
        <v>michi</v>
      </c>
      <c r="V89" t="str">
        <f t="shared" si="12"/>
        <v>Home alone</v>
      </c>
      <c r="W89">
        <f t="shared" si="13"/>
        <v>1</v>
      </c>
    </row>
    <row r="90" spans="1:23" x14ac:dyDescent="0.2">
      <c r="A90" s="6" t="s">
        <v>39</v>
      </c>
      <c r="B90" s="6">
        <v>2004</v>
      </c>
      <c r="C90" s="6"/>
      <c r="D90" s="6" t="s">
        <v>65</v>
      </c>
      <c r="E90" s="6" t="s">
        <v>2</v>
      </c>
      <c r="F90" s="6">
        <v>1</v>
      </c>
      <c r="G90" s="6">
        <v>5</v>
      </c>
      <c r="H90" s="6">
        <v>5</v>
      </c>
      <c r="I90" s="6"/>
      <c r="J90" s="6"/>
      <c r="K90" s="6"/>
      <c r="L90" s="6" t="str">
        <f t="shared" si="7"/>
        <v>michi</v>
      </c>
      <c r="M90" s="6" t="str">
        <f t="shared" si="8"/>
        <v>I, Robot (Smith, Moynahan)</v>
      </c>
      <c r="N90" s="9">
        <f t="shared" si="9"/>
        <v>5</v>
      </c>
      <c r="P90" t="str">
        <f t="shared" si="10"/>
        <v>"michi";"I, Robot";"5"</v>
      </c>
      <c r="U90" t="str">
        <f t="shared" si="11"/>
        <v>michi</v>
      </c>
      <c r="V90" t="str">
        <f t="shared" si="12"/>
        <v>I, Robot</v>
      </c>
      <c r="W90">
        <f t="shared" si="13"/>
        <v>1</v>
      </c>
    </row>
    <row r="91" spans="1:23" x14ac:dyDescent="0.2">
      <c r="A91" s="6" t="s">
        <v>40</v>
      </c>
      <c r="B91" s="6">
        <v>1967</v>
      </c>
      <c r="C91" s="6"/>
      <c r="D91" s="6" t="s">
        <v>65</v>
      </c>
      <c r="E91" s="6" t="s">
        <v>2</v>
      </c>
      <c r="F91" s="6">
        <v>1</v>
      </c>
      <c r="G91" s="6">
        <v>5</v>
      </c>
      <c r="H91" s="6">
        <v>5</v>
      </c>
      <c r="I91" s="6"/>
      <c r="J91" s="6"/>
      <c r="K91" s="6"/>
      <c r="L91" s="6" t="str">
        <f t="shared" si="7"/>
        <v>michi</v>
      </c>
      <c r="M91" s="6" t="str">
        <f t="shared" si="8"/>
        <v>In The Heat Of The Night (Poitier, Steiger)</v>
      </c>
      <c r="N91" s="9">
        <f t="shared" si="9"/>
        <v>5</v>
      </c>
      <c r="P91" t="str">
        <f t="shared" si="10"/>
        <v>"michi";"In The Heat Of The Night";"5"</v>
      </c>
      <c r="U91" t="str">
        <f t="shared" si="11"/>
        <v>michi</v>
      </c>
      <c r="V91" t="str">
        <f t="shared" si="12"/>
        <v>In The Heat Of The Night</v>
      </c>
      <c r="W91">
        <f t="shared" si="13"/>
        <v>1</v>
      </c>
    </row>
    <row r="92" spans="1:23" x14ac:dyDescent="0.2">
      <c r="A92" s="6" t="s">
        <v>41</v>
      </c>
      <c r="B92" s="6">
        <v>2014</v>
      </c>
      <c r="C92" s="6"/>
      <c r="D92" s="6" t="s">
        <v>65</v>
      </c>
      <c r="E92" s="6" t="s">
        <v>2</v>
      </c>
      <c r="F92" s="6">
        <v>1</v>
      </c>
      <c r="G92" s="6">
        <v>5</v>
      </c>
      <c r="H92" s="6">
        <v>5</v>
      </c>
      <c r="I92" s="6"/>
      <c r="J92" s="6"/>
      <c r="K92" s="6"/>
      <c r="L92" s="6" t="str">
        <f t="shared" si="7"/>
        <v>michi</v>
      </c>
      <c r="M92" s="6" t="str">
        <f t="shared" si="8"/>
        <v>Jack Ryan: Shadow Recruite (Pine, Costner)</v>
      </c>
      <c r="N92" s="9">
        <f t="shared" si="9"/>
        <v>5</v>
      </c>
      <c r="P92" t="str">
        <f t="shared" si="10"/>
        <v>"michi";"Jack Ryan: Shadow Recruite";"5"</v>
      </c>
      <c r="U92" t="str">
        <f t="shared" si="11"/>
        <v>michi</v>
      </c>
      <c r="V92" t="str">
        <f t="shared" si="12"/>
        <v>Jack Ryan: Shadow Recruite</v>
      </c>
      <c r="W92">
        <f t="shared" si="13"/>
        <v>1</v>
      </c>
    </row>
    <row r="93" spans="1:23" x14ac:dyDescent="0.2">
      <c r="A93" s="6" t="s">
        <v>42</v>
      </c>
      <c r="B93" s="6">
        <v>1995</v>
      </c>
      <c r="C93" s="6"/>
      <c r="D93" s="6" t="s">
        <v>65</v>
      </c>
      <c r="E93" s="6" t="s">
        <v>2</v>
      </c>
      <c r="F93" s="6">
        <v>1</v>
      </c>
      <c r="G93" s="6">
        <v>4</v>
      </c>
      <c r="H93" s="6">
        <v>4</v>
      </c>
      <c r="I93" s="6"/>
      <c r="J93" s="6"/>
      <c r="K93" s="6"/>
      <c r="L93" s="6" t="str">
        <f t="shared" si="7"/>
        <v>michi</v>
      </c>
      <c r="M93" s="6" t="str">
        <f t="shared" si="8"/>
        <v>Jumanji (Williams, Dunst)</v>
      </c>
      <c r="N93" s="9">
        <f t="shared" si="9"/>
        <v>4</v>
      </c>
      <c r="P93" t="str">
        <f t="shared" si="10"/>
        <v>"michi";"Jumanji";"4"</v>
      </c>
      <c r="U93" t="str">
        <f t="shared" si="11"/>
        <v>michi</v>
      </c>
      <c r="V93" t="str">
        <f t="shared" si="12"/>
        <v>Jumanji</v>
      </c>
      <c r="W93">
        <f t="shared" si="13"/>
        <v>1</v>
      </c>
    </row>
    <row r="94" spans="1:23" x14ac:dyDescent="0.2">
      <c r="A94" s="6" t="s">
        <v>43</v>
      </c>
      <c r="B94" s="6">
        <v>2005</v>
      </c>
      <c r="C94" s="6"/>
      <c r="D94" s="6" t="s">
        <v>65</v>
      </c>
      <c r="E94" s="6" t="s">
        <v>2</v>
      </c>
      <c r="F94" s="6">
        <v>1</v>
      </c>
      <c r="G94" s="6">
        <v>2</v>
      </c>
      <c r="H94" s="6">
        <v>2</v>
      </c>
      <c r="I94" s="6"/>
      <c r="J94" s="6"/>
      <c r="K94" s="6"/>
      <c r="L94" s="6" t="str">
        <f t="shared" si="7"/>
        <v>michi</v>
      </c>
      <c r="M94" s="6" t="str">
        <f t="shared" si="8"/>
        <v>King Kong (Watts, Black)</v>
      </c>
      <c r="N94" s="9">
        <f t="shared" si="9"/>
        <v>2</v>
      </c>
      <c r="P94" t="str">
        <f t="shared" si="10"/>
        <v>"michi";"King Kong";"2"</v>
      </c>
      <c r="U94" t="str">
        <f t="shared" si="11"/>
        <v>michi</v>
      </c>
      <c r="V94" t="str">
        <f t="shared" si="12"/>
        <v>King Kong</v>
      </c>
      <c r="W94">
        <f t="shared" si="13"/>
        <v>1</v>
      </c>
    </row>
    <row r="95" spans="1:23" x14ac:dyDescent="0.2">
      <c r="A95" s="6" t="s">
        <v>44</v>
      </c>
      <c r="B95" s="6">
        <v>2016</v>
      </c>
      <c r="C95" s="6"/>
      <c r="D95" s="6" t="s">
        <v>65</v>
      </c>
      <c r="E95" s="6" t="s">
        <v>2</v>
      </c>
      <c r="F95" s="6">
        <v>1</v>
      </c>
      <c r="G95" s="6">
        <v>5</v>
      </c>
      <c r="H95" s="6">
        <v>5</v>
      </c>
      <c r="I95" s="6"/>
      <c r="J95" s="6"/>
      <c r="K95" s="6"/>
      <c r="L95" s="6" t="str">
        <f t="shared" si="7"/>
        <v>michi</v>
      </c>
      <c r="M95" s="6" t="str">
        <f t="shared" si="8"/>
        <v>La La Land (Gosling, Stone)</v>
      </c>
      <c r="N95" s="9">
        <f t="shared" si="9"/>
        <v>5</v>
      </c>
      <c r="P95" t="str">
        <f t="shared" si="10"/>
        <v>"michi";"La La Land";"5"</v>
      </c>
      <c r="U95" t="str">
        <f t="shared" si="11"/>
        <v>michi</v>
      </c>
      <c r="V95" t="str">
        <f t="shared" si="12"/>
        <v>La La Land</v>
      </c>
      <c r="W95">
        <f t="shared" si="13"/>
        <v>1</v>
      </c>
    </row>
    <row r="96" spans="1:23" x14ac:dyDescent="0.2">
      <c r="A96" s="6" t="s">
        <v>45</v>
      </c>
      <c r="B96" s="6">
        <v>2001</v>
      </c>
      <c r="C96" s="6"/>
      <c r="D96" s="6" t="s">
        <v>65</v>
      </c>
      <c r="E96" s="6" t="s">
        <v>2</v>
      </c>
      <c r="F96" s="6">
        <v>1</v>
      </c>
      <c r="G96" s="6">
        <v>5</v>
      </c>
      <c r="H96" s="6">
        <v>5</v>
      </c>
      <c r="I96" s="6"/>
      <c r="J96" s="6"/>
      <c r="K96" s="6"/>
      <c r="L96" s="6" t="str">
        <f t="shared" si="7"/>
        <v>michi</v>
      </c>
      <c r="M96" s="6" t="str">
        <f t="shared" si="8"/>
        <v>Lord of the Rings (Woods, McKellen)</v>
      </c>
      <c r="N96" s="9">
        <f t="shared" si="9"/>
        <v>5</v>
      </c>
      <c r="P96" t="str">
        <f t="shared" si="10"/>
        <v>"michi";"Lord of the Rings";"5"</v>
      </c>
      <c r="U96" t="str">
        <f t="shared" si="11"/>
        <v>michi</v>
      </c>
      <c r="V96" t="str">
        <f t="shared" si="12"/>
        <v>Lord of the Rings</v>
      </c>
      <c r="W96">
        <f t="shared" si="13"/>
        <v>1</v>
      </c>
    </row>
    <row r="97" spans="1:23" x14ac:dyDescent="0.2">
      <c r="A97" s="6" t="s">
        <v>46</v>
      </c>
      <c r="B97" s="6">
        <v>1964</v>
      </c>
      <c r="C97" s="6"/>
      <c r="D97" s="6" t="s">
        <v>65</v>
      </c>
      <c r="E97" s="6" t="s">
        <v>2</v>
      </c>
      <c r="F97" s="6">
        <v>1</v>
      </c>
      <c r="G97" s="6">
        <v>4</v>
      </c>
      <c r="H97" s="6">
        <v>4</v>
      </c>
      <c r="I97" s="6"/>
      <c r="J97" s="6"/>
      <c r="K97" s="6"/>
      <c r="L97" s="6" t="str">
        <f t="shared" si="7"/>
        <v>michi</v>
      </c>
      <c r="M97" s="6" t="str">
        <f t="shared" si="8"/>
        <v>Per Un Pugno Di Dollari (Eastwood, Koch)</v>
      </c>
      <c r="N97" s="9">
        <f t="shared" si="9"/>
        <v>4</v>
      </c>
      <c r="P97" t="str">
        <f t="shared" si="10"/>
        <v>"michi";"Per Un Pugno Di Dollari";"4"</v>
      </c>
      <c r="U97" t="str">
        <f t="shared" si="11"/>
        <v>michi</v>
      </c>
      <c r="V97" t="str">
        <f t="shared" si="12"/>
        <v>Per Un Pugno Di Dollari</v>
      </c>
      <c r="W97">
        <f t="shared" si="13"/>
        <v>1</v>
      </c>
    </row>
    <row r="98" spans="1:23" x14ac:dyDescent="0.2">
      <c r="A98" s="6" t="s">
        <v>47</v>
      </c>
      <c r="B98" s="6">
        <v>1954</v>
      </c>
      <c r="C98" s="6"/>
      <c r="D98" s="6" t="s">
        <v>65</v>
      </c>
      <c r="E98" s="6" t="s">
        <v>2</v>
      </c>
      <c r="F98" s="6">
        <v>1</v>
      </c>
      <c r="G98" s="6">
        <v>5</v>
      </c>
      <c r="H98" s="6">
        <v>5</v>
      </c>
      <c r="I98" s="6"/>
      <c r="J98" s="6"/>
      <c r="K98" s="6"/>
      <c r="L98" s="6" t="str">
        <f t="shared" si="7"/>
        <v>michi</v>
      </c>
      <c r="M98" s="6" t="str">
        <f t="shared" si="8"/>
        <v>Rear Window (Stewart, Kelly)</v>
      </c>
      <c r="N98" s="9">
        <f t="shared" si="9"/>
        <v>5</v>
      </c>
      <c r="P98" t="str">
        <f t="shared" si="10"/>
        <v>"michi";"Rear Window";"5"</v>
      </c>
      <c r="U98" t="str">
        <f t="shared" si="11"/>
        <v>michi</v>
      </c>
      <c r="V98" t="str">
        <f t="shared" si="12"/>
        <v>Rear Window</v>
      </c>
      <c r="W98">
        <f t="shared" si="13"/>
        <v>1</v>
      </c>
    </row>
    <row r="99" spans="1:23" x14ac:dyDescent="0.2">
      <c r="A99" s="6" t="s">
        <v>48</v>
      </c>
      <c r="B99" s="6">
        <v>1955</v>
      </c>
      <c r="C99" s="6"/>
      <c r="D99" s="6" t="s">
        <v>65</v>
      </c>
      <c r="E99" s="6" t="s">
        <v>2</v>
      </c>
      <c r="F99" s="6">
        <v>1</v>
      </c>
      <c r="G99" s="6">
        <v>5</v>
      </c>
      <c r="H99" s="6">
        <v>5</v>
      </c>
      <c r="I99" s="6"/>
      <c r="J99" s="6"/>
      <c r="K99" s="6"/>
      <c r="L99" s="6" t="str">
        <f t="shared" si="7"/>
        <v>michi</v>
      </c>
      <c r="M99" s="6" t="str">
        <f t="shared" si="8"/>
        <v>Rebel Without A Cause (Dean, Wood)</v>
      </c>
      <c r="N99" s="9">
        <f t="shared" si="9"/>
        <v>5</v>
      </c>
      <c r="P99" t="str">
        <f t="shared" si="10"/>
        <v>"michi";"Rebel Without A Cause";"5"</v>
      </c>
      <c r="U99" t="str">
        <f t="shared" si="11"/>
        <v>michi</v>
      </c>
      <c r="V99" t="str">
        <f t="shared" si="12"/>
        <v>Rebel Without A Cause</v>
      </c>
      <c r="W99">
        <f t="shared" si="13"/>
        <v>1</v>
      </c>
    </row>
    <row r="100" spans="1:23" x14ac:dyDescent="0.2">
      <c r="A100" s="6" t="s">
        <v>66</v>
      </c>
      <c r="B100" s="6">
        <v>2005</v>
      </c>
      <c r="C100" s="6"/>
      <c r="D100" s="6" t="s">
        <v>65</v>
      </c>
      <c r="E100" s="6" t="s">
        <v>2</v>
      </c>
      <c r="F100" s="6">
        <v>1</v>
      </c>
      <c r="G100" s="6">
        <v>3</v>
      </c>
      <c r="H100" s="6">
        <v>3</v>
      </c>
      <c r="I100" s="6"/>
      <c r="J100" s="6"/>
      <c r="K100" s="6"/>
      <c r="L100" s="6" t="str">
        <f t="shared" si="7"/>
        <v>michi</v>
      </c>
      <c r="M100" s="6" t="str">
        <f t="shared" si="8"/>
        <v>Rumor has it (Aniston, Costner)</v>
      </c>
      <c r="N100" s="9">
        <f t="shared" si="9"/>
        <v>3</v>
      </c>
      <c r="P100" t="str">
        <f t="shared" si="10"/>
        <v>"michi";"Rumor has it";"3"</v>
      </c>
      <c r="U100" t="str">
        <f t="shared" si="11"/>
        <v>michi</v>
      </c>
      <c r="V100" t="str">
        <f t="shared" si="12"/>
        <v>Rumor has it</v>
      </c>
      <c r="W100">
        <f t="shared" si="13"/>
        <v>1</v>
      </c>
    </row>
    <row r="101" spans="1:23" x14ac:dyDescent="0.2">
      <c r="A101" s="6" t="s">
        <v>49</v>
      </c>
      <c r="B101" s="6">
        <v>1998</v>
      </c>
      <c r="C101" s="6"/>
      <c r="D101" s="6" t="s">
        <v>65</v>
      </c>
      <c r="E101" s="6" t="s">
        <v>3</v>
      </c>
      <c r="F101" s="6">
        <v>0</v>
      </c>
      <c r="G101" s="6"/>
      <c r="H101" s="6">
        <v>0</v>
      </c>
      <c r="I101" s="6"/>
      <c r="J101" s="6"/>
      <c r="K101" s="6"/>
      <c r="L101" s="6" t="str">
        <f t="shared" si="7"/>
        <v>michi</v>
      </c>
      <c r="M101" s="6" t="str">
        <f t="shared" si="8"/>
        <v>Saving private Ryan (Hanks, Damon)</v>
      </c>
      <c r="N101" s="9">
        <f t="shared" si="9"/>
        <v>0</v>
      </c>
      <c r="P101" t="str">
        <f t="shared" si="10"/>
        <v>"michi";"Saving private Ryan";"0"</v>
      </c>
      <c r="U101" t="str">
        <f t="shared" si="11"/>
        <v>michi</v>
      </c>
      <c r="V101" t="str">
        <f t="shared" si="12"/>
        <v>Saving private Ryan</v>
      </c>
      <c r="W101">
        <f t="shared" si="13"/>
        <v>0</v>
      </c>
    </row>
    <row r="102" spans="1:23" x14ac:dyDescent="0.2">
      <c r="A102" s="6" t="s">
        <v>50</v>
      </c>
      <c r="B102" s="6">
        <v>1993</v>
      </c>
      <c r="C102" s="6"/>
      <c r="D102" s="6" t="s">
        <v>65</v>
      </c>
      <c r="E102" s="6" t="s">
        <v>3</v>
      </c>
      <c r="F102" s="6">
        <v>0</v>
      </c>
      <c r="G102" s="6"/>
      <c r="H102" s="6">
        <v>0</v>
      </c>
      <c r="I102" s="6"/>
      <c r="J102" s="6"/>
      <c r="K102" s="6"/>
      <c r="L102" s="6" t="str">
        <f t="shared" si="7"/>
        <v>michi</v>
      </c>
      <c r="M102" s="6" t="str">
        <f t="shared" si="8"/>
        <v>Schindlers List (Neeson, Fiennes)</v>
      </c>
      <c r="N102" s="9">
        <f t="shared" si="9"/>
        <v>0</v>
      </c>
      <c r="P102" t="str">
        <f t="shared" si="10"/>
        <v>"michi";"Schindlers List";"0"</v>
      </c>
      <c r="U102" t="str">
        <f t="shared" si="11"/>
        <v>michi</v>
      </c>
      <c r="V102" t="str">
        <f t="shared" si="12"/>
        <v>Schindlers List</v>
      </c>
      <c r="W102">
        <f t="shared" si="13"/>
        <v>0</v>
      </c>
    </row>
    <row r="103" spans="1:23" x14ac:dyDescent="0.2">
      <c r="A103" s="6" t="s">
        <v>51</v>
      </c>
      <c r="B103" s="6">
        <v>1996</v>
      </c>
      <c r="C103" s="6"/>
      <c r="D103" s="6" t="s">
        <v>65</v>
      </c>
      <c r="E103" s="6" t="s">
        <v>2</v>
      </c>
      <c r="F103" s="6">
        <v>1</v>
      </c>
      <c r="G103" s="6">
        <v>1</v>
      </c>
      <c r="H103" s="6">
        <v>1</v>
      </c>
      <c r="I103" s="6"/>
      <c r="J103" s="6"/>
      <c r="K103" s="6"/>
      <c r="L103" s="6" t="str">
        <f t="shared" si="7"/>
        <v>michi</v>
      </c>
      <c r="M103" s="6" t="str">
        <f t="shared" si="8"/>
        <v>Scream (Arquette, Campell)</v>
      </c>
      <c r="N103" s="9">
        <f t="shared" si="9"/>
        <v>1</v>
      </c>
      <c r="P103" t="str">
        <f t="shared" si="10"/>
        <v>"michi";"Scream";"1"</v>
      </c>
      <c r="U103" t="str">
        <f t="shared" si="11"/>
        <v>michi</v>
      </c>
      <c r="V103" t="str">
        <f t="shared" si="12"/>
        <v>Scream</v>
      </c>
      <c r="W103">
        <f t="shared" si="13"/>
        <v>1</v>
      </c>
    </row>
    <row r="104" spans="1:23" x14ac:dyDescent="0.2">
      <c r="A104" s="6" t="s">
        <v>52</v>
      </c>
      <c r="B104" s="6">
        <v>1977</v>
      </c>
      <c r="C104" s="6"/>
      <c r="D104" s="6" t="s">
        <v>65</v>
      </c>
      <c r="E104" s="6" t="s">
        <v>2</v>
      </c>
      <c r="F104" s="6">
        <v>1</v>
      </c>
      <c r="G104" s="6">
        <v>2</v>
      </c>
      <c r="H104" s="6">
        <v>2</v>
      </c>
      <c r="I104" s="6"/>
      <c r="J104" s="6"/>
      <c r="K104" s="6"/>
      <c r="L104" s="6" t="str">
        <f t="shared" si="7"/>
        <v>michi</v>
      </c>
      <c r="M104" s="6" t="str">
        <f t="shared" si="8"/>
        <v>Star Wars IV: A new hope (Hamill, Ford)</v>
      </c>
      <c r="N104" s="9">
        <f t="shared" si="9"/>
        <v>2</v>
      </c>
      <c r="P104" t="str">
        <f t="shared" si="10"/>
        <v>"michi";"Star Wars IV: A new hope";"2"</v>
      </c>
      <c r="U104" t="str">
        <f t="shared" si="11"/>
        <v>michi</v>
      </c>
      <c r="V104" t="str">
        <f t="shared" si="12"/>
        <v>Star Wars IV: A new hope</v>
      </c>
      <c r="W104">
        <f t="shared" si="13"/>
        <v>1</v>
      </c>
    </row>
    <row r="105" spans="1:23" x14ac:dyDescent="0.2">
      <c r="A105" s="6" t="s">
        <v>53</v>
      </c>
      <c r="B105" s="6">
        <v>2016</v>
      </c>
      <c r="C105" s="6"/>
      <c r="D105" s="6" t="s">
        <v>65</v>
      </c>
      <c r="E105" s="6" t="s">
        <v>2</v>
      </c>
      <c r="F105" s="6">
        <v>1</v>
      </c>
      <c r="G105" s="6">
        <v>3</v>
      </c>
      <c r="H105" s="6">
        <v>3</v>
      </c>
      <c r="I105" s="6"/>
      <c r="J105" s="6"/>
      <c r="K105" s="6"/>
      <c r="L105" s="6" t="str">
        <f t="shared" si="7"/>
        <v>michi</v>
      </c>
      <c r="M105" s="6" t="str">
        <f t="shared" si="8"/>
        <v>Suicide Squad (Smith, Robbie)</v>
      </c>
      <c r="N105" s="9">
        <f t="shared" si="9"/>
        <v>3</v>
      </c>
      <c r="P105" t="str">
        <f t="shared" si="10"/>
        <v>"michi";"Suicide Squad";"3"</v>
      </c>
      <c r="U105" t="str">
        <f t="shared" si="11"/>
        <v>michi</v>
      </c>
      <c r="V105" t="str">
        <f t="shared" si="12"/>
        <v>Suicide Squad</v>
      </c>
      <c r="W105">
        <f t="shared" si="13"/>
        <v>1</v>
      </c>
    </row>
    <row r="106" spans="1:23" x14ac:dyDescent="0.2">
      <c r="A106" s="6" t="s">
        <v>54</v>
      </c>
      <c r="B106" s="6">
        <v>2010</v>
      </c>
      <c r="C106" s="6"/>
      <c r="D106" s="6" t="s">
        <v>65</v>
      </c>
      <c r="E106" s="6" t="s">
        <v>2</v>
      </c>
      <c r="F106" s="6">
        <v>1</v>
      </c>
      <c r="G106" s="6">
        <v>5</v>
      </c>
      <c r="H106" s="6">
        <v>5</v>
      </c>
      <c r="I106" s="6"/>
      <c r="J106" s="6"/>
      <c r="K106" s="6"/>
      <c r="L106" s="6" t="str">
        <f t="shared" si="7"/>
        <v>michi</v>
      </c>
      <c r="M106" s="6" t="str">
        <f t="shared" si="8"/>
        <v>Tangled (Disney)</v>
      </c>
      <c r="N106" s="9">
        <f t="shared" si="9"/>
        <v>5</v>
      </c>
      <c r="P106" t="str">
        <f t="shared" si="10"/>
        <v>"michi";"Tangled";"5"</v>
      </c>
      <c r="U106" t="str">
        <f t="shared" si="11"/>
        <v>michi</v>
      </c>
      <c r="V106" t="str">
        <f t="shared" si="12"/>
        <v>Tangled</v>
      </c>
      <c r="W106">
        <f t="shared" si="13"/>
        <v>1</v>
      </c>
    </row>
    <row r="107" spans="1:23" x14ac:dyDescent="0.2">
      <c r="A107" s="6" t="s">
        <v>55</v>
      </c>
      <c r="B107" s="6">
        <v>2012</v>
      </c>
      <c r="C107" s="6"/>
      <c r="D107" s="6" t="s">
        <v>65</v>
      </c>
      <c r="E107" s="6" t="s">
        <v>2</v>
      </c>
      <c r="F107" s="6">
        <v>1</v>
      </c>
      <c r="G107" s="6"/>
      <c r="H107" s="6">
        <v>0</v>
      </c>
      <c r="I107" s="6"/>
      <c r="J107" s="6"/>
      <c r="K107" s="6"/>
      <c r="L107" s="6" t="str">
        <f t="shared" si="7"/>
        <v>michi</v>
      </c>
      <c r="M107" s="6" t="str">
        <f t="shared" si="8"/>
        <v>The Avengers (Downey Jr. Evans)</v>
      </c>
      <c r="N107" s="9">
        <f t="shared" si="9"/>
        <v>0</v>
      </c>
      <c r="P107" t="str">
        <f t="shared" si="10"/>
        <v>"michi";"The Avengers";"0"</v>
      </c>
      <c r="U107" t="str">
        <f t="shared" si="11"/>
        <v>michi</v>
      </c>
      <c r="V107" t="str">
        <f t="shared" si="12"/>
        <v>The Avengers</v>
      </c>
      <c r="W107">
        <f t="shared" si="13"/>
        <v>1</v>
      </c>
    </row>
    <row r="108" spans="1:23" x14ac:dyDescent="0.2">
      <c r="A108" s="6" t="s">
        <v>56</v>
      </c>
      <c r="B108" s="6">
        <v>1973</v>
      </c>
      <c r="C108" s="6"/>
      <c r="D108" s="6" t="s">
        <v>65</v>
      </c>
      <c r="E108" s="6" t="s">
        <v>3</v>
      </c>
      <c r="F108" s="6">
        <v>0</v>
      </c>
      <c r="G108" s="6"/>
      <c r="H108" s="6">
        <v>0</v>
      </c>
      <c r="I108" s="6"/>
      <c r="J108" s="6"/>
      <c r="K108" s="6"/>
      <c r="L108" s="6" t="str">
        <f t="shared" si="7"/>
        <v>michi</v>
      </c>
      <c r="M108" s="6" t="str">
        <f t="shared" si="8"/>
        <v>The Exorcist (von Sydow, Blair)</v>
      </c>
      <c r="N108" s="9">
        <f t="shared" si="9"/>
        <v>0</v>
      </c>
      <c r="P108" t="str">
        <f t="shared" si="10"/>
        <v>"michi";"The Exorcist";"0"</v>
      </c>
      <c r="U108" t="str">
        <f t="shared" si="11"/>
        <v>michi</v>
      </c>
      <c r="V108" t="str">
        <f t="shared" si="12"/>
        <v>The Exorcist</v>
      </c>
      <c r="W108">
        <f t="shared" si="13"/>
        <v>0</v>
      </c>
    </row>
    <row r="109" spans="1:23" x14ac:dyDescent="0.2">
      <c r="A109" s="6" t="s">
        <v>57</v>
      </c>
      <c r="B109" s="6">
        <v>1972</v>
      </c>
      <c r="C109" s="6"/>
      <c r="D109" s="6" t="s">
        <v>65</v>
      </c>
      <c r="E109" s="6" t="s">
        <v>2</v>
      </c>
      <c r="F109" s="6">
        <v>1</v>
      </c>
      <c r="G109" s="6">
        <v>5</v>
      </c>
      <c r="H109" s="6">
        <v>5</v>
      </c>
      <c r="I109" s="6"/>
      <c r="J109" s="6"/>
      <c r="K109" s="6"/>
      <c r="L109" s="6" t="str">
        <f t="shared" si="7"/>
        <v>michi</v>
      </c>
      <c r="M109" s="6" t="str">
        <f t="shared" si="8"/>
        <v>The Godfather (Brando, Pacino)</v>
      </c>
      <c r="N109" s="9">
        <f t="shared" si="9"/>
        <v>5</v>
      </c>
      <c r="P109" t="str">
        <f t="shared" si="10"/>
        <v>"michi";"The Godfather";"5"</v>
      </c>
      <c r="U109" t="str">
        <f t="shared" si="11"/>
        <v>michi</v>
      </c>
      <c r="V109" t="str">
        <f t="shared" si="12"/>
        <v>The Godfather</v>
      </c>
      <c r="W109">
        <f t="shared" si="13"/>
        <v>1</v>
      </c>
    </row>
    <row r="110" spans="1:23" x14ac:dyDescent="0.2">
      <c r="A110" s="6" t="s">
        <v>58</v>
      </c>
      <c r="B110" s="6">
        <v>1994</v>
      </c>
      <c r="C110" s="6"/>
      <c r="D110" s="6" t="s">
        <v>65</v>
      </c>
      <c r="E110" s="6" t="s">
        <v>2</v>
      </c>
      <c r="F110" s="6">
        <v>1</v>
      </c>
      <c r="G110" s="6">
        <v>5</v>
      </c>
      <c r="H110" s="6">
        <v>5</v>
      </c>
      <c r="I110" s="6"/>
      <c r="J110" s="6"/>
      <c r="K110" s="6"/>
      <c r="L110" s="6" t="str">
        <f t="shared" si="7"/>
        <v>michi</v>
      </c>
      <c r="M110" s="6" t="str">
        <f t="shared" si="8"/>
        <v>The Lion King (Disney)</v>
      </c>
      <c r="N110" s="9">
        <f t="shared" si="9"/>
        <v>5</v>
      </c>
      <c r="P110" t="str">
        <f t="shared" si="10"/>
        <v>"michi";"The Lion King";"5"</v>
      </c>
      <c r="U110" t="str">
        <f t="shared" si="11"/>
        <v>michi</v>
      </c>
      <c r="V110" t="str">
        <f t="shared" si="12"/>
        <v>The Lion King</v>
      </c>
      <c r="W110">
        <f t="shared" si="13"/>
        <v>1</v>
      </c>
    </row>
    <row r="111" spans="1:23" x14ac:dyDescent="0.2">
      <c r="A111" s="6" t="s">
        <v>59</v>
      </c>
      <c r="B111" s="6">
        <v>1999</v>
      </c>
      <c r="C111" s="6"/>
      <c r="D111" s="6" t="s">
        <v>65</v>
      </c>
      <c r="E111" s="6" t="s">
        <v>2</v>
      </c>
      <c r="F111" s="6">
        <v>1</v>
      </c>
      <c r="G111" s="6">
        <v>5</v>
      </c>
      <c r="H111" s="6">
        <v>5</v>
      </c>
      <c r="I111" s="6"/>
      <c r="J111" s="6"/>
      <c r="K111" s="6"/>
      <c r="L111" s="6" t="str">
        <f t="shared" si="7"/>
        <v>michi</v>
      </c>
      <c r="M111" s="6" t="str">
        <f t="shared" si="8"/>
        <v>The Matrix (Reeves, Fishburn)</v>
      </c>
      <c r="N111" s="9">
        <f t="shared" si="9"/>
        <v>5</v>
      </c>
      <c r="P111" t="str">
        <f t="shared" si="10"/>
        <v>"michi";"The Matrix";"5"</v>
      </c>
      <c r="U111" t="str">
        <f t="shared" si="11"/>
        <v>michi</v>
      </c>
      <c r="V111" t="str">
        <f t="shared" si="12"/>
        <v>The Matrix</v>
      </c>
      <c r="W111">
        <f t="shared" si="13"/>
        <v>1</v>
      </c>
    </row>
    <row r="112" spans="1:23" x14ac:dyDescent="0.2">
      <c r="A112" s="6" t="s">
        <v>60</v>
      </c>
      <c r="B112" s="6">
        <v>1980</v>
      </c>
      <c r="C112" s="6"/>
      <c r="D112" s="6" t="s">
        <v>65</v>
      </c>
      <c r="E112" s="6" t="s">
        <v>2</v>
      </c>
      <c r="F112" s="6">
        <v>1</v>
      </c>
      <c r="G112" s="6">
        <v>5</v>
      </c>
      <c r="H112" s="6">
        <v>5</v>
      </c>
      <c r="I112" s="6"/>
      <c r="J112" s="6"/>
      <c r="K112" s="6"/>
      <c r="L112" s="6" t="str">
        <f t="shared" si="7"/>
        <v>michi</v>
      </c>
      <c r="M112" s="6" t="str">
        <f t="shared" si="8"/>
        <v>The Shining (Nicholson, Duvall)</v>
      </c>
      <c r="N112" s="9">
        <f t="shared" si="9"/>
        <v>5</v>
      </c>
      <c r="P112" t="str">
        <f t="shared" si="10"/>
        <v>"michi";"The Shining";"5"</v>
      </c>
      <c r="U112" t="str">
        <f t="shared" si="11"/>
        <v>michi</v>
      </c>
      <c r="V112" t="str">
        <f t="shared" si="12"/>
        <v>The Shining</v>
      </c>
      <c r="W112">
        <f t="shared" si="13"/>
        <v>1</v>
      </c>
    </row>
    <row r="113" spans="1:23" x14ac:dyDescent="0.2">
      <c r="A113" s="6" t="s">
        <v>61</v>
      </c>
      <c r="B113" s="6">
        <v>1984</v>
      </c>
      <c r="C113" s="6"/>
      <c r="D113" s="6" t="s">
        <v>65</v>
      </c>
      <c r="E113" s="6" t="s">
        <v>2</v>
      </c>
      <c r="F113" s="6">
        <v>1</v>
      </c>
      <c r="G113" s="6">
        <v>3</v>
      </c>
      <c r="H113" s="6">
        <v>3</v>
      </c>
      <c r="I113" s="6"/>
      <c r="J113" s="6"/>
      <c r="K113" s="6"/>
      <c r="L113" s="6" t="str">
        <f t="shared" si="7"/>
        <v>michi</v>
      </c>
      <c r="M113" s="6" t="str">
        <f t="shared" si="8"/>
        <v>The Terminator (Schwarzenegger, Hamilton)</v>
      </c>
      <c r="N113" s="9">
        <f t="shared" si="9"/>
        <v>3</v>
      </c>
      <c r="P113" t="str">
        <f t="shared" si="10"/>
        <v>"michi";"The Terminator";"3"</v>
      </c>
      <c r="U113" t="str">
        <f t="shared" si="11"/>
        <v>michi</v>
      </c>
      <c r="V113" t="str">
        <f t="shared" si="12"/>
        <v>The Terminator</v>
      </c>
      <c r="W113">
        <f t="shared" si="13"/>
        <v>1</v>
      </c>
    </row>
    <row r="114" spans="1:23" x14ac:dyDescent="0.2">
      <c r="A114" s="6" t="s">
        <v>62</v>
      </c>
      <c r="B114" s="6">
        <v>1986</v>
      </c>
      <c r="C114" s="6"/>
      <c r="D114" s="6" t="s">
        <v>65</v>
      </c>
      <c r="E114" s="6" t="s">
        <v>2</v>
      </c>
      <c r="F114" s="6">
        <v>1</v>
      </c>
      <c r="G114" s="6">
        <v>2</v>
      </c>
      <c r="H114" s="6">
        <v>2</v>
      </c>
      <c r="I114" s="6"/>
      <c r="J114" s="6"/>
      <c r="K114" s="6"/>
      <c r="L114" s="6" t="str">
        <f t="shared" si="7"/>
        <v>michi</v>
      </c>
      <c r="M114" s="6" t="str">
        <f t="shared" si="8"/>
        <v>Top Gun (Cruise, McGillis)</v>
      </c>
      <c r="N114" s="9">
        <f t="shared" si="9"/>
        <v>2</v>
      </c>
      <c r="P114" t="str">
        <f t="shared" si="10"/>
        <v>"michi";"Top Gun";"2"</v>
      </c>
      <c r="U114" t="str">
        <f t="shared" si="11"/>
        <v>michi</v>
      </c>
      <c r="V114" t="str">
        <f t="shared" si="12"/>
        <v>Top Gun</v>
      </c>
      <c r="W114">
        <f t="shared" si="13"/>
        <v>1</v>
      </c>
    </row>
    <row r="115" spans="1:23" x14ac:dyDescent="0.2">
      <c r="A115" s="6" t="s">
        <v>63</v>
      </c>
      <c r="B115" s="6">
        <v>1995</v>
      </c>
      <c r="C115" s="6"/>
      <c r="D115" s="6" t="s">
        <v>65</v>
      </c>
      <c r="E115" s="6" t="s">
        <v>2</v>
      </c>
      <c r="F115" s="6">
        <v>1</v>
      </c>
      <c r="G115" s="6">
        <v>3</v>
      </c>
      <c r="H115" s="6">
        <v>3</v>
      </c>
      <c r="I115" s="6"/>
      <c r="J115" s="6"/>
      <c r="K115" s="6"/>
      <c r="L115" s="6" t="str">
        <f t="shared" si="7"/>
        <v>michi</v>
      </c>
      <c r="M115" s="6" t="str">
        <f t="shared" si="8"/>
        <v>Toy Story (Pixar)</v>
      </c>
      <c r="N115" s="9">
        <f t="shared" si="9"/>
        <v>3</v>
      </c>
      <c r="P115" t="str">
        <f t="shared" si="10"/>
        <v>"michi";"Toy Story";"3"</v>
      </c>
      <c r="U115" t="str">
        <f t="shared" si="11"/>
        <v>michi</v>
      </c>
      <c r="V115" t="str">
        <f t="shared" si="12"/>
        <v>Toy Story</v>
      </c>
      <c r="W115">
        <f t="shared" si="13"/>
        <v>1</v>
      </c>
    </row>
    <row r="116" spans="1:23" x14ac:dyDescent="0.2">
      <c r="A116" s="6" t="s">
        <v>8</v>
      </c>
      <c r="B116" s="6">
        <v>1968</v>
      </c>
      <c r="C116" s="6"/>
      <c r="D116" s="6" t="s">
        <v>67</v>
      </c>
      <c r="E116" s="6" t="s">
        <v>3</v>
      </c>
      <c r="F116" s="6">
        <v>0</v>
      </c>
      <c r="G116" s="6"/>
      <c r="H116" s="6">
        <v>0</v>
      </c>
      <c r="I116" s="6"/>
      <c r="J116" s="6"/>
      <c r="K116" s="6"/>
      <c r="L116" s="6" t="str">
        <f t="shared" si="7"/>
        <v>Tanja</v>
      </c>
      <c r="M116" s="6" t="str">
        <f t="shared" si="8"/>
        <v>2001: A Space Odyssey (Duella, Lockwood)</v>
      </c>
      <c r="N116" s="9">
        <f t="shared" si="9"/>
        <v>0</v>
      </c>
      <c r="P116" t="str">
        <f t="shared" si="10"/>
        <v>"Tanja";"2001: A Space Odyssey";"0"</v>
      </c>
      <c r="U116" t="str">
        <f t="shared" si="11"/>
        <v>Tanja</v>
      </c>
      <c r="V116" t="str">
        <f t="shared" si="12"/>
        <v>2001: A Space Odyssey</v>
      </c>
      <c r="W116">
        <f t="shared" si="13"/>
        <v>0</v>
      </c>
    </row>
    <row r="117" spans="1:23" x14ac:dyDescent="0.2">
      <c r="A117" s="6" t="s">
        <v>9</v>
      </c>
      <c r="B117" s="6">
        <v>1971</v>
      </c>
      <c r="C117" s="6"/>
      <c r="D117" s="6" t="s">
        <v>67</v>
      </c>
      <c r="E117" s="6" t="s">
        <v>3</v>
      </c>
      <c r="F117" s="6">
        <v>0</v>
      </c>
      <c r="G117" s="6"/>
      <c r="H117" s="6">
        <v>0</v>
      </c>
      <c r="I117" s="6"/>
      <c r="J117" s="6"/>
      <c r="K117" s="6"/>
      <c r="L117" s="6" t="str">
        <f t="shared" si="7"/>
        <v>Tanja</v>
      </c>
      <c r="M117" s="6" t="str">
        <f t="shared" si="8"/>
        <v>A Clockwork Orange (McDowell, Magee)</v>
      </c>
      <c r="N117" s="9">
        <f t="shared" si="9"/>
        <v>0</v>
      </c>
      <c r="P117" t="str">
        <f t="shared" si="10"/>
        <v>"Tanja";"A Clockwork Orange";"0"</v>
      </c>
      <c r="U117" t="str">
        <f t="shared" si="11"/>
        <v>Tanja</v>
      </c>
      <c r="V117" t="str">
        <f t="shared" si="12"/>
        <v>A Clockwork Orange</v>
      </c>
      <c r="W117">
        <f t="shared" si="13"/>
        <v>0</v>
      </c>
    </row>
    <row r="118" spans="1:23" x14ac:dyDescent="0.2">
      <c r="A118" s="6" t="s">
        <v>10</v>
      </c>
      <c r="B118" s="6">
        <v>2018</v>
      </c>
      <c r="C118" s="6"/>
      <c r="D118" s="6" t="s">
        <v>67</v>
      </c>
      <c r="E118" s="6" t="s">
        <v>3</v>
      </c>
      <c r="F118" s="6">
        <v>0</v>
      </c>
      <c r="G118" s="6"/>
      <c r="H118" s="6">
        <v>0</v>
      </c>
      <c r="I118" s="6"/>
      <c r="J118" s="6"/>
      <c r="K118" s="6"/>
      <c r="L118" s="6" t="str">
        <f t="shared" si="7"/>
        <v>Tanja</v>
      </c>
      <c r="M118" s="6" t="str">
        <f t="shared" si="8"/>
        <v>A star is born (Gaga, Cooper)</v>
      </c>
      <c r="N118" s="9">
        <f t="shared" si="9"/>
        <v>0</v>
      </c>
      <c r="P118" t="str">
        <f t="shared" si="10"/>
        <v>"Tanja";"A star is born";"0"</v>
      </c>
      <c r="U118" t="str">
        <f t="shared" si="11"/>
        <v>Tanja</v>
      </c>
      <c r="V118" t="str">
        <f t="shared" si="12"/>
        <v>A star is born</v>
      </c>
      <c r="W118">
        <f t="shared" si="13"/>
        <v>0</v>
      </c>
    </row>
    <row r="119" spans="1:23" x14ac:dyDescent="0.2">
      <c r="A119" s="6" t="s">
        <v>11</v>
      </c>
      <c r="B119" s="6">
        <v>2005</v>
      </c>
      <c r="C119" s="6"/>
      <c r="D119" s="6" t="s">
        <v>67</v>
      </c>
      <c r="E119" s="6" t="s">
        <v>3</v>
      </c>
      <c r="F119" s="6">
        <v>0</v>
      </c>
      <c r="G119" s="6"/>
      <c r="H119" s="6">
        <v>0</v>
      </c>
      <c r="I119" s="6"/>
      <c r="J119" s="6"/>
      <c r="K119" s="6"/>
      <c r="L119" s="6" t="str">
        <f t="shared" si="7"/>
        <v>Tanja</v>
      </c>
      <c r="M119" s="6" t="str">
        <f t="shared" si="8"/>
        <v>Aeon Flux (Theron, Csokas)</v>
      </c>
      <c r="N119" s="9">
        <f t="shared" si="9"/>
        <v>0</v>
      </c>
      <c r="P119" t="str">
        <f t="shared" si="10"/>
        <v>"Tanja";"Aeon Flux";"0"</v>
      </c>
      <c r="U119" t="str">
        <f t="shared" si="11"/>
        <v>Tanja</v>
      </c>
      <c r="V119" t="str">
        <f t="shared" si="12"/>
        <v>Aeon Flux</v>
      </c>
      <c r="W119">
        <f t="shared" si="13"/>
        <v>0</v>
      </c>
    </row>
    <row r="120" spans="1:23" x14ac:dyDescent="0.2">
      <c r="A120" s="6" t="s">
        <v>12</v>
      </c>
      <c r="B120" s="6">
        <v>1951</v>
      </c>
      <c r="C120" s="6"/>
      <c r="D120" s="6" t="s">
        <v>67</v>
      </c>
      <c r="E120" s="6" t="s">
        <v>3</v>
      </c>
      <c r="F120" s="6">
        <v>0</v>
      </c>
      <c r="G120" s="6"/>
      <c r="H120" s="6">
        <v>0</v>
      </c>
      <c r="I120" s="6"/>
      <c r="J120" s="6"/>
      <c r="K120" s="6"/>
      <c r="L120" s="6" t="str">
        <f t="shared" si="7"/>
        <v>Tanja</v>
      </c>
      <c r="M120" s="6" t="str">
        <f t="shared" si="8"/>
        <v>African Queen (Bogart, Hepburn)</v>
      </c>
      <c r="N120" s="9">
        <f t="shared" si="9"/>
        <v>0</v>
      </c>
      <c r="P120" t="str">
        <f t="shared" si="10"/>
        <v>"Tanja";"African Queen";"0"</v>
      </c>
      <c r="U120" t="str">
        <f t="shared" si="11"/>
        <v>Tanja</v>
      </c>
      <c r="V120" t="str">
        <f t="shared" si="12"/>
        <v>African Queen</v>
      </c>
      <c r="W120">
        <f t="shared" si="13"/>
        <v>0</v>
      </c>
    </row>
    <row r="121" spans="1:23" x14ac:dyDescent="0.2">
      <c r="A121" s="6" t="s">
        <v>13</v>
      </c>
      <c r="B121" s="6">
        <v>1979</v>
      </c>
      <c r="C121" s="6"/>
      <c r="D121" s="6" t="s">
        <v>67</v>
      </c>
      <c r="E121" s="6" t="s">
        <v>3</v>
      </c>
      <c r="F121" s="6">
        <v>0</v>
      </c>
      <c r="G121" s="6"/>
      <c r="H121" s="6">
        <v>0</v>
      </c>
      <c r="I121" s="6"/>
      <c r="J121" s="6"/>
      <c r="K121" s="6"/>
      <c r="L121" s="6" t="str">
        <f t="shared" si="7"/>
        <v>Tanja</v>
      </c>
      <c r="M121" s="6" t="str">
        <f t="shared" si="8"/>
        <v>Alien (Weaver, Skerritt)</v>
      </c>
      <c r="N121" s="9">
        <f t="shared" si="9"/>
        <v>0</v>
      </c>
      <c r="P121" t="str">
        <f t="shared" si="10"/>
        <v>"Tanja";"Alien";"0"</v>
      </c>
      <c r="U121" t="str">
        <f t="shared" si="11"/>
        <v>Tanja</v>
      </c>
      <c r="V121" t="str">
        <f t="shared" si="12"/>
        <v>Alien</v>
      </c>
      <c r="W121">
        <f t="shared" si="13"/>
        <v>0</v>
      </c>
    </row>
    <row r="122" spans="1:23" x14ac:dyDescent="0.2">
      <c r="A122" s="6" t="s">
        <v>14</v>
      </c>
      <c r="B122" s="6">
        <v>1960</v>
      </c>
      <c r="C122" s="6"/>
      <c r="D122" s="6" t="s">
        <v>67</v>
      </c>
      <c r="E122" s="6" t="s">
        <v>3</v>
      </c>
      <c r="F122" s="6">
        <v>0</v>
      </c>
      <c r="G122" s="6"/>
      <c r="H122" s="6">
        <v>0</v>
      </c>
      <c r="I122" s="6"/>
      <c r="J122" s="6"/>
      <c r="K122" s="6"/>
      <c r="L122" s="6" t="str">
        <f t="shared" si="7"/>
        <v>Tanja</v>
      </c>
      <c r="M122" s="6" t="str">
        <f t="shared" si="8"/>
        <v>Apartment (Lemmon, MacLaine)</v>
      </c>
      <c r="N122" s="9">
        <f t="shared" si="9"/>
        <v>0</v>
      </c>
      <c r="P122" t="str">
        <f t="shared" si="10"/>
        <v>"Tanja";"Apartment";"0"</v>
      </c>
      <c r="U122" t="str">
        <f t="shared" si="11"/>
        <v>Tanja</v>
      </c>
      <c r="V122" t="str">
        <f t="shared" si="12"/>
        <v>Apartment</v>
      </c>
      <c r="W122">
        <f t="shared" si="13"/>
        <v>0</v>
      </c>
    </row>
    <row r="123" spans="1:23" x14ac:dyDescent="0.2">
      <c r="A123" s="6" t="s">
        <v>15</v>
      </c>
      <c r="B123" s="6">
        <v>1979</v>
      </c>
      <c r="C123" s="6"/>
      <c r="D123" s="6" t="s">
        <v>67</v>
      </c>
      <c r="E123" s="6" t="s">
        <v>3</v>
      </c>
      <c r="F123" s="6">
        <v>0</v>
      </c>
      <c r="G123" s="6"/>
      <c r="H123" s="6">
        <v>0</v>
      </c>
      <c r="I123" s="6"/>
      <c r="J123" s="6"/>
      <c r="K123" s="6"/>
      <c r="L123" s="6" t="str">
        <f t="shared" si="7"/>
        <v>Tanja</v>
      </c>
      <c r="M123" s="6" t="str">
        <f t="shared" si="8"/>
        <v>Apocalypse Now (Sheen, Brando)</v>
      </c>
      <c r="N123" s="9">
        <f t="shared" si="9"/>
        <v>0</v>
      </c>
      <c r="P123" t="str">
        <f t="shared" si="10"/>
        <v>"Tanja";"Apocalypse Now";"0"</v>
      </c>
      <c r="U123" t="str">
        <f t="shared" si="11"/>
        <v>Tanja</v>
      </c>
      <c r="V123" t="str">
        <f t="shared" si="12"/>
        <v>Apocalypse Now</v>
      </c>
      <c r="W123">
        <f t="shared" si="13"/>
        <v>0</v>
      </c>
    </row>
    <row r="124" spans="1:23" x14ac:dyDescent="0.2">
      <c r="A124" s="6" t="s">
        <v>16</v>
      </c>
      <c r="B124" s="6">
        <v>1956</v>
      </c>
      <c r="C124" s="6"/>
      <c r="D124" s="6" t="s">
        <v>67</v>
      </c>
      <c r="E124" s="6" t="s">
        <v>2</v>
      </c>
      <c r="F124" s="6">
        <v>1</v>
      </c>
      <c r="G124" s="6">
        <v>3</v>
      </c>
      <c r="H124" s="6">
        <v>3</v>
      </c>
      <c r="I124" s="6"/>
      <c r="J124" s="6"/>
      <c r="K124" s="6"/>
      <c r="L124" s="6" t="str">
        <f t="shared" si="7"/>
        <v>Tanja</v>
      </c>
      <c r="M124" s="6" t="str">
        <f t="shared" si="8"/>
        <v>Around The World In 80 Days (Niven, Cantinflas)</v>
      </c>
      <c r="N124" s="9">
        <f t="shared" si="9"/>
        <v>3</v>
      </c>
      <c r="P124" t="str">
        <f t="shared" si="10"/>
        <v>"Tanja";"Around The World In 80 Days";"3"</v>
      </c>
      <c r="U124" t="str">
        <f t="shared" si="11"/>
        <v>Tanja</v>
      </c>
      <c r="V124" t="str">
        <f t="shared" si="12"/>
        <v>Around The World In 80 Days</v>
      </c>
      <c r="W124">
        <f t="shared" si="13"/>
        <v>1</v>
      </c>
    </row>
    <row r="125" spans="1:23" x14ac:dyDescent="0.2">
      <c r="A125" s="6" t="s">
        <v>17</v>
      </c>
      <c r="B125" s="6">
        <v>2009</v>
      </c>
      <c r="C125" s="6"/>
      <c r="D125" s="6" t="s">
        <v>67</v>
      </c>
      <c r="E125" s="6" t="s">
        <v>2</v>
      </c>
      <c r="F125" s="6">
        <v>1</v>
      </c>
      <c r="G125" s="6">
        <v>5</v>
      </c>
      <c r="H125" s="6">
        <v>5</v>
      </c>
      <c r="I125" s="6"/>
      <c r="J125" s="6"/>
      <c r="K125" s="6"/>
      <c r="L125" s="6" t="str">
        <f t="shared" si="7"/>
        <v>Tanja</v>
      </c>
      <c r="M125" s="6" t="str">
        <f t="shared" si="8"/>
        <v>Avatar (Worthington, Saldana)</v>
      </c>
      <c r="N125" s="9">
        <f t="shared" si="9"/>
        <v>5</v>
      </c>
      <c r="P125" t="str">
        <f t="shared" si="10"/>
        <v>"Tanja";"Avatar";"5"</v>
      </c>
      <c r="U125" t="str">
        <f t="shared" si="11"/>
        <v>Tanja</v>
      </c>
      <c r="V125" t="str">
        <f t="shared" si="12"/>
        <v>Avatar</v>
      </c>
      <c r="W125">
        <f t="shared" si="13"/>
        <v>1</v>
      </c>
    </row>
    <row r="126" spans="1:23" x14ac:dyDescent="0.2">
      <c r="A126" s="6" t="s">
        <v>18</v>
      </c>
      <c r="B126" s="6">
        <v>1989</v>
      </c>
      <c r="C126" s="6"/>
      <c r="D126" s="6" t="s">
        <v>67</v>
      </c>
      <c r="E126" s="6" t="s">
        <v>3</v>
      </c>
      <c r="F126" s="6">
        <v>0</v>
      </c>
      <c r="G126" s="6"/>
      <c r="H126" s="6">
        <v>0</v>
      </c>
      <c r="I126" s="6"/>
      <c r="J126" s="6"/>
      <c r="K126" s="6"/>
      <c r="L126" s="6" t="str">
        <f t="shared" si="7"/>
        <v>Tanja</v>
      </c>
      <c r="M126" s="6" t="str">
        <f t="shared" si="8"/>
        <v>Batman (Keaton, Nicholson, Basinger)</v>
      </c>
      <c r="N126" s="9">
        <f t="shared" si="9"/>
        <v>0</v>
      </c>
      <c r="P126" t="str">
        <f t="shared" si="10"/>
        <v>"Tanja";"Batman";"0"</v>
      </c>
      <c r="U126" t="str">
        <f t="shared" si="11"/>
        <v>Tanja</v>
      </c>
      <c r="V126" t="str">
        <f t="shared" si="12"/>
        <v>Batman</v>
      </c>
      <c r="W126">
        <f t="shared" si="13"/>
        <v>0</v>
      </c>
    </row>
    <row r="127" spans="1:23" x14ac:dyDescent="0.2">
      <c r="A127" s="6" t="s">
        <v>19</v>
      </c>
      <c r="B127" s="6">
        <v>1982</v>
      </c>
      <c r="C127" s="6"/>
      <c r="D127" s="6" t="s">
        <v>67</v>
      </c>
      <c r="E127" s="6" t="s">
        <v>3</v>
      </c>
      <c r="F127" s="6">
        <v>0</v>
      </c>
      <c r="G127" s="6"/>
      <c r="H127" s="6">
        <v>0</v>
      </c>
      <c r="I127" s="6"/>
      <c r="J127" s="6"/>
      <c r="K127" s="6"/>
      <c r="L127" s="6" t="str">
        <f t="shared" si="7"/>
        <v>Tanja</v>
      </c>
      <c r="M127" s="6" t="str">
        <f t="shared" si="8"/>
        <v>Blade Runner (Ford, Hauer)</v>
      </c>
      <c r="N127" s="9">
        <f t="shared" si="9"/>
        <v>0</v>
      </c>
      <c r="P127" t="str">
        <f t="shared" si="10"/>
        <v>"Tanja";"Blade Runner";"0"</v>
      </c>
      <c r="U127" t="str">
        <f t="shared" si="11"/>
        <v>Tanja</v>
      </c>
      <c r="V127" t="str">
        <f t="shared" si="12"/>
        <v>Blade Runner</v>
      </c>
      <c r="W127">
        <f t="shared" si="13"/>
        <v>0</v>
      </c>
    </row>
    <row r="128" spans="1:23" x14ac:dyDescent="0.2">
      <c r="A128" s="6" t="s">
        <v>20</v>
      </c>
      <c r="B128" s="6">
        <v>2018</v>
      </c>
      <c r="C128" s="6"/>
      <c r="D128" s="6" t="s">
        <v>67</v>
      </c>
      <c r="E128" s="6" t="s">
        <v>3</v>
      </c>
      <c r="F128" s="6">
        <v>0</v>
      </c>
      <c r="G128" s="6"/>
      <c r="H128" s="6">
        <v>0</v>
      </c>
      <c r="I128" s="6"/>
      <c r="J128" s="6"/>
      <c r="K128" s="6"/>
      <c r="L128" s="6" t="str">
        <f t="shared" si="7"/>
        <v>Tanja</v>
      </c>
      <c r="M128" s="6" t="str">
        <f t="shared" si="8"/>
        <v>Bohemian Rhapsody (Malek, Boynton)</v>
      </c>
      <c r="N128" s="9">
        <f t="shared" si="9"/>
        <v>0</v>
      </c>
      <c r="P128" t="str">
        <f t="shared" si="10"/>
        <v>"Tanja";"Bohemian Rhapsody";"0"</v>
      </c>
      <c r="U128" t="str">
        <f t="shared" si="11"/>
        <v>Tanja</v>
      </c>
      <c r="V128" t="str">
        <f t="shared" si="12"/>
        <v>Bohemian Rhapsody</v>
      </c>
      <c r="W128">
        <f t="shared" si="13"/>
        <v>0</v>
      </c>
    </row>
    <row r="129" spans="1:23" x14ac:dyDescent="0.2">
      <c r="A129" s="6" t="s">
        <v>21</v>
      </c>
      <c r="B129" s="6">
        <v>2011</v>
      </c>
      <c r="C129" s="6"/>
      <c r="D129" s="6" t="s">
        <v>67</v>
      </c>
      <c r="E129" s="6" t="s">
        <v>3</v>
      </c>
      <c r="F129" s="6">
        <v>0</v>
      </c>
      <c r="G129" s="6"/>
      <c r="H129" s="6">
        <v>0</v>
      </c>
      <c r="I129" s="6"/>
      <c r="J129" s="6"/>
      <c r="K129" s="6"/>
      <c r="L129" s="6" t="str">
        <f t="shared" si="7"/>
        <v>Tanja</v>
      </c>
      <c r="M129" s="6" t="str">
        <f t="shared" si="8"/>
        <v>Captain America (Evans, Waeving)</v>
      </c>
      <c r="N129" s="9">
        <f t="shared" si="9"/>
        <v>0</v>
      </c>
      <c r="P129" t="str">
        <f t="shared" si="10"/>
        <v>"Tanja";"Captain America";"0"</v>
      </c>
      <c r="U129" t="str">
        <f t="shared" si="11"/>
        <v>Tanja</v>
      </c>
      <c r="V129" t="str">
        <f t="shared" si="12"/>
        <v>Captain America</v>
      </c>
      <c r="W129">
        <f t="shared" si="13"/>
        <v>0</v>
      </c>
    </row>
    <row r="130" spans="1:23" x14ac:dyDescent="0.2">
      <c r="A130" s="6" t="s">
        <v>22</v>
      </c>
      <c r="B130" s="6">
        <v>2000</v>
      </c>
      <c r="C130" s="6"/>
      <c r="D130" s="6" t="s">
        <v>67</v>
      </c>
      <c r="E130" s="6" t="s">
        <v>2</v>
      </c>
      <c r="F130" s="6">
        <v>1</v>
      </c>
      <c r="G130" s="6">
        <v>4</v>
      </c>
      <c r="H130" s="6">
        <v>4</v>
      </c>
      <c r="I130" s="6"/>
      <c r="J130" s="6"/>
      <c r="K130" s="6"/>
      <c r="L130" s="6" t="str">
        <f t="shared" si="7"/>
        <v>Tanja</v>
      </c>
      <c r="M130" s="6" t="str">
        <f t="shared" si="8"/>
        <v>Cast Away (Hanks, Hunt)</v>
      </c>
      <c r="N130" s="9">
        <f t="shared" si="9"/>
        <v>4</v>
      </c>
      <c r="P130" t="str">
        <f t="shared" si="10"/>
        <v>"Tanja";"Cast Away";"4"</v>
      </c>
      <c r="U130" t="str">
        <f t="shared" si="11"/>
        <v>Tanja</v>
      </c>
      <c r="V130" t="str">
        <f t="shared" si="12"/>
        <v>Cast Away</v>
      </c>
      <c r="W130">
        <f t="shared" si="13"/>
        <v>1</v>
      </c>
    </row>
    <row r="131" spans="1:23" x14ac:dyDescent="0.2">
      <c r="A131" s="6" t="s">
        <v>23</v>
      </c>
      <c r="B131" s="6">
        <v>1958</v>
      </c>
      <c r="C131" s="6"/>
      <c r="D131" s="6" t="s">
        <v>67</v>
      </c>
      <c r="E131" s="6" t="s">
        <v>3</v>
      </c>
      <c r="F131" s="6">
        <v>0</v>
      </c>
      <c r="G131" s="6"/>
      <c r="H131" s="6">
        <v>0</v>
      </c>
      <c r="I131" s="6"/>
      <c r="J131" s="6"/>
      <c r="K131" s="6"/>
      <c r="L131" s="6" t="str">
        <f t="shared" ref="L131:L194" si="14">D131</f>
        <v>Tanja</v>
      </c>
      <c r="M131" s="6" t="str">
        <f t="shared" ref="M131:M194" si="15">A131</f>
        <v>Cat On Hot Tin Roof (Taylor, Newman)</v>
      </c>
      <c r="N131" s="9">
        <f t="shared" ref="N131:N194" si="16">H131</f>
        <v>0</v>
      </c>
      <c r="P131" t="str">
        <f t="shared" ref="P131:P194" si="17">""""&amp;L131&amp;""";"""&amp;LEFT(M131,FIND("(",M131)-2)&amp;""";"""&amp;SUBSTITUTE(N131,",",".")&amp;""""</f>
        <v>"Tanja";"Cat On Hot Tin Roof";"0"</v>
      </c>
      <c r="U131" t="str">
        <f t="shared" ref="U131:U194" si="18">D131</f>
        <v>Tanja</v>
      </c>
      <c r="V131" t="str">
        <f t="shared" ref="V131:V194" si="19">LEFT(A131,FIND("(",A131)-2)</f>
        <v>Cat On Hot Tin Roof</v>
      </c>
      <c r="W131">
        <f t="shared" ref="W131:W194" si="20">F131</f>
        <v>0</v>
      </c>
    </row>
    <row r="132" spans="1:23" x14ac:dyDescent="0.2">
      <c r="A132" s="6" t="s">
        <v>24</v>
      </c>
      <c r="B132" s="6">
        <v>1963</v>
      </c>
      <c r="C132" s="6"/>
      <c r="D132" s="6" t="s">
        <v>67</v>
      </c>
      <c r="E132" s="6" t="s">
        <v>3</v>
      </c>
      <c r="F132" s="6">
        <v>0</v>
      </c>
      <c r="G132" s="6"/>
      <c r="H132" s="6">
        <v>0</v>
      </c>
      <c r="I132" s="6"/>
      <c r="J132" s="6"/>
      <c r="K132" s="6"/>
      <c r="L132" s="6" t="str">
        <f t="shared" si="14"/>
        <v>Tanja</v>
      </c>
      <c r="M132" s="6" t="str">
        <f t="shared" si="15"/>
        <v>Charade (Grant, Hepburn)</v>
      </c>
      <c r="N132" s="9">
        <f t="shared" si="16"/>
        <v>0</v>
      </c>
      <c r="P132" t="str">
        <f t="shared" si="17"/>
        <v>"Tanja";"Charade";"0"</v>
      </c>
      <c r="U132" t="str">
        <f t="shared" si="18"/>
        <v>Tanja</v>
      </c>
      <c r="V132" t="str">
        <f t="shared" si="19"/>
        <v>Charade</v>
      </c>
      <c r="W132">
        <f t="shared" si="20"/>
        <v>0</v>
      </c>
    </row>
    <row r="133" spans="1:23" x14ac:dyDescent="0.2">
      <c r="A133" s="6" t="s">
        <v>25</v>
      </c>
      <c r="B133" s="6">
        <v>2000</v>
      </c>
      <c r="C133" s="6"/>
      <c r="D133" s="6" t="s">
        <v>67</v>
      </c>
      <c r="E133" s="6" t="s">
        <v>3</v>
      </c>
      <c r="F133" s="6">
        <v>0</v>
      </c>
      <c r="G133" s="6"/>
      <c r="H133" s="6">
        <v>0</v>
      </c>
      <c r="I133" s="6"/>
      <c r="J133" s="6"/>
      <c r="K133" s="6"/>
      <c r="L133" s="6" t="str">
        <f t="shared" si="14"/>
        <v>Tanja</v>
      </c>
      <c r="M133" s="6" t="str">
        <f t="shared" si="15"/>
        <v>Charlies Angels (Diaz, Barrymore, Liu)</v>
      </c>
      <c r="N133" s="9">
        <f t="shared" si="16"/>
        <v>0</v>
      </c>
      <c r="P133" t="str">
        <f t="shared" si="17"/>
        <v>"Tanja";"Charlies Angels";"0"</v>
      </c>
      <c r="U133" t="str">
        <f t="shared" si="18"/>
        <v>Tanja</v>
      </c>
      <c r="V133" t="str">
        <f t="shared" si="19"/>
        <v>Charlies Angels</v>
      </c>
      <c r="W133">
        <f t="shared" si="20"/>
        <v>0</v>
      </c>
    </row>
    <row r="134" spans="1:23" x14ac:dyDescent="0.2">
      <c r="A134" s="6" t="s">
        <v>26</v>
      </c>
      <c r="B134" s="6">
        <v>1974</v>
      </c>
      <c r="C134" s="6"/>
      <c r="D134" s="6" t="s">
        <v>67</v>
      </c>
      <c r="E134" s="6" t="s">
        <v>3</v>
      </c>
      <c r="F134" s="6">
        <v>0</v>
      </c>
      <c r="G134" s="6"/>
      <c r="H134" s="6">
        <v>0</v>
      </c>
      <c r="I134" s="6"/>
      <c r="J134" s="6"/>
      <c r="K134" s="6"/>
      <c r="L134" s="6" t="str">
        <f t="shared" si="14"/>
        <v>Tanja</v>
      </c>
      <c r="M134" s="6" t="str">
        <f t="shared" si="15"/>
        <v>Chinatown (Nicholson, Dunaway)</v>
      </c>
      <c r="N134" s="9">
        <f t="shared" si="16"/>
        <v>0</v>
      </c>
      <c r="P134" t="str">
        <f t="shared" si="17"/>
        <v>"Tanja";"Chinatown";"0"</v>
      </c>
      <c r="U134" t="str">
        <f t="shared" si="18"/>
        <v>Tanja</v>
      </c>
      <c r="V134" t="str">
        <f t="shared" si="19"/>
        <v>Chinatown</v>
      </c>
      <c r="W134">
        <f t="shared" si="20"/>
        <v>0</v>
      </c>
    </row>
    <row r="135" spans="1:23" x14ac:dyDescent="0.2">
      <c r="A135" s="6" t="s">
        <v>27</v>
      </c>
      <c r="B135" s="6">
        <v>1986</v>
      </c>
      <c r="C135" s="6"/>
      <c r="D135" s="6" t="s">
        <v>67</v>
      </c>
      <c r="E135" s="6" t="s">
        <v>3</v>
      </c>
      <c r="F135" s="6">
        <v>0</v>
      </c>
      <c r="G135" s="6"/>
      <c r="H135" s="6">
        <v>0</v>
      </c>
      <c r="I135" s="6"/>
      <c r="J135" s="6"/>
      <c r="K135" s="6"/>
      <c r="L135" s="6" t="str">
        <f t="shared" si="14"/>
        <v>Tanja</v>
      </c>
      <c r="M135" s="6" t="str">
        <f t="shared" si="15"/>
        <v>Clockwise (Gleese, Leatherbarrow)</v>
      </c>
      <c r="N135" s="9">
        <f t="shared" si="16"/>
        <v>0</v>
      </c>
      <c r="P135" t="str">
        <f t="shared" si="17"/>
        <v>"Tanja";"Clockwise";"0"</v>
      </c>
      <c r="U135" t="str">
        <f t="shared" si="18"/>
        <v>Tanja</v>
      </c>
      <c r="V135" t="str">
        <f t="shared" si="19"/>
        <v>Clockwise</v>
      </c>
      <c r="W135">
        <f t="shared" si="20"/>
        <v>0</v>
      </c>
    </row>
    <row r="136" spans="1:23" x14ac:dyDescent="0.2">
      <c r="A136" s="6" t="s">
        <v>28</v>
      </c>
      <c r="B136" s="6">
        <v>2011</v>
      </c>
      <c r="C136" s="6"/>
      <c r="D136" s="6" t="s">
        <v>67</v>
      </c>
      <c r="E136" s="6" t="s">
        <v>3</v>
      </c>
      <c r="F136" s="6">
        <v>0</v>
      </c>
      <c r="G136" s="6"/>
      <c r="H136" s="6">
        <v>0</v>
      </c>
      <c r="I136" s="6"/>
      <c r="J136" s="6"/>
      <c r="K136" s="6"/>
      <c r="L136" s="6" t="str">
        <f t="shared" si="14"/>
        <v>Tanja</v>
      </c>
      <c r="M136" s="6" t="str">
        <f t="shared" si="15"/>
        <v>Colombiana (Saldana, Molla)</v>
      </c>
      <c r="N136" s="9">
        <f t="shared" si="16"/>
        <v>0</v>
      </c>
      <c r="P136" t="str">
        <f t="shared" si="17"/>
        <v>"Tanja";"Colombiana";"0"</v>
      </c>
      <c r="U136" t="str">
        <f t="shared" si="18"/>
        <v>Tanja</v>
      </c>
      <c r="V136" t="str">
        <f t="shared" si="19"/>
        <v>Colombiana</v>
      </c>
      <c r="W136">
        <f t="shared" si="20"/>
        <v>0</v>
      </c>
    </row>
    <row r="137" spans="1:23" x14ac:dyDescent="0.2">
      <c r="A137" s="6" t="s">
        <v>29</v>
      </c>
      <c r="B137" s="6">
        <v>1962</v>
      </c>
      <c r="C137" s="6"/>
      <c r="D137" s="6" t="s">
        <v>67</v>
      </c>
      <c r="E137" s="6" t="s">
        <v>3</v>
      </c>
      <c r="F137" s="6">
        <v>0</v>
      </c>
      <c r="G137" s="6"/>
      <c r="H137" s="6">
        <v>0</v>
      </c>
      <c r="I137" s="6"/>
      <c r="J137" s="6"/>
      <c r="K137" s="6"/>
      <c r="L137" s="6" t="str">
        <f t="shared" si="14"/>
        <v>Tanja</v>
      </c>
      <c r="M137" s="6" t="str">
        <f t="shared" si="15"/>
        <v>Doctor No (Connery, Andress)</v>
      </c>
      <c r="N137" s="9">
        <f t="shared" si="16"/>
        <v>0</v>
      </c>
      <c r="P137" t="str">
        <f t="shared" si="17"/>
        <v>"Tanja";"Doctor No";"0"</v>
      </c>
      <c r="U137" t="str">
        <f t="shared" si="18"/>
        <v>Tanja</v>
      </c>
      <c r="V137" t="str">
        <f t="shared" si="19"/>
        <v>Doctor No</v>
      </c>
      <c r="W137">
        <f t="shared" si="20"/>
        <v>0</v>
      </c>
    </row>
    <row r="138" spans="1:23" x14ac:dyDescent="0.2">
      <c r="A138" s="6" t="s">
        <v>30</v>
      </c>
      <c r="B138" s="6">
        <v>1965</v>
      </c>
      <c r="C138" s="6"/>
      <c r="D138" s="6" t="s">
        <v>67</v>
      </c>
      <c r="E138" s="6" t="s">
        <v>3</v>
      </c>
      <c r="F138" s="6">
        <v>0</v>
      </c>
      <c r="G138" s="6"/>
      <c r="H138" s="6">
        <v>0</v>
      </c>
      <c r="I138" s="6"/>
      <c r="J138" s="6"/>
      <c r="K138" s="6"/>
      <c r="L138" s="6" t="str">
        <f t="shared" si="14"/>
        <v>Tanja</v>
      </c>
      <c r="M138" s="6" t="str">
        <f t="shared" si="15"/>
        <v>Doctor Zhiwago (Sharif, Christie)</v>
      </c>
      <c r="N138" s="9">
        <f t="shared" si="16"/>
        <v>0</v>
      </c>
      <c r="P138" t="str">
        <f t="shared" si="17"/>
        <v>"Tanja";"Doctor Zhiwago";"0"</v>
      </c>
      <c r="U138" t="str">
        <f t="shared" si="18"/>
        <v>Tanja</v>
      </c>
      <c r="V138" t="str">
        <f t="shared" si="19"/>
        <v>Doctor Zhiwago</v>
      </c>
      <c r="W138">
        <f t="shared" si="20"/>
        <v>0</v>
      </c>
    </row>
    <row r="139" spans="1:23" x14ac:dyDescent="0.2">
      <c r="A139" s="6" t="s">
        <v>31</v>
      </c>
      <c r="B139" s="6">
        <v>1964</v>
      </c>
      <c r="C139" s="6"/>
      <c r="D139" s="6" t="s">
        <v>67</v>
      </c>
      <c r="E139" s="6" t="s">
        <v>3</v>
      </c>
      <c r="F139" s="6">
        <v>0</v>
      </c>
      <c r="G139" s="6"/>
      <c r="H139" s="6">
        <v>0</v>
      </c>
      <c r="I139" s="6"/>
      <c r="J139" s="6"/>
      <c r="K139" s="6"/>
      <c r="L139" s="6" t="str">
        <f t="shared" si="14"/>
        <v>Tanja</v>
      </c>
      <c r="M139" s="6" t="str">
        <f t="shared" si="15"/>
        <v>Dr. Strangelove… (Sellers, Scott)</v>
      </c>
      <c r="N139" s="9">
        <f t="shared" si="16"/>
        <v>0</v>
      </c>
      <c r="P139" t="str">
        <f t="shared" si="17"/>
        <v>"Tanja";"Dr. Strangelove…";"0"</v>
      </c>
      <c r="U139" t="str">
        <f t="shared" si="18"/>
        <v>Tanja</v>
      </c>
      <c r="V139" t="str">
        <f t="shared" si="19"/>
        <v>Dr. Strangelove…</v>
      </c>
      <c r="W139">
        <f t="shared" si="20"/>
        <v>0</v>
      </c>
    </row>
    <row r="140" spans="1:23" x14ac:dyDescent="0.2">
      <c r="A140" s="6" t="s">
        <v>32</v>
      </c>
      <c r="B140" s="6">
        <v>2000</v>
      </c>
      <c r="C140" s="6"/>
      <c r="D140" s="6" t="s">
        <v>67</v>
      </c>
      <c r="E140" s="6" t="s">
        <v>3</v>
      </c>
      <c r="F140" s="6">
        <v>0</v>
      </c>
      <c r="G140" s="6"/>
      <c r="H140" s="6">
        <v>0</v>
      </c>
      <c r="I140" s="6"/>
      <c r="J140" s="6"/>
      <c r="K140" s="6"/>
      <c r="L140" s="6" t="str">
        <f t="shared" si="14"/>
        <v>Tanja</v>
      </c>
      <c r="M140" s="6" t="str">
        <f t="shared" si="15"/>
        <v>Dr. T and the women (Gere, Hunt)</v>
      </c>
      <c r="N140" s="9">
        <f t="shared" si="16"/>
        <v>0</v>
      </c>
      <c r="P140" t="str">
        <f t="shared" si="17"/>
        <v>"Tanja";"Dr. T and the women";"0"</v>
      </c>
      <c r="U140" t="str">
        <f t="shared" si="18"/>
        <v>Tanja</v>
      </c>
      <c r="V140" t="str">
        <f t="shared" si="19"/>
        <v>Dr. T and the women</v>
      </c>
      <c r="W140">
        <f t="shared" si="20"/>
        <v>0</v>
      </c>
    </row>
    <row r="141" spans="1:23" x14ac:dyDescent="0.2">
      <c r="A141" s="6" t="s">
        <v>33</v>
      </c>
      <c r="B141" s="6">
        <v>1953</v>
      </c>
      <c r="C141" s="6"/>
      <c r="D141" s="6" t="s">
        <v>67</v>
      </c>
      <c r="E141" s="6" t="s">
        <v>3</v>
      </c>
      <c r="F141" s="6">
        <v>0</v>
      </c>
      <c r="G141" s="6"/>
      <c r="H141" s="6">
        <v>0</v>
      </c>
      <c r="I141" s="6"/>
      <c r="J141" s="6"/>
      <c r="K141" s="6"/>
      <c r="L141" s="6" t="str">
        <f t="shared" si="14"/>
        <v>Tanja</v>
      </c>
      <c r="M141" s="6" t="str">
        <f t="shared" si="15"/>
        <v>Gentlemen Prefer Blondes (Monroe, Russell)</v>
      </c>
      <c r="N141" s="9">
        <f t="shared" si="16"/>
        <v>0</v>
      </c>
      <c r="P141" t="str">
        <f t="shared" si="17"/>
        <v>"Tanja";"Gentlemen Prefer Blondes";"0"</v>
      </c>
      <c r="U141" t="str">
        <f t="shared" si="18"/>
        <v>Tanja</v>
      </c>
      <c r="V141" t="str">
        <f t="shared" si="19"/>
        <v>Gentlemen Prefer Blondes</v>
      </c>
      <c r="W141">
        <f t="shared" si="20"/>
        <v>0</v>
      </c>
    </row>
    <row r="142" spans="1:23" x14ac:dyDescent="0.2">
      <c r="A142" s="6" t="s">
        <v>34</v>
      </c>
      <c r="B142" s="6">
        <v>2014</v>
      </c>
      <c r="C142" s="6"/>
      <c r="D142" s="6" t="s">
        <v>67</v>
      </c>
      <c r="E142" s="6" t="s">
        <v>2</v>
      </c>
      <c r="F142" s="6">
        <v>1</v>
      </c>
      <c r="G142" s="6">
        <v>3</v>
      </c>
      <c r="H142" s="6">
        <v>3</v>
      </c>
      <c r="I142" s="6"/>
      <c r="J142" s="6"/>
      <c r="K142" s="6"/>
      <c r="L142" s="6" t="str">
        <f t="shared" si="14"/>
        <v>Tanja</v>
      </c>
      <c r="M142" s="6" t="str">
        <f t="shared" si="15"/>
        <v>Grand Budapest Hotel (Fiennes, Abraham)</v>
      </c>
      <c r="N142" s="9">
        <f t="shared" si="16"/>
        <v>3</v>
      </c>
      <c r="P142" t="str">
        <f t="shared" si="17"/>
        <v>"Tanja";"Grand Budapest Hotel";"3"</v>
      </c>
      <c r="U142" t="str">
        <f t="shared" si="18"/>
        <v>Tanja</v>
      </c>
      <c r="V142" t="str">
        <f t="shared" si="19"/>
        <v>Grand Budapest Hotel</v>
      </c>
      <c r="W142">
        <f t="shared" si="20"/>
        <v>1</v>
      </c>
    </row>
    <row r="143" spans="1:23" x14ac:dyDescent="0.2">
      <c r="A143" s="6" t="s">
        <v>35</v>
      </c>
      <c r="B143" s="6">
        <v>2001</v>
      </c>
      <c r="C143" s="6"/>
      <c r="D143" s="6" t="s">
        <v>67</v>
      </c>
      <c r="E143" s="6" t="s">
        <v>3</v>
      </c>
      <c r="F143" s="6">
        <v>0</v>
      </c>
      <c r="G143" s="6"/>
      <c r="H143" s="6">
        <v>0</v>
      </c>
      <c r="I143" s="6"/>
      <c r="J143" s="6"/>
      <c r="K143" s="6"/>
      <c r="L143" s="6" t="str">
        <f t="shared" si="14"/>
        <v>Tanja</v>
      </c>
      <c r="M143" s="6" t="str">
        <f t="shared" si="15"/>
        <v>Harry Potter and the Philosopher's Stone (Radcliff, Harris)</v>
      </c>
      <c r="N143" s="9">
        <f t="shared" si="16"/>
        <v>0</v>
      </c>
      <c r="P143" t="str">
        <f t="shared" si="17"/>
        <v>"Tanja";"Harry Potter and the Philosopher's Stone";"0"</v>
      </c>
      <c r="U143" t="str">
        <f t="shared" si="18"/>
        <v>Tanja</v>
      </c>
      <c r="V143" t="str">
        <f t="shared" si="19"/>
        <v>Harry Potter and the Philosopher's Stone</v>
      </c>
      <c r="W143">
        <f t="shared" si="20"/>
        <v>0</v>
      </c>
    </row>
    <row r="144" spans="1:23" x14ac:dyDescent="0.2">
      <c r="A144" s="6" t="s">
        <v>36</v>
      </c>
      <c r="B144" s="6">
        <v>1950</v>
      </c>
      <c r="C144" s="6"/>
      <c r="D144" s="6" t="s">
        <v>67</v>
      </c>
      <c r="E144" s="6" t="s">
        <v>3</v>
      </c>
      <c r="F144" s="6">
        <v>0</v>
      </c>
      <c r="G144" s="6"/>
      <c r="H144" s="6">
        <v>0</v>
      </c>
      <c r="I144" s="6"/>
      <c r="J144" s="6"/>
      <c r="K144" s="6"/>
      <c r="L144" s="6" t="str">
        <f t="shared" si="14"/>
        <v>Tanja</v>
      </c>
      <c r="M144" s="6" t="str">
        <f t="shared" si="15"/>
        <v>Harvey (Stewart, Hull)</v>
      </c>
      <c r="N144" s="9">
        <f t="shared" si="16"/>
        <v>0</v>
      </c>
      <c r="P144" t="str">
        <f t="shared" si="17"/>
        <v>"Tanja";"Harvey";"0"</v>
      </c>
      <c r="U144" t="str">
        <f t="shared" si="18"/>
        <v>Tanja</v>
      </c>
      <c r="V144" t="str">
        <f t="shared" si="19"/>
        <v>Harvey</v>
      </c>
      <c r="W144">
        <f t="shared" si="20"/>
        <v>0</v>
      </c>
    </row>
    <row r="145" spans="1:23" x14ac:dyDescent="0.2">
      <c r="A145" s="6" t="s">
        <v>37</v>
      </c>
      <c r="B145" s="6">
        <v>1962</v>
      </c>
      <c r="C145" s="6"/>
      <c r="D145" s="6" t="s">
        <v>67</v>
      </c>
      <c r="E145" s="6" t="s">
        <v>3</v>
      </c>
      <c r="F145" s="6">
        <v>0</v>
      </c>
      <c r="G145" s="6"/>
      <c r="H145" s="6">
        <v>0</v>
      </c>
      <c r="I145" s="6"/>
      <c r="J145" s="6"/>
      <c r="K145" s="6"/>
      <c r="L145" s="6" t="str">
        <f t="shared" si="14"/>
        <v>Tanja</v>
      </c>
      <c r="M145" s="6" t="str">
        <f t="shared" si="15"/>
        <v>Hatari! (Wayne, Martinelli)</v>
      </c>
      <c r="N145" s="9">
        <f t="shared" si="16"/>
        <v>0</v>
      </c>
      <c r="P145" t="str">
        <f t="shared" si="17"/>
        <v>"Tanja";"Hatari!";"0"</v>
      </c>
      <c r="U145" t="str">
        <f t="shared" si="18"/>
        <v>Tanja</v>
      </c>
      <c r="V145" t="str">
        <f t="shared" si="19"/>
        <v>Hatari!</v>
      </c>
      <c r="W145">
        <f t="shared" si="20"/>
        <v>0</v>
      </c>
    </row>
    <row r="146" spans="1:23" x14ac:dyDescent="0.2">
      <c r="A146" s="6" t="s">
        <v>38</v>
      </c>
      <c r="B146" s="6">
        <v>1990</v>
      </c>
      <c r="C146" s="6"/>
      <c r="D146" s="6" t="s">
        <v>67</v>
      </c>
      <c r="E146" s="6" t="s">
        <v>3</v>
      </c>
      <c r="F146" s="6">
        <v>0</v>
      </c>
      <c r="G146" s="6"/>
      <c r="H146" s="6">
        <v>0</v>
      </c>
      <c r="I146" s="6"/>
      <c r="J146" s="6"/>
      <c r="K146" s="6"/>
      <c r="L146" s="6" t="str">
        <f t="shared" si="14"/>
        <v>Tanja</v>
      </c>
      <c r="M146" s="6" t="str">
        <f t="shared" si="15"/>
        <v>Home alone (Culkin, Pesci)</v>
      </c>
      <c r="N146" s="9">
        <f t="shared" si="16"/>
        <v>0</v>
      </c>
      <c r="P146" t="str">
        <f t="shared" si="17"/>
        <v>"Tanja";"Home alone";"0"</v>
      </c>
      <c r="U146" t="str">
        <f t="shared" si="18"/>
        <v>Tanja</v>
      </c>
      <c r="V146" t="str">
        <f t="shared" si="19"/>
        <v>Home alone</v>
      </c>
      <c r="W146">
        <f t="shared" si="20"/>
        <v>0</v>
      </c>
    </row>
    <row r="147" spans="1:23" x14ac:dyDescent="0.2">
      <c r="A147" s="6" t="s">
        <v>39</v>
      </c>
      <c r="B147" s="6">
        <v>2004</v>
      </c>
      <c r="C147" s="6"/>
      <c r="D147" s="6" t="s">
        <v>67</v>
      </c>
      <c r="E147" s="6" t="s">
        <v>2</v>
      </c>
      <c r="F147" s="6">
        <v>1</v>
      </c>
      <c r="G147" s="6">
        <v>2</v>
      </c>
      <c r="H147" s="6">
        <v>2</v>
      </c>
      <c r="I147" s="6"/>
      <c r="J147" s="6"/>
      <c r="K147" s="6"/>
      <c r="L147" s="6" t="str">
        <f t="shared" si="14"/>
        <v>Tanja</v>
      </c>
      <c r="M147" s="6" t="str">
        <f t="shared" si="15"/>
        <v>I, Robot (Smith, Moynahan)</v>
      </c>
      <c r="N147" s="9">
        <f t="shared" si="16"/>
        <v>2</v>
      </c>
      <c r="P147" t="str">
        <f t="shared" si="17"/>
        <v>"Tanja";"I, Robot";"2"</v>
      </c>
      <c r="U147" t="str">
        <f t="shared" si="18"/>
        <v>Tanja</v>
      </c>
      <c r="V147" t="str">
        <f t="shared" si="19"/>
        <v>I, Robot</v>
      </c>
      <c r="W147">
        <f t="shared" si="20"/>
        <v>1</v>
      </c>
    </row>
    <row r="148" spans="1:23" x14ac:dyDescent="0.2">
      <c r="A148" s="6" t="s">
        <v>40</v>
      </c>
      <c r="B148" s="6">
        <v>1967</v>
      </c>
      <c r="C148" s="6"/>
      <c r="D148" s="6" t="s">
        <v>67</v>
      </c>
      <c r="E148" s="6" t="s">
        <v>3</v>
      </c>
      <c r="F148" s="6">
        <v>0</v>
      </c>
      <c r="G148" s="6"/>
      <c r="H148" s="6">
        <v>0</v>
      </c>
      <c r="I148" s="6"/>
      <c r="J148" s="6"/>
      <c r="K148" s="6"/>
      <c r="L148" s="6" t="str">
        <f t="shared" si="14"/>
        <v>Tanja</v>
      </c>
      <c r="M148" s="6" t="str">
        <f t="shared" si="15"/>
        <v>In The Heat Of The Night (Poitier, Steiger)</v>
      </c>
      <c r="N148" s="9">
        <f t="shared" si="16"/>
        <v>0</v>
      </c>
      <c r="P148" t="str">
        <f t="shared" si="17"/>
        <v>"Tanja";"In The Heat Of The Night";"0"</v>
      </c>
      <c r="U148" t="str">
        <f t="shared" si="18"/>
        <v>Tanja</v>
      </c>
      <c r="V148" t="str">
        <f t="shared" si="19"/>
        <v>In The Heat Of The Night</v>
      </c>
      <c r="W148">
        <f t="shared" si="20"/>
        <v>0</v>
      </c>
    </row>
    <row r="149" spans="1:23" x14ac:dyDescent="0.2">
      <c r="A149" s="6" t="s">
        <v>41</v>
      </c>
      <c r="B149" s="6">
        <v>2014</v>
      </c>
      <c r="C149" s="6"/>
      <c r="D149" s="6" t="s">
        <v>67</v>
      </c>
      <c r="E149" s="6" t="s">
        <v>3</v>
      </c>
      <c r="F149" s="6">
        <v>0</v>
      </c>
      <c r="G149" s="6"/>
      <c r="H149" s="6">
        <v>0</v>
      </c>
      <c r="I149" s="6"/>
      <c r="J149" s="6"/>
      <c r="K149" s="6"/>
      <c r="L149" s="6" t="str">
        <f t="shared" si="14"/>
        <v>Tanja</v>
      </c>
      <c r="M149" s="6" t="str">
        <f t="shared" si="15"/>
        <v>Jack Ryan: Shadow Recruite (Pine, Costner)</v>
      </c>
      <c r="N149" s="9">
        <f t="shared" si="16"/>
        <v>0</v>
      </c>
      <c r="P149" t="str">
        <f t="shared" si="17"/>
        <v>"Tanja";"Jack Ryan: Shadow Recruite";"0"</v>
      </c>
      <c r="U149" t="str">
        <f t="shared" si="18"/>
        <v>Tanja</v>
      </c>
      <c r="V149" t="str">
        <f t="shared" si="19"/>
        <v>Jack Ryan: Shadow Recruite</v>
      </c>
      <c r="W149">
        <f t="shared" si="20"/>
        <v>0</v>
      </c>
    </row>
    <row r="150" spans="1:23" x14ac:dyDescent="0.2">
      <c r="A150" s="6" t="s">
        <v>42</v>
      </c>
      <c r="B150" s="6">
        <v>1995</v>
      </c>
      <c r="C150" s="6"/>
      <c r="D150" s="6" t="s">
        <v>67</v>
      </c>
      <c r="E150" s="6" t="s">
        <v>3</v>
      </c>
      <c r="F150" s="6">
        <v>0</v>
      </c>
      <c r="G150" s="6"/>
      <c r="H150" s="6">
        <v>0</v>
      </c>
      <c r="I150" s="6"/>
      <c r="J150" s="6"/>
      <c r="K150" s="6"/>
      <c r="L150" s="6" t="str">
        <f t="shared" si="14"/>
        <v>Tanja</v>
      </c>
      <c r="M150" s="6" t="str">
        <f t="shared" si="15"/>
        <v>Jumanji (Williams, Dunst)</v>
      </c>
      <c r="N150" s="9">
        <f t="shared" si="16"/>
        <v>0</v>
      </c>
      <c r="P150" t="str">
        <f t="shared" si="17"/>
        <v>"Tanja";"Jumanji";"0"</v>
      </c>
      <c r="U150" t="str">
        <f t="shared" si="18"/>
        <v>Tanja</v>
      </c>
      <c r="V150" t="str">
        <f t="shared" si="19"/>
        <v>Jumanji</v>
      </c>
      <c r="W150">
        <f t="shared" si="20"/>
        <v>0</v>
      </c>
    </row>
    <row r="151" spans="1:23" x14ac:dyDescent="0.2">
      <c r="A151" s="6" t="s">
        <v>43</v>
      </c>
      <c r="B151" s="6">
        <v>2005</v>
      </c>
      <c r="C151" s="6"/>
      <c r="D151" s="6" t="s">
        <v>67</v>
      </c>
      <c r="E151" s="6" t="s">
        <v>3</v>
      </c>
      <c r="F151" s="6">
        <v>0</v>
      </c>
      <c r="G151" s="6"/>
      <c r="H151" s="6">
        <v>0</v>
      </c>
      <c r="I151" s="6"/>
      <c r="J151" s="6"/>
      <c r="K151" s="6"/>
      <c r="L151" s="6" t="str">
        <f t="shared" si="14"/>
        <v>Tanja</v>
      </c>
      <c r="M151" s="6" t="str">
        <f t="shared" si="15"/>
        <v>King Kong (Watts, Black)</v>
      </c>
      <c r="N151" s="9">
        <f t="shared" si="16"/>
        <v>0</v>
      </c>
      <c r="P151" t="str">
        <f t="shared" si="17"/>
        <v>"Tanja";"King Kong";"0"</v>
      </c>
      <c r="U151" t="str">
        <f t="shared" si="18"/>
        <v>Tanja</v>
      </c>
      <c r="V151" t="str">
        <f t="shared" si="19"/>
        <v>King Kong</v>
      </c>
      <c r="W151">
        <f t="shared" si="20"/>
        <v>0</v>
      </c>
    </row>
    <row r="152" spans="1:23" x14ac:dyDescent="0.2">
      <c r="A152" s="6" t="s">
        <v>44</v>
      </c>
      <c r="B152" s="6">
        <v>2016</v>
      </c>
      <c r="C152" s="6"/>
      <c r="D152" s="6" t="s">
        <v>67</v>
      </c>
      <c r="E152" s="6" t="s">
        <v>3</v>
      </c>
      <c r="F152" s="6">
        <v>0</v>
      </c>
      <c r="G152" s="6"/>
      <c r="H152" s="6">
        <v>0</v>
      </c>
      <c r="I152" s="6"/>
      <c r="J152" s="6"/>
      <c r="K152" s="6"/>
      <c r="L152" s="6" t="str">
        <f t="shared" si="14"/>
        <v>Tanja</v>
      </c>
      <c r="M152" s="6" t="str">
        <f t="shared" si="15"/>
        <v>La La Land (Gosling, Stone)</v>
      </c>
      <c r="N152" s="9">
        <f t="shared" si="16"/>
        <v>0</v>
      </c>
      <c r="P152" t="str">
        <f t="shared" si="17"/>
        <v>"Tanja";"La La Land";"0"</v>
      </c>
      <c r="U152" t="str">
        <f t="shared" si="18"/>
        <v>Tanja</v>
      </c>
      <c r="V152" t="str">
        <f t="shared" si="19"/>
        <v>La La Land</v>
      </c>
      <c r="W152">
        <f t="shared" si="20"/>
        <v>0</v>
      </c>
    </row>
    <row r="153" spans="1:23" x14ac:dyDescent="0.2">
      <c r="A153" s="6" t="s">
        <v>45</v>
      </c>
      <c r="B153" s="6">
        <v>2001</v>
      </c>
      <c r="C153" s="6"/>
      <c r="D153" s="6" t="s">
        <v>67</v>
      </c>
      <c r="E153" s="6" t="s">
        <v>3</v>
      </c>
      <c r="F153" s="6">
        <v>0</v>
      </c>
      <c r="G153" s="6"/>
      <c r="H153" s="6">
        <v>0</v>
      </c>
      <c r="I153" s="6"/>
      <c r="J153" s="6"/>
      <c r="K153" s="6"/>
      <c r="L153" s="6" t="str">
        <f t="shared" si="14"/>
        <v>Tanja</v>
      </c>
      <c r="M153" s="6" t="str">
        <f t="shared" si="15"/>
        <v>Lord of the Rings (Woods, McKellen)</v>
      </c>
      <c r="N153" s="9">
        <f t="shared" si="16"/>
        <v>0</v>
      </c>
      <c r="P153" t="str">
        <f t="shared" si="17"/>
        <v>"Tanja";"Lord of the Rings";"0"</v>
      </c>
      <c r="U153" t="str">
        <f t="shared" si="18"/>
        <v>Tanja</v>
      </c>
      <c r="V153" t="str">
        <f t="shared" si="19"/>
        <v>Lord of the Rings</v>
      </c>
      <c r="W153">
        <f t="shared" si="20"/>
        <v>0</v>
      </c>
    </row>
    <row r="154" spans="1:23" x14ac:dyDescent="0.2">
      <c r="A154" s="6" t="s">
        <v>46</v>
      </c>
      <c r="B154" s="6">
        <v>1964</v>
      </c>
      <c r="C154" s="6"/>
      <c r="D154" s="6" t="s">
        <v>67</v>
      </c>
      <c r="E154" s="6" t="s">
        <v>3</v>
      </c>
      <c r="F154" s="6">
        <v>0</v>
      </c>
      <c r="G154" s="6"/>
      <c r="H154" s="6">
        <v>0</v>
      </c>
      <c r="I154" s="6"/>
      <c r="J154" s="6"/>
      <c r="K154" s="6"/>
      <c r="L154" s="6" t="str">
        <f t="shared" si="14"/>
        <v>Tanja</v>
      </c>
      <c r="M154" s="6" t="str">
        <f t="shared" si="15"/>
        <v>Per Un Pugno Di Dollari (Eastwood, Koch)</v>
      </c>
      <c r="N154" s="9">
        <f t="shared" si="16"/>
        <v>0</v>
      </c>
      <c r="P154" t="str">
        <f t="shared" si="17"/>
        <v>"Tanja";"Per Un Pugno Di Dollari";"0"</v>
      </c>
      <c r="U154" t="str">
        <f t="shared" si="18"/>
        <v>Tanja</v>
      </c>
      <c r="V154" t="str">
        <f t="shared" si="19"/>
        <v>Per Un Pugno Di Dollari</v>
      </c>
      <c r="W154">
        <f t="shared" si="20"/>
        <v>0</v>
      </c>
    </row>
    <row r="155" spans="1:23" x14ac:dyDescent="0.2">
      <c r="A155" s="6" t="s">
        <v>47</v>
      </c>
      <c r="B155" s="6">
        <v>1954</v>
      </c>
      <c r="C155" s="6"/>
      <c r="D155" s="6" t="s">
        <v>67</v>
      </c>
      <c r="E155" s="6" t="s">
        <v>3</v>
      </c>
      <c r="F155" s="6">
        <v>0</v>
      </c>
      <c r="G155" s="6"/>
      <c r="H155" s="6">
        <v>0</v>
      </c>
      <c r="I155" s="6"/>
      <c r="J155" s="6"/>
      <c r="K155" s="6"/>
      <c r="L155" s="6" t="str">
        <f t="shared" si="14"/>
        <v>Tanja</v>
      </c>
      <c r="M155" s="6" t="str">
        <f t="shared" si="15"/>
        <v>Rear Window (Stewart, Kelly)</v>
      </c>
      <c r="N155" s="9">
        <f t="shared" si="16"/>
        <v>0</v>
      </c>
      <c r="P155" t="str">
        <f t="shared" si="17"/>
        <v>"Tanja";"Rear Window";"0"</v>
      </c>
      <c r="U155" t="str">
        <f t="shared" si="18"/>
        <v>Tanja</v>
      </c>
      <c r="V155" t="str">
        <f t="shared" si="19"/>
        <v>Rear Window</v>
      </c>
      <c r="W155">
        <f t="shared" si="20"/>
        <v>0</v>
      </c>
    </row>
    <row r="156" spans="1:23" x14ac:dyDescent="0.2">
      <c r="A156" s="6" t="s">
        <v>48</v>
      </c>
      <c r="B156" s="6">
        <v>1955</v>
      </c>
      <c r="C156" s="6"/>
      <c r="D156" s="6" t="s">
        <v>67</v>
      </c>
      <c r="E156" s="6" t="s">
        <v>3</v>
      </c>
      <c r="F156" s="6">
        <v>0</v>
      </c>
      <c r="G156" s="6"/>
      <c r="H156" s="6">
        <v>0</v>
      </c>
      <c r="I156" s="6"/>
      <c r="J156" s="6"/>
      <c r="K156" s="6"/>
      <c r="L156" s="6" t="str">
        <f t="shared" si="14"/>
        <v>Tanja</v>
      </c>
      <c r="M156" s="6" t="str">
        <f t="shared" si="15"/>
        <v>Rebel Without A Cause (Dean, Wood)</v>
      </c>
      <c r="N156" s="9">
        <f t="shared" si="16"/>
        <v>0</v>
      </c>
      <c r="P156" t="str">
        <f t="shared" si="17"/>
        <v>"Tanja";"Rebel Without A Cause";"0"</v>
      </c>
      <c r="U156" t="str">
        <f t="shared" si="18"/>
        <v>Tanja</v>
      </c>
      <c r="V156" t="str">
        <f t="shared" si="19"/>
        <v>Rebel Without A Cause</v>
      </c>
      <c r="W156">
        <f t="shared" si="20"/>
        <v>0</v>
      </c>
    </row>
    <row r="157" spans="1:23" x14ac:dyDescent="0.2">
      <c r="A157" s="6" t="s">
        <v>66</v>
      </c>
      <c r="B157" s="6">
        <v>2005</v>
      </c>
      <c r="C157" s="6"/>
      <c r="D157" s="6" t="s">
        <v>67</v>
      </c>
      <c r="E157" s="6" t="s">
        <v>3</v>
      </c>
      <c r="F157" s="6">
        <v>0</v>
      </c>
      <c r="G157" s="6"/>
      <c r="H157" s="6">
        <v>0</v>
      </c>
      <c r="I157" s="6"/>
      <c r="J157" s="6"/>
      <c r="K157" s="6"/>
      <c r="L157" s="6" t="str">
        <f t="shared" si="14"/>
        <v>Tanja</v>
      </c>
      <c r="M157" s="6" t="str">
        <f t="shared" si="15"/>
        <v>Rumor has it (Aniston, Costner)</v>
      </c>
      <c r="N157" s="9">
        <f t="shared" si="16"/>
        <v>0</v>
      </c>
      <c r="P157" t="str">
        <f t="shared" si="17"/>
        <v>"Tanja";"Rumor has it";"0"</v>
      </c>
      <c r="U157" t="str">
        <f t="shared" si="18"/>
        <v>Tanja</v>
      </c>
      <c r="V157" t="str">
        <f t="shared" si="19"/>
        <v>Rumor has it</v>
      </c>
      <c r="W157">
        <f t="shared" si="20"/>
        <v>0</v>
      </c>
    </row>
    <row r="158" spans="1:23" x14ac:dyDescent="0.2">
      <c r="A158" s="6" t="s">
        <v>49</v>
      </c>
      <c r="B158" s="6">
        <v>1998</v>
      </c>
      <c r="C158" s="6"/>
      <c r="D158" s="6" t="s">
        <v>67</v>
      </c>
      <c r="E158" s="6" t="s">
        <v>3</v>
      </c>
      <c r="F158" s="6">
        <v>0</v>
      </c>
      <c r="G158" s="6"/>
      <c r="H158" s="6">
        <v>0</v>
      </c>
      <c r="I158" s="6"/>
      <c r="J158" s="6"/>
      <c r="K158" s="6"/>
      <c r="L158" s="6" t="str">
        <f t="shared" si="14"/>
        <v>Tanja</v>
      </c>
      <c r="M158" s="6" t="str">
        <f t="shared" si="15"/>
        <v>Saving private Ryan (Hanks, Damon)</v>
      </c>
      <c r="N158" s="9">
        <f t="shared" si="16"/>
        <v>0</v>
      </c>
      <c r="P158" t="str">
        <f t="shared" si="17"/>
        <v>"Tanja";"Saving private Ryan";"0"</v>
      </c>
      <c r="U158" t="str">
        <f t="shared" si="18"/>
        <v>Tanja</v>
      </c>
      <c r="V158" t="str">
        <f t="shared" si="19"/>
        <v>Saving private Ryan</v>
      </c>
      <c r="W158">
        <f t="shared" si="20"/>
        <v>0</v>
      </c>
    </row>
    <row r="159" spans="1:23" x14ac:dyDescent="0.2">
      <c r="A159" s="6" t="s">
        <v>50</v>
      </c>
      <c r="B159" s="6">
        <v>1993</v>
      </c>
      <c r="C159" s="6"/>
      <c r="D159" s="6" t="s">
        <v>67</v>
      </c>
      <c r="E159" s="6" t="s">
        <v>2</v>
      </c>
      <c r="F159" s="6">
        <v>1</v>
      </c>
      <c r="G159" s="6">
        <v>3</v>
      </c>
      <c r="H159" s="6">
        <v>3</v>
      </c>
      <c r="I159" s="6"/>
      <c r="J159" s="6"/>
      <c r="K159" s="6"/>
      <c r="L159" s="6" t="str">
        <f t="shared" si="14"/>
        <v>Tanja</v>
      </c>
      <c r="M159" s="6" t="str">
        <f t="shared" si="15"/>
        <v>Schindlers List (Neeson, Fiennes)</v>
      </c>
      <c r="N159" s="9">
        <f t="shared" si="16"/>
        <v>3</v>
      </c>
      <c r="P159" t="str">
        <f t="shared" si="17"/>
        <v>"Tanja";"Schindlers List";"3"</v>
      </c>
      <c r="U159" t="str">
        <f t="shared" si="18"/>
        <v>Tanja</v>
      </c>
      <c r="V159" t="str">
        <f t="shared" si="19"/>
        <v>Schindlers List</v>
      </c>
      <c r="W159">
        <f t="shared" si="20"/>
        <v>1</v>
      </c>
    </row>
    <row r="160" spans="1:23" x14ac:dyDescent="0.2">
      <c r="A160" s="6" t="s">
        <v>51</v>
      </c>
      <c r="B160" s="6">
        <v>1996</v>
      </c>
      <c r="C160" s="6"/>
      <c r="D160" s="6" t="s">
        <v>67</v>
      </c>
      <c r="E160" s="6" t="s">
        <v>3</v>
      </c>
      <c r="F160" s="6">
        <v>0</v>
      </c>
      <c r="G160" s="6"/>
      <c r="H160" s="6">
        <v>0</v>
      </c>
      <c r="I160" s="6"/>
      <c r="J160" s="6"/>
      <c r="K160" s="6"/>
      <c r="L160" s="6" t="str">
        <f t="shared" si="14"/>
        <v>Tanja</v>
      </c>
      <c r="M160" s="6" t="str">
        <f t="shared" si="15"/>
        <v>Scream (Arquette, Campell)</v>
      </c>
      <c r="N160" s="9">
        <f t="shared" si="16"/>
        <v>0</v>
      </c>
      <c r="P160" t="str">
        <f t="shared" si="17"/>
        <v>"Tanja";"Scream";"0"</v>
      </c>
      <c r="U160" t="str">
        <f t="shared" si="18"/>
        <v>Tanja</v>
      </c>
      <c r="V160" t="str">
        <f t="shared" si="19"/>
        <v>Scream</v>
      </c>
      <c r="W160">
        <f t="shared" si="20"/>
        <v>0</v>
      </c>
    </row>
    <row r="161" spans="1:23" x14ac:dyDescent="0.2">
      <c r="A161" s="6" t="s">
        <v>52</v>
      </c>
      <c r="B161" s="6">
        <v>1977</v>
      </c>
      <c r="C161" s="6"/>
      <c r="D161" s="6" t="s">
        <v>67</v>
      </c>
      <c r="E161" s="6" t="s">
        <v>3</v>
      </c>
      <c r="F161" s="6">
        <v>0</v>
      </c>
      <c r="G161" s="6"/>
      <c r="H161" s="6">
        <v>0</v>
      </c>
      <c r="I161" s="6"/>
      <c r="J161" s="6"/>
      <c r="K161" s="6"/>
      <c r="L161" s="6" t="str">
        <f t="shared" si="14"/>
        <v>Tanja</v>
      </c>
      <c r="M161" s="6" t="str">
        <f t="shared" si="15"/>
        <v>Star Wars IV: A new hope (Hamill, Ford)</v>
      </c>
      <c r="N161" s="9">
        <f t="shared" si="16"/>
        <v>0</v>
      </c>
      <c r="P161" t="str">
        <f t="shared" si="17"/>
        <v>"Tanja";"Star Wars IV: A new hope";"0"</v>
      </c>
      <c r="U161" t="str">
        <f t="shared" si="18"/>
        <v>Tanja</v>
      </c>
      <c r="V161" t="str">
        <f t="shared" si="19"/>
        <v>Star Wars IV: A new hope</v>
      </c>
      <c r="W161">
        <f t="shared" si="20"/>
        <v>0</v>
      </c>
    </row>
    <row r="162" spans="1:23" x14ac:dyDescent="0.2">
      <c r="A162" s="6" t="s">
        <v>53</v>
      </c>
      <c r="B162" s="6">
        <v>2016</v>
      </c>
      <c r="C162" s="6"/>
      <c r="D162" s="6" t="s">
        <v>67</v>
      </c>
      <c r="E162" s="6" t="s">
        <v>3</v>
      </c>
      <c r="F162" s="6">
        <v>0</v>
      </c>
      <c r="G162" s="6"/>
      <c r="H162" s="6">
        <v>0</v>
      </c>
      <c r="I162" s="6"/>
      <c r="J162" s="6"/>
      <c r="K162" s="6"/>
      <c r="L162" s="6" t="str">
        <f t="shared" si="14"/>
        <v>Tanja</v>
      </c>
      <c r="M162" s="6" t="str">
        <f t="shared" si="15"/>
        <v>Suicide Squad (Smith, Robbie)</v>
      </c>
      <c r="N162" s="9">
        <f t="shared" si="16"/>
        <v>0</v>
      </c>
      <c r="P162" t="str">
        <f t="shared" si="17"/>
        <v>"Tanja";"Suicide Squad";"0"</v>
      </c>
      <c r="U162" t="str">
        <f t="shared" si="18"/>
        <v>Tanja</v>
      </c>
      <c r="V162" t="str">
        <f t="shared" si="19"/>
        <v>Suicide Squad</v>
      </c>
      <c r="W162">
        <f t="shared" si="20"/>
        <v>0</v>
      </c>
    </row>
    <row r="163" spans="1:23" x14ac:dyDescent="0.2">
      <c r="A163" s="6" t="s">
        <v>54</v>
      </c>
      <c r="B163" s="6">
        <v>2010</v>
      </c>
      <c r="C163" s="6"/>
      <c r="D163" s="6" t="s">
        <v>67</v>
      </c>
      <c r="E163" s="6" t="s">
        <v>3</v>
      </c>
      <c r="F163" s="6">
        <v>0</v>
      </c>
      <c r="G163" s="6"/>
      <c r="H163" s="6">
        <v>0</v>
      </c>
      <c r="I163" s="6"/>
      <c r="J163" s="6"/>
      <c r="K163" s="6"/>
      <c r="L163" s="6" t="str">
        <f t="shared" si="14"/>
        <v>Tanja</v>
      </c>
      <c r="M163" s="6" t="str">
        <f t="shared" si="15"/>
        <v>Tangled (Disney)</v>
      </c>
      <c r="N163" s="9">
        <f t="shared" si="16"/>
        <v>0</v>
      </c>
      <c r="P163" t="str">
        <f t="shared" si="17"/>
        <v>"Tanja";"Tangled";"0"</v>
      </c>
      <c r="U163" t="str">
        <f t="shared" si="18"/>
        <v>Tanja</v>
      </c>
      <c r="V163" t="str">
        <f t="shared" si="19"/>
        <v>Tangled</v>
      </c>
      <c r="W163">
        <f t="shared" si="20"/>
        <v>0</v>
      </c>
    </row>
    <row r="164" spans="1:23" x14ac:dyDescent="0.2">
      <c r="A164" s="6" t="s">
        <v>55</v>
      </c>
      <c r="B164" s="6">
        <v>2012</v>
      </c>
      <c r="C164" s="6"/>
      <c r="D164" s="6" t="s">
        <v>67</v>
      </c>
      <c r="E164" s="6" t="s">
        <v>2</v>
      </c>
      <c r="F164" s="6">
        <v>1</v>
      </c>
      <c r="G164" s="6">
        <v>2</v>
      </c>
      <c r="H164" s="6">
        <v>2</v>
      </c>
      <c r="I164" s="6"/>
      <c r="J164" s="6"/>
      <c r="K164" s="6"/>
      <c r="L164" s="6" t="str">
        <f t="shared" si="14"/>
        <v>Tanja</v>
      </c>
      <c r="M164" s="6" t="str">
        <f t="shared" si="15"/>
        <v>The Avengers (Downey Jr. Evans)</v>
      </c>
      <c r="N164" s="9">
        <f t="shared" si="16"/>
        <v>2</v>
      </c>
      <c r="P164" t="str">
        <f t="shared" si="17"/>
        <v>"Tanja";"The Avengers";"2"</v>
      </c>
      <c r="U164" t="str">
        <f t="shared" si="18"/>
        <v>Tanja</v>
      </c>
      <c r="V164" t="str">
        <f t="shared" si="19"/>
        <v>The Avengers</v>
      </c>
      <c r="W164">
        <f t="shared" si="20"/>
        <v>1</v>
      </c>
    </row>
    <row r="165" spans="1:23" x14ac:dyDescent="0.2">
      <c r="A165" s="6" t="s">
        <v>56</v>
      </c>
      <c r="B165" s="6">
        <v>1973</v>
      </c>
      <c r="C165" s="6"/>
      <c r="D165" s="6" t="s">
        <v>67</v>
      </c>
      <c r="E165" s="6" t="s">
        <v>3</v>
      </c>
      <c r="F165" s="6">
        <v>0</v>
      </c>
      <c r="G165" s="6"/>
      <c r="H165" s="6">
        <v>0</v>
      </c>
      <c r="I165" s="6"/>
      <c r="J165" s="6"/>
      <c r="K165" s="6"/>
      <c r="L165" s="6" t="str">
        <f t="shared" si="14"/>
        <v>Tanja</v>
      </c>
      <c r="M165" s="6" t="str">
        <f t="shared" si="15"/>
        <v>The Exorcist (von Sydow, Blair)</v>
      </c>
      <c r="N165" s="9">
        <f t="shared" si="16"/>
        <v>0</v>
      </c>
      <c r="P165" t="str">
        <f t="shared" si="17"/>
        <v>"Tanja";"The Exorcist";"0"</v>
      </c>
      <c r="U165" t="str">
        <f t="shared" si="18"/>
        <v>Tanja</v>
      </c>
      <c r="V165" t="str">
        <f t="shared" si="19"/>
        <v>The Exorcist</v>
      </c>
      <c r="W165">
        <f t="shared" si="20"/>
        <v>0</v>
      </c>
    </row>
    <row r="166" spans="1:23" x14ac:dyDescent="0.2">
      <c r="A166" s="6" t="s">
        <v>57</v>
      </c>
      <c r="B166" s="6">
        <v>1972</v>
      </c>
      <c r="C166" s="6"/>
      <c r="D166" s="6" t="s">
        <v>67</v>
      </c>
      <c r="E166" s="6" t="s">
        <v>3</v>
      </c>
      <c r="F166" s="6">
        <v>0</v>
      </c>
      <c r="G166" s="6"/>
      <c r="H166" s="6">
        <v>0</v>
      </c>
      <c r="I166" s="6"/>
      <c r="J166" s="6"/>
      <c r="K166" s="6"/>
      <c r="L166" s="6" t="str">
        <f t="shared" si="14"/>
        <v>Tanja</v>
      </c>
      <c r="M166" s="6" t="str">
        <f t="shared" si="15"/>
        <v>The Godfather (Brando, Pacino)</v>
      </c>
      <c r="N166" s="9">
        <f t="shared" si="16"/>
        <v>0</v>
      </c>
      <c r="P166" t="str">
        <f t="shared" si="17"/>
        <v>"Tanja";"The Godfather";"0"</v>
      </c>
      <c r="U166" t="str">
        <f t="shared" si="18"/>
        <v>Tanja</v>
      </c>
      <c r="V166" t="str">
        <f t="shared" si="19"/>
        <v>The Godfather</v>
      </c>
      <c r="W166">
        <f t="shared" si="20"/>
        <v>0</v>
      </c>
    </row>
    <row r="167" spans="1:23" x14ac:dyDescent="0.2">
      <c r="A167" s="6" t="s">
        <v>58</v>
      </c>
      <c r="B167" s="6">
        <v>1994</v>
      </c>
      <c r="C167" s="6"/>
      <c r="D167" s="6" t="s">
        <v>67</v>
      </c>
      <c r="E167" s="6" t="s">
        <v>2</v>
      </c>
      <c r="F167" s="6">
        <v>1</v>
      </c>
      <c r="G167" s="6">
        <v>5</v>
      </c>
      <c r="H167" s="6">
        <v>5</v>
      </c>
      <c r="I167" s="6"/>
      <c r="J167" s="6"/>
      <c r="K167" s="6"/>
      <c r="L167" s="6" t="str">
        <f t="shared" si="14"/>
        <v>Tanja</v>
      </c>
      <c r="M167" s="6" t="str">
        <f t="shared" si="15"/>
        <v>The Lion King (Disney)</v>
      </c>
      <c r="N167" s="9">
        <f t="shared" si="16"/>
        <v>5</v>
      </c>
      <c r="P167" t="str">
        <f t="shared" si="17"/>
        <v>"Tanja";"The Lion King";"5"</v>
      </c>
      <c r="U167" t="str">
        <f t="shared" si="18"/>
        <v>Tanja</v>
      </c>
      <c r="V167" t="str">
        <f t="shared" si="19"/>
        <v>The Lion King</v>
      </c>
      <c r="W167">
        <f t="shared" si="20"/>
        <v>1</v>
      </c>
    </row>
    <row r="168" spans="1:23" x14ac:dyDescent="0.2">
      <c r="A168" s="6" t="s">
        <v>59</v>
      </c>
      <c r="B168" s="6">
        <v>1999</v>
      </c>
      <c r="C168" s="6"/>
      <c r="D168" s="6" t="s">
        <v>67</v>
      </c>
      <c r="E168" s="6" t="s">
        <v>2</v>
      </c>
      <c r="F168" s="6">
        <v>1</v>
      </c>
      <c r="G168" s="6">
        <v>2</v>
      </c>
      <c r="H168" s="6">
        <v>2</v>
      </c>
      <c r="I168" s="6"/>
      <c r="J168" s="6"/>
      <c r="K168" s="6"/>
      <c r="L168" s="6" t="str">
        <f t="shared" si="14"/>
        <v>Tanja</v>
      </c>
      <c r="M168" s="6" t="str">
        <f t="shared" si="15"/>
        <v>The Matrix (Reeves, Fishburn)</v>
      </c>
      <c r="N168" s="9">
        <f t="shared" si="16"/>
        <v>2</v>
      </c>
      <c r="P168" t="str">
        <f t="shared" si="17"/>
        <v>"Tanja";"The Matrix";"2"</v>
      </c>
      <c r="U168" t="str">
        <f t="shared" si="18"/>
        <v>Tanja</v>
      </c>
      <c r="V168" t="str">
        <f t="shared" si="19"/>
        <v>The Matrix</v>
      </c>
      <c r="W168">
        <f t="shared" si="20"/>
        <v>1</v>
      </c>
    </row>
    <row r="169" spans="1:23" x14ac:dyDescent="0.2">
      <c r="A169" s="6" t="s">
        <v>60</v>
      </c>
      <c r="B169" s="6">
        <v>1980</v>
      </c>
      <c r="C169" s="6"/>
      <c r="D169" s="6" t="s">
        <v>67</v>
      </c>
      <c r="E169" s="6" t="s">
        <v>3</v>
      </c>
      <c r="F169" s="6">
        <v>0</v>
      </c>
      <c r="G169" s="6"/>
      <c r="H169" s="6">
        <v>0</v>
      </c>
      <c r="I169" s="6"/>
      <c r="J169" s="6"/>
      <c r="K169" s="6"/>
      <c r="L169" s="6" t="str">
        <f t="shared" si="14"/>
        <v>Tanja</v>
      </c>
      <c r="M169" s="6" t="str">
        <f t="shared" si="15"/>
        <v>The Shining (Nicholson, Duvall)</v>
      </c>
      <c r="N169" s="9">
        <f t="shared" si="16"/>
        <v>0</v>
      </c>
      <c r="P169" t="str">
        <f t="shared" si="17"/>
        <v>"Tanja";"The Shining";"0"</v>
      </c>
      <c r="U169" t="str">
        <f t="shared" si="18"/>
        <v>Tanja</v>
      </c>
      <c r="V169" t="str">
        <f t="shared" si="19"/>
        <v>The Shining</v>
      </c>
      <c r="W169">
        <f t="shared" si="20"/>
        <v>0</v>
      </c>
    </row>
    <row r="170" spans="1:23" x14ac:dyDescent="0.2">
      <c r="A170" s="6" t="s">
        <v>61</v>
      </c>
      <c r="B170" s="6">
        <v>1984</v>
      </c>
      <c r="C170" s="6"/>
      <c r="D170" s="6" t="s">
        <v>67</v>
      </c>
      <c r="E170" s="6" t="s">
        <v>3</v>
      </c>
      <c r="F170" s="6">
        <v>0</v>
      </c>
      <c r="G170" s="6"/>
      <c r="H170" s="6">
        <v>0</v>
      </c>
      <c r="I170" s="6"/>
      <c r="J170" s="6"/>
      <c r="K170" s="6"/>
      <c r="L170" s="6" t="str">
        <f t="shared" si="14"/>
        <v>Tanja</v>
      </c>
      <c r="M170" s="6" t="str">
        <f t="shared" si="15"/>
        <v>The Terminator (Schwarzenegger, Hamilton)</v>
      </c>
      <c r="N170" s="9">
        <f t="shared" si="16"/>
        <v>0</v>
      </c>
      <c r="P170" t="str">
        <f t="shared" si="17"/>
        <v>"Tanja";"The Terminator";"0"</v>
      </c>
      <c r="U170" t="str">
        <f t="shared" si="18"/>
        <v>Tanja</v>
      </c>
      <c r="V170" t="str">
        <f t="shared" si="19"/>
        <v>The Terminator</v>
      </c>
      <c r="W170">
        <f t="shared" si="20"/>
        <v>0</v>
      </c>
    </row>
    <row r="171" spans="1:23" x14ac:dyDescent="0.2">
      <c r="A171" s="6" t="s">
        <v>62</v>
      </c>
      <c r="B171" s="6">
        <v>1986</v>
      </c>
      <c r="C171" s="6"/>
      <c r="D171" s="6" t="s">
        <v>67</v>
      </c>
      <c r="E171" s="6" t="s">
        <v>3</v>
      </c>
      <c r="F171" s="6">
        <v>0</v>
      </c>
      <c r="G171" s="6"/>
      <c r="H171" s="6">
        <v>0</v>
      </c>
      <c r="I171" s="6"/>
      <c r="J171" s="6"/>
      <c r="K171" s="6"/>
      <c r="L171" s="6" t="str">
        <f t="shared" si="14"/>
        <v>Tanja</v>
      </c>
      <c r="M171" s="6" t="str">
        <f t="shared" si="15"/>
        <v>Top Gun (Cruise, McGillis)</v>
      </c>
      <c r="N171" s="9">
        <f t="shared" si="16"/>
        <v>0</v>
      </c>
      <c r="P171" t="str">
        <f t="shared" si="17"/>
        <v>"Tanja";"Top Gun";"0"</v>
      </c>
      <c r="U171" t="str">
        <f t="shared" si="18"/>
        <v>Tanja</v>
      </c>
      <c r="V171" t="str">
        <f t="shared" si="19"/>
        <v>Top Gun</v>
      </c>
      <c r="W171">
        <f t="shared" si="20"/>
        <v>0</v>
      </c>
    </row>
    <row r="172" spans="1:23" x14ac:dyDescent="0.2">
      <c r="A172" s="6" t="s">
        <v>63</v>
      </c>
      <c r="B172" s="6">
        <v>1995</v>
      </c>
      <c r="C172" s="6"/>
      <c r="D172" s="6" t="s">
        <v>67</v>
      </c>
      <c r="E172" s="6" t="s">
        <v>3</v>
      </c>
      <c r="F172" s="6">
        <v>0</v>
      </c>
      <c r="G172" s="6"/>
      <c r="H172" s="6">
        <v>0</v>
      </c>
      <c r="I172" s="6"/>
      <c r="J172" s="6"/>
      <c r="K172" s="6"/>
      <c r="L172" s="6" t="str">
        <f t="shared" si="14"/>
        <v>Tanja</v>
      </c>
      <c r="M172" s="6" t="str">
        <f t="shared" si="15"/>
        <v>Toy Story (Pixar)</v>
      </c>
      <c r="N172" s="9">
        <f t="shared" si="16"/>
        <v>0</v>
      </c>
      <c r="P172" t="str">
        <f t="shared" si="17"/>
        <v>"Tanja";"Toy Story";"0"</v>
      </c>
      <c r="U172" t="str">
        <f t="shared" si="18"/>
        <v>Tanja</v>
      </c>
      <c r="V172" t="str">
        <f t="shared" si="19"/>
        <v>Toy Story</v>
      </c>
      <c r="W172">
        <f t="shared" si="20"/>
        <v>0</v>
      </c>
    </row>
    <row r="173" spans="1:23" x14ac:dyDescent="0.2">
      <c r="A173" s="6" t="s">
        <v>8</v>
      </c>
      <c r="B173" s="6">
        <v>1968</v>
      </c>
      <c r="C173" s="6"/>
      <c r="D173" s="6" t="s">
        <v>68</v>
      </c>
      <c r="E173" s="6" t="s">
        <v>3</v>
      </c>
      <c r="F173" s="6">
        <v>0</v>
      </c>
      <c r="G173" s="6"/>
      <c r="H173" s="6">
        <v>0</v>
      </c>
      <c r="I173" s="6"/>
      <c r="J173" s="6"/>
      <c r="K173" s="6"/>
      <c r="L173" s="6" t="str">
        <f t="shared" si="14"/>
        <v>Dmitry Cherepov</v>
      </c>
      <c r="M173" s="6" t="str">
        <f t="shared" si="15"/>
        <v>2001: A Space Odyssey (Duella, Lockwood)</v>
      </c>
      <c r="N173" s="9">
        <f t="shared" si="16"/>
        <v>0</v>
      </c>
      <c r="P173" t="str">
        <f t="shared" si="17"/>
        <v>"Dmitry Cherepov";"2001: A Space Odyssey";"0"</v>
      </c>
      <c r="U173" t="str">
        <f t="shared" si="18"/>
        <v>Dmitry Cherepov</v>
      </c>
      <c r="V173" t="str">
        <f t="shared" si="19"/>
        <v>2001: A Space Odyssey</v>
      </c>
      <c r="W173">
        <f t="shared" si="20"/>
        <v>0</v>
      </c>
    </row>
    <row r="174" spans="1:23" x14ac:dyDescent="0.2">
      <c r="A174" s="6" t="s">
        <v>9</v>
      </c>
      <c r="B174" s="6">
        <v>1971</v>
      </c>
      <c r="C174" s="6"/>
      <c r="D174" s="6" t="s">
        <v>68</v>
      </c>
      <c r="E174" s="6" t="s">
        <v>2</v>
      </c>
      <c r="F174" s="6">
        <v>1</v>
      </c>
      <c r="G174" s="6">
        <v>5</v>
      </c>
      <c r="H174" s="6">
        <v>5</v>
      </c>
      <c r="I174" s="6"/>
      <c r="J174" s="6"/>
      <c r="K174" s="6"/>
      <c r="L174" s="6" t="str">
        <f t="shared" si="14"/>
        <v>Dmitry Cherepov</v>
      </c>
      <c r="M174" s="6" t="str">
        <f t="shared" si="15"/>
        <v>A Clockwork Orange (McDowell, Magee)</v>
      </c>
      <c r="N174" s="9">
        <f t="shared" si="16"/>
        <v>5</v>
      </c>
      <c r="P174" t="str">
        <f t="shared" si="17"/>
        <v>"Dmitry Cherepov";"A Clockwork Orange";"5"</v>
      </c>
      <c r="U174" t="str">
        <f t="shared" si="18"/>
        <v>Dmitry Cherepov</v>
      </c>
      <c r="V174" t="str">
        <f t="shared" si="19"/>
        <v>A Clockwork Orange</v>
      </c>
      <c r="W174">
        <f t="shared" si="20"/>
        <v>1</v>
      </c>
    </row>
    <row r="175" spans="1:23" x14ac:dyDescent="0.2">
      <c r="A175" s="6" t="s">
        <v>10</v>
      </c>
      <c r="B175" s="6">
        <v>2018</v>
      </c>
      <c r="C175" s="6"/>
      <c r="D175" s="6" t="s">
        <v>68</v>
      </c>
      <c r="E175" s="6" t="s">
        <v>3</v>
      </c>
      <c r="F175" s="6">
        <v>0</v>
      </c>
      <c r="G175" s="6"/>
      <c r="H175" s="6">
        <v>0</v>
      </c>
      <c r="I175" s="6"/>
      <c r="J175" s="6"/>
      <c r="K175" s="6"/>
      <c r="L175" s="6" t="str">
        <f t="shared" si="14"/>
        <v>Dmitry Cherepov</v>
      </c>
      <c r="M175" s="6" t="str">
        <f t="shared" si="15"/>
        <v>A star is born (Gaga, Cooper)</v>
      </c>
      <c r="N175" s="9">
        <f t="shared" si="16"/>
        <v>0</v>
      </c>
      <c r="P175" t="str">
        <f t="shared" si="17"/>
        <v>"Dmitry Cherepov";"A star is born";"0"</v>
      </c>
      <c r="U175" t="str">
        <f t="shared" si="18"/>
        <v>Dmitry Cherepov</v>
      </c>
      <c r="V175" t="str">
        <f t="shared" si="19"/>
        <v>A star is born</v>
      </c>
      <c r="W175">
        <f t="shared" si="20"/>
        <v>0</v>
      </c>
    </row>
    <row r="176" spans="1:23" x14ac:dyDescent="0.2">
      <c r="A176" s="6" t="s">
        <v>11</v>
      </c>
      <c r="B176" s="6">
        <v>2005</v>
      </c>
      <c r="C176" s="6"/>
      <c r="D176" s="6" t="s">
        <v>68</v>
      </c>
      <c r="E176" s="6" t="s">
        <v>3</v>
      </c>
      <c r="F176" s="6">
        <v>0</v>
      </c>
      <c r="G176" s="6"/>
      <c r="H176" s="6">
        <v>0</v>
      </c>
      <c r="I176" s="6"/>
      <c r="J176" s="6"/>
      <c r="K176" s="6"/>
      <c r="L176" s="6" t="str">
        <f t="shared" si="14"/>
        <v>Dmitry Cherepov</v>
      </c>
      <c r="M176" s="6" t="str">
        <f t="shared" si="15"/>
        <v>Aeon Flux (Theron, Csokas)</v>
      </c>
      <c r="N176" s="9">
        <f t="shared" si="16"/>
        <v>0</v>
      </c>
      <c r="P176" t="str">
        <f t="shared" si="17"/>
        <v>"Dmitry Cherepov";"Aeon Flux";"0"</v>
      </c>
      <c r="U176" t="str">
        <f t="shared" si="18"/>
        <v>Dmitry Cherepov</v>
      </c>
      <c r="V176" t="str">
        <f t="shared" si="19"/>
        <v>Aeon Flux</v>
      </c>
      <c r="W176">
        <f t="shared" si="20"/>
        <v>0</v>
      </c>
    </row>
    <row r="177" spans="1:23" x14ac:dyDescent="0.2">
      <c r="A177" s="6" t="s">
        <v>12</v>
      </c>
      <c r="B177" s="6">
        <v>1951</v>
      </c>
      <c r="C177" s="6"/>
      <c r="D177" s="6" t="s">
        <v>68</v>
      </c>
      <c r="E177" s="6" t="s">
        <v>3</v>
      </c>
      <c r="F177" s="6">
        <v>0</v>
      </c>
      <c r="G177" s="6"/>
      <c r="H177" s="6">
        <v>0</v>
      </c>
      <c r="I177" s="6"/>
      <c r="J177" s="6"/>
      <c r="K177" s="6"/>
      <c r="L177" s="6" t="str">
        <f t="shared" si="14"/>
        <v>Dmitry Cherepov</v>
      </c>
      <c r="M177" s="6" t="str">
        <f t="shared" si="15"/>
        <v>African Queen (Bogart, Hepburn)</v>
      </c>
      <c r="N177" s="9">
        <f t="shared" si="16"/>
        <v>0</v>
      </c>
      <c r="P177" t="str">
        <f t="shared" si="17"/>
        <v>"Dmitry Cherepov";"African Queen";"0"</v>
      </c>
      <c r="U177" t="str">
        <f t="shared" si="18"/>
        <v>Dmitry Cherepov</v>
      </c>
      <c r="V177" t="str">
        <f t="shared" si="19"/>
        <v>African Queen</v>
      </c>
      <c r="W177">
        <f t="shared" si="20"/>
        <v>0</v>
      </c>
    </row>
    <row r="178" spans="1:23" x14ac:dyDescent="0.2">
      <c r="A178" s="6" t="s">
        <v>13</v>
      </c>
      <c r="B178" s="6">
        <v>1979</v>
      </c>
      <c r="C178" s="6"/>
      <c r="D178" s="6" t="s">
        <v>68</v>
      </c>
      <c r="E178" s="6" t="s">
        <v>3</v>
      </c>
      <c r="F178" s="6">
        <v>0</v>
      </c>
      <c r="G178" s="6"/>
      <c r="H178" s="6">
        <v>0</v>
      </c>
      <c r="I178" s="6"/>
      <c r="J178" s="6"/>
      <c r="K178" s="6"/>
      <c r="L178" s="6" t="str">
        <f t="shared" si="14"/>
        <v>Dmitry Cherepov</v>
      </c>
      <c r="M178" s="6" t="str">
        <f t="shared" si="15"/>
        <v>Alien (Weaver, Skerritt)</v>
      </c>
      <c r="N178" s="9">
        <f t="shared" si="16"/>
        <v>0</v>
      </c>
      <c r="P178" t="str">
        <f t="shared" si="17"/>
        <v>"Dmitry Cherepov";"Alien";"0"</v>
      </c>
      <c r="U178" t="str">
        <f t="shared" si="18"/>
        <v>Dmitry Cherepov</v>
      </c>
      <c r="V178" t="str">
        <f t="shared" si="19"/>
        <v>Alien</v>
      </c>
      <c r="W178">
        <f t="shared" si="20"/>
        <v>0</v>
      </c>
    </row>
    <row r="179" spans="1:23" x14ac:dyDescent="0.2">
      <c r="A179" s="6" t="s">
        <v>14</v>
      </c>
      <c r="B179" s="6">
        <v>1960</v>
      </c>
      <c r="C179" s="6"/>
      <c r="D179" s="6" t="s">
        <v>68</v>
      </c>
      <c r="E179" s="6" t="s">
        <v>3</v>
      </c>
      <c r="F179" s="6">
        <v>0</v>
      </c>
      <c r="G179" s="6"/>
      <c r="H179" s="6">
        <v>0</v>
      </c>
      <c r="I179" s="6"/>
      <c r="J179" s="6"/>
      <c r="K179" s="6"/>
      <c r="L179" s="6" t="str">
        <f t="shared" si="14"/>
        <v>Dmitry Cherepov</v>
      </c>
      <c r="M179" s="6" t="str">
        <f t="shared" si="15"/>
        <v>Apartment (Lemmon, MacLaine)</v>
      </c>
      <c r="N179" s="9">
        <f t="shared" si="16"/>
        <v>0</v>
      </c>
      <c r="P179" t="str">
        <f t="shared" si="17"/>
        <v>"Dmitry Cherepov";"Apartment";"0"</v>
      </c>
      <c r="U179" t="str">
        <f t="shared" si="18"/>
        <v>Dmitry Cherepov</v>
      </c>
      <c r="V179" t="str">
        <f t="shared" si="19"/>
        <v>Apartment</v>
      </c>
      <c r="W179">
        <f t="shared" si="20"/>
        <v>0</v>
      </c>
    </row>
    <row r="180" spans="1:23" x14ac:dyDescent="0.2">
      <c r="A180" s="6" t="s">
        <v>15</v>
      </c>
      <c r="B180" s="6">
        <v>1979</v>
      </c>
      <c r="C180" s="6"/>
      <c r="D180" s="6" t="s">
        <v>68</v>
      </c>
      <c r="E180" s="6" t="s">
        <v>3</v>
      </c>
      <c r="F180" s="6">
        <v>0</v>
      </c>
      <c r="G180" s="6"/>
      <c r="H180" s="6">
        <v>0</v>
      </c>
      <c r="I180" s="6"/>
      <c r="J180" s="6"/>
      <c r="K180" s="6"/>
      <c r="L180" s="6" t="str">
        <f t="shared" si="14"/>
        <v>Dmitry Cherepov</v>
      </c>
      <c r="M180" s="6" t="str">
        <f t="shared" si="15"/>
        <v>Apocalypse Now (Sheen, Brando)</v>
      </c>
      <c r="N180" s="9">
        <f t="shared" si="16"/>
        <v>0</v>
      </c>
      <c r="P180" t="str">
        <f t="shared" si="17"/>
        <v>"Dmitry Cherepov";"Apocalypse Now";"0"</v>
      </c>
      <c r="U180" t="str">
        <f t="shared" si="18"/>
        <v>Dmitry Cherepov</v>
      </c>
      <c r="V180" t="str">
        <f t="shared" si="19"/>
        <v>Apocalypse Now</v>
      </c>
      <c r="W180">
        <f t="shared" si="20"/>
        <v>0</v>
      </c>
    </row>
    <row r="181" spans="1:23" x14ac:dyDescent="0.2">
      <c r="A181" s="6" t="s">
        <v>16</v>
      </c>
      <c r="B181" s="6">
        <v>1956</v>
      </c>
      <c r="C181" s="6"/>
      <c r="D181" s="6" t="s">
        <v>68</v>
      </c>
      <c r="E181" s="6" t="s">
        <v>2</v>
      </c>
      <c r="F181" s="6">
        <v>1</v>
      </c>
      <c r="G181" s="6">
        <v>4</v>
      </c>
      <c r="H181" s="6">
        <v>4</v>
      </c>
      <c r="I181" s="6"/>
      <c r="J181" s="6"/>
      <c r="K181" s="6"/>
      <c r="L181" s="6" t="str">
        <f t="shared" si="14"/>
        <v>Dmitry Cherepov</v>
      </c>
      <c r="M181" s="6" t="str">
        <f t="shared" si="15"/>
        <v>Around The World In 80 Days (Niven, Cantinflas)</v>
      </c>
      <c r="N181" s="9">
        <f t="shared" si="16"/>
        <v>4</v>
      </c>
      <c r="P181" t="str">
        <f t="shared" si="17"/>
        <v>"Dmitry Cherepov";"Around The World In 80 Days";"4"</v>
      </c>
      <c r="U181" t="str">
        <f t="shared" si="18"/>
        <v>Dmitry Cherepov</v>
      </c>
      <c r="V181" t="str">
        <f t="shared" si="19"/>
        <v>Around The World In 80 Days</v>
      </c>
      <c r="W181">
        <f t="shared" si="20"/>
        <v>1</v>
      </c>
    </row>
    <row r="182" spans="1:23" x14ac:dyDescent="0.2">
      <c r="A182" s="6" t="s">
        <v>17</v>
      </c>
      <c r="B182" s="6">
        <v>2009</v>
      </c>
      <c r="C182" s="6"/>
      <c r="D182" s="6" t="s">
        <v>68</v>
      </c>
      <c r="E182" s="6" t="s">
        <v>2</v>
      </c>
      <c r="F182" s="6">
        <v>1</v>
      </c>
      <c r="G182" s="6">
        <v>4.5</v>
      </c>
      <c r="H182" s="6">
        <v>4.5</v>
      </c>
      <c r="I182" s="6"/>
      <c r="J182" s="6"/>
      <c r="K182" s="6"/>
      <c r="L182" s="6" t="str">
        <f t="shared" si="14"/>
        <v>Dmitry Cherepov</v>
      </c>
      <c r="M182" s="6" t="str">
        <f t="shared" si="15"/>
        <v>Avatar (Worthington, Saldana)</v>
      </c>
      <c r="N182" s="9">
        <f t="shared" si="16"/>
        <v>4.5</v>
      </c>
      <c r="P182" t="str">
        <f t="shared" si="17"/>
        <v>"Dmitry Cherepov";"Avatar";"4.5"</v>
      </c>
      <c r="U182" t="str">
        <f t="shared" si="18"/>
        <v>Dmitry Cherepov</v>
      </c>
      <c r="V182" t="str">
        <f t="shared" si="19"/>
        <v>Avatar</v>
      </c>
      <c r="W182">
        <f t="shared" si="20"/>
        <v>1</v>
      </c>
    </row>
    <row r="183" spans="1:23" x14ac:dyDescent="0.2">
      <c r="A183" s="6" t="s">
        <v>18</v>
      </c>
      <c r="B183" s="6">
        <v>1989</v>
      </c>
      <c r="C183" s="6"/>
      <c r="D183" s="6" t="s">
        <v>68</v>
      </c>
      <c r="E183" s="6" t="s">
        <v>3</v>
      </c>
      <c r="F183" s="6">
        <v>0</v>
      </c>
      <c r="G183" s="6"/>
      <c r="H183" s="6">
        <v>0</v>
      </c>
      <c r="I183" s="6"/>
      <c r="J183" s="6"/>
      <c r="K183" s="6"/>
      <c r="L183" s="6" t="str">
        <f t="shared" si="14"/>
        <v>Dmitry Cherepov</v>
      </c>
      <c r="M183" s="6" t="str">
        <f t="shared" si="15"/>
        <v>Batman (Keaton, Nicholson, Basinger)</v>
      </c>
      <c r="N183" s="9">
        <f t="shared" si="16"/>
        <v>0</v>
      </c>
      <c r="P183" t="str">
        <f t="shared" si="17"/>
        <v>"Dmitry Cherepov";"Batman";"0"</v>
      </c>
      <c r="U183" t="str">
        <f t="shared" si="18"/>
        <v>Dmitry Cherepov</v>
      </c>
      <c r="V183" t="str">
        <f t="shared" si="19"/>
        <v>Batman</v>
      </c>
      <c r="W183">
        <f t="shared" si="20"/>
        <v>0</v>
      </c>
    </row>
    <row r="184" spans="1:23" x14ac:dyDescent="0.2">
      <c r="A184" s="6" t="s">
        <v>19</v>
      </c>
      <c r="B184" s="6">
        <v>1982</v>
      </c>
      <c r="C184" s="6"/>
      <c r="D184" s="6" t="s">
        <v>68</v>
      </c>
      <c r="E184" s="6" t="s">
        <v>2</v>
      </c>
      <c r="F184" s="6">
        <v>1</v>
      </c>
      <c r="G184" s="6">
        <v>4.5</v>
      </c>
      <c r="H184" s="6">
        <v>4.5</v>
      </c>
      <c r="I184" s="6"/>
      <c r="J184" s="6"/>
      <c r="K184" s="6"/>
      <c r="L184" s="6" t="str">
        <f t="shared" si="14"/>
        <v>Dmitry Cherepov</v>
      </c>
      <c r="M184" s="6" t="str">
        <f t="shared" si="15"/>
        <v>Blade Runner (Ford, Hauer)</v>
      </c>
      <c r="N184" s="9">
        <f t="shared" si="16"/>
        <v>4.5</v>
      </c>
      <c r="P184" t="str">
        <f t="shared" si="17"/>
        <v>"Dmitry Cherepov";"Blade Runner";"4.5"</v>
      </c>
      <c r="U184" t="str">
        <f t="shared" si="18"/>
        <v>Dmitry Cherepov</v>
      </c>
      <c r="V184" t="str">
        <f t="shared" si="19"/>
        <v>Blade Runner</v>
      </c>
      <c r="W184">
        <f t="shared" si="20"/>
        <v>1</v>
      </c>
    </row>
    <row r="185" spans="1:23" x14ac:dyDescent="0.2">
      <c r="A185" s="6" t="s">
        <v>20</v>
      </c>
      <c r="B185" s="6">
        <v>2018</v>
      </c>
      <c r="C185" s="6"/>
      <c r="D185" s="6" t="s">
        <v>68</v>
      </c>
      <c r="E185" s="6" t="s">
        <v>3</v>
      </c>
      <c r="F185" s="6">
        <v>0</v>
      </c>
      <c r="G185" s="6"/>
      <c r="H185" s="6">
        <v>0</v>
      </c>
      <c r="I185" s="6"/>
      <c r="J185" s="6"/>
      <c r="K185" s="6"/>
      <c r="L185" s="6" t="str">
        <f t="shared" si="14"/>
        <v>Dmitry Cherepov</v>
      </c>
      <c r="M185" s="6" t="str">
        <f t="shared" si="15"/>
        <v>Bohemian Rhapsody (Malek, Boynton)</v>
      </c>
      <c r="N185" s="9">
        <f t="shared" si="16"/>
        <v>0</v>
      </c>
      <c r="P185" t="str">
        <f t="shared" si="17"/>
        <v>"Dmitry Cherepov";"Bohemian Rhapsody";"0"</v>
      </c>
      <c r="U185" t="str">
        <f t="shared" si="18"/>
        <v>Dmitry Cherepov</v>
      </c>
      <c r="V185" t="str">
        <f t="shared" si="19"/>
        <v>Bohemian Rhapsody</v>
      </c>
      <c r="W185">
        <f t="shared" si="20"/>
        <v>0</v>
      </c>
    </row>
    <row r="186" spans="1:23" x14ac:dyDescent="0.2">
      <c r="A186" s="6" t="s">
        <v>21</v>
      </c>
      <c r="B186" s="6">
        <v>2011</v>
      </c>
      <c r="C186" s="6"/>
      <c r="D186" s="6" t="s">
        <v>68</v>
      </c>
      <c r="E186" s="6" t="s">
        <v>3</v>
      </c>
      <c r="F186" s="6">
        <v>0</v>
      </c>
      <c r="G186" s="6"/>
      <c r="H186" s="6">
        <v>0</v>
      </c>
      <c r="I186" s="6"/>
      <c r="J186" s="6"/>
      <c r="K186" s="6"/>
      <c r="L186" s="6" t="str">
        <f t="shared" si="14"/>
        <v>Dmitry Cherepov</v>
      </c>
      <c r="M186" s="6" t="str">
        <f t="shared" si="15"/>
        <v>Captain America (Evans, Waeving)</v>
      </c>
      <c r="N186" s="9">
        <f t="shared" si="16"/>
        <v>0</v>
      </c>
      <c r="P186" t="str">
        <f t="shared" si="17"/>
        <v>"Dmitry Cherepov";"Captain America";"0"</v>
      </c>
      <c r="U186" t="str">
        <f t="shared" si="18"/>
        <v>Dmitry Cherepov</v>
      </c>
      <c r="V186" t="str">
        <f t="shared" si="19"/>
        <v>Captain America</v>
      </c>
      <c r="W186">
        <f t="shared" si="20"/>
        <v>0</v>
      </c>
    </row>
    <row r="187" spans="1:23" x14ac:dyDescent="0.2">
      <c r="A187" s="6" t="s">
        <v>22</v>
      </c>
      <c r="B187" s="6">
        <v>2000</v>
      </c>
      <c r="C187" s="6"/>
      <c r="D187" s="6" t="s">
        <v>68</v>
      </c>
      <c r="E187" s="6" t="s">
        <v>3</v>
      </c>
      <c r="F187" s="6">
        <v>0</v>
      </c>
      <c r="G187" s="6"/>
      <c r="H187" s="6">
        <v>0</v>
      </c>
      <c r="I187" s="6"/>
      <c r="J187" s="6"/>
      <c r="K187" s="6"/>
      <c r="L187" s="6" t="str">
        <f t="shared" si="14"/>
        <v>Dmitry Cherepov</v>
      </c>
      <c r="M187" s="6" t="str">
        <f t="shared" si="15"/>
        <v>Cast Away (Hanks, Hunt)</v>
      </c>
      <c r="N187" s="9">
        <f t="shared" si="16"/>
        <v>0</v>
      </c>
      <c r="P187" t="str">
        <f t="shared" si="17"/>
        <v>"Dmitry Cherepov";"Cast Away";"0"</v>
      </c>
      <c r="U187" t="str">
        <f t="shared" si="18"/>
        <v>Dmitry Cherepov</v>
      </c>
      <c r="V187" t="str">
        <f t="shared" si="19"/>
        <v>Cast Away</v>
      </c>
      <c r="W187">
        <f t="shared" si="20"/>
        <v>0</v>
      </c>
    </row>
    <row r="188" spans="1:23" x14ac:dyDescent="0.2">
      <c r="A188" s="6" t="s">
        <v>23</v>
      </c>
      <c r="B188" s="6">
        <v>1958</v>
      </c>
      <c r="C188" s="6"/>
      <c r="D188" s="6" t="s">
        <v>68</v>
      </c>
      <c r="E188" s="6" t="s">
        <v>3</v>
      </c>
      <c r="F188" s="6">
        <v>0</v>
      </c>
      <c r="G188" s="6"/>
      <c r="H188" s="6">
        <v>0</v>
      </c>
      <c r="I188" s="6"/>
      <c r="J188" s="6"/>
      <c r="K188" s="6"/>
      <c r="L188" s="6" t="str">
        <f t="shared" si="14"/>
        <v>Dmitry Cherepov</v>
      </c>
      <c r="M188" s="6" t="str">
        <f t="shared" si="15"/>
        <v>Cat On Hot Tin Roof (Taylor, Newman)</v>
      </c>
      <c r="N188" s="9">
        <f t="shared" si="16"/>
        <v>0</v>
      </c>
      <c r="P188" t="str">
        <f t="shared" si="17"/>
        <v>"Dmitry Cherepov";"Cat On Hot Tin Roof";"0"</v>
      </c>
      <c r="U188" t="str">
        <f t="shared" si="18"/>
        <v>Dmitry Cherepov</v>
      </c>
      <c r="V188" t="str">
        <f t="shared" si="19"/>
        <v>Cat On Hot Tin Roof</v>
      </c>
      <c r="W188">
        <f t="shared" si="20"/>
        <v>0</v>
      </c>
    </row>
    <row r="189" spans="1:23" x14ac:dyDescent="0.2">
      <c r="A189" s="6" t="s">
        <v>24</v>
      </c>
      <c r="B189" s="6">
        <v>1963</v>
      </c>
      <c r="C189" s="6"/>
      <c r="D189" s="6" t="s">
        <v>68</v>
      </c>
      <c r="E189" s="6" t="s">
        <v>3</v>
      </c>
      <c r="F189" s="6">
        <v>0</v>
      </c>
      <c r="G189" s="6"/>
      <c r="H189" s="6">
        <v>0</v>
      </c>
      <c r="I189" s="6"/>
      <c r="J189" s="6"/>
      <c r="K189" s="6"/>
      <c r="L189" s="6" t="str">
        <f t="shared" si="14"/>
        <v>Dmitry Cherepov</v>
      </c>
      <c r="M189" s="6" t="str">
        <f t="shared" si="15"/>
        <v>Charade (Grant, Hepburn)</v>
      </c>
      <c r="N189" s="9">
        <f t="shared" si="16"/>
        <v>0</v>
      </c>
      <c r="P189" t="str">
        <f t="shared" si="17"/>
        <v>"Dmitry Cherepov";"Charade";"0"</v>
      </c>
      <c r="U189" t="str">
        <f t="shared" si="18"/>
        <v>Dmitry Cherepov</v>
      </c>
      <c r="V189" t="str">
        <f t="shared" si="19"/>
        <v>Charade</v>
      </c>
      <c r="W189">
        <f t="shared" si="20"/>
        <v>0</v>
      </c>
    </row>
    <row r="190" spans="1:23" x14ac:dyDescent="0.2">
      <c r="A190" s="6" t="s">
        <v>25</v>
      </c>
      <c r="B190" s="6">
        <v>2000</v>
      </c>
      <c r="C190" s="6"/>
      <c r="D190" s="6" t="s">
        <v>68</v>
      </c>
      <c r="E190" s="6" t="s">
        <v>3</v>
      </c>
      <c r="F190" s="6">
        <v>0</v>
      </c>
      <c r="G190" s="6"/>
      <c r="H190" s="6">
        <v>0</v>
      </c>
      <c r="I190" s="6"/>
      <c r="J190" s="6"/>
      <c r="K190" s="6"/>
      <c r="L190" s="6" t="str">
        <f t="shared" si="14"/>
        <v>Dmitry Cherepov</v>
      </c>
      <c r="M190" s="6" t="str">
        <f t="shared" si="15"/>
        <v>Charlies Angels (Diaz, Barrymore, Liu)</v>
      </c>
      <c r="N190" s="9">
        <f t="shared" si="16"/>
        <v>0</v>
      </c>
      <c r="P190" t="str">
        <f t="shared" si="17"/>
        <v>"Dmitry Cherepov";"Charlies Angels";"0"</v>
      </c>
      <c r="U190" t="str">
        <f t="shared" si="18"/>
        <v>Dmitry Cherepov</v>
      </c>
      <c r="V190" t="str">
        <f t="shared" si="19"/>
        <v>Charlies Angels</v>
      </c>
      <c r="W190">
        <f t="shared" si="20"/>
        <v>0</v>
      </c>
    </row>
    <row r="191" spans="1:23" x14ac:dyDescent="0.2">
      <c r="A191" s="6" t="s">
        <v>26</v>
      </c>
      <c r="B191" s="6">
        <v>1974</v>
      </c>
      <c r="C191" s="6"/>
      <c r="D191" s="6" t="s">
        <v>68</v>
      </c>
      <c r="E191" s="6" t="s">
        <v>3</v>
      </c>
      <c r="F191" s="6">
        <v>0</v>
      </c>
      <c r="G191" s="6"/>
      <c r="H191" s="6">
        <v>0</v>
      </c>
      <c r="I191" s="6"/>
      <c r="J191" s="6"/>
      <c r="K191" s="6"/>
      <c r="L191" s="6" t="str">
        <f t="shared" si="14"/>
        <v>Dmitry Cherepov</v>
      </c>
      <c r="M191" s="6" t="str">
        <f t="shared" si="15"/>
        <v>Chinatown (Nicholson, Dunaway)</v>
      </c>
      <c r="N191" s="9">
        <f t="shared" si="16"/>
        <v>0</v>
      </c>
      <c r="P191" t="str">
        <f t="shared" si="17"/>
        <v>"Dmitry Cherepov";"Chinatown";"0"</v>
      </c>
      <c r="U191" t="str">
        <f t="shared" si="18"/>
        <v>Dmitry Cherepov</v>
      </c>
      <c r="V191" t="str">
        <f t="shared" si="19"/>
        <v>Chinatown</v>
      </c>
      <c r="W191">
        <f t="shared" si="20"/>
        <v>0</v>
      </c>
    </row>
    <row r="192" spans="1:23" x14ac:dyDescent="0.2">
      <c r="A192" s="6" t="s">
        <v>27</v>
      </c>
      <c r="B192" s="6">
        <v>1986</v>
      </c>
      <c r="C192" s="6"/>
      <c r="D192" s="6" t="s">
        <v>68</v>
      </c>
      <c r="E192" s="6" t="s">
        <v>3</v>
      </c>
      <c r="F192" s="6">
        <v>0</v>
      </c>
      <c r="G192" s="6"/>
      <c r="H192" s="6">
        <v>0</v>
      </c>
      <c r="I192" s="6"/>
      <c r="J192" s="6"/>
      <c r="K192" s="6"/>
      <c r="L192" s="6" t="str">
        <f t="shared" si="14"/>
        <v>Dmitry Cherepov</v>
      </c>
      <c r="M192" s="6" t="str">
        <f t="shared" si="15"/>
        <v>Clockwise (Gleese, Leatherbarrow)</v>
      </c>
      <c r="N192" s="9">
        <f t="shared" si="16"/>
        <v>0</v>
      </c>
      <c r="P192" t="str">
        <f t="shared" si="17"/>
        <v>"Dmitry Cherepov";"Clockwise";"0"</v>
      </c>
      <c r="U192" t="str">
        <f t="shared" si="18"/>
        <v>Dmitry Cherepov</v>
      </c>
      <c r="V192" t="str">
        <f t="shared" si="19"/>
        <v>Clockwise</v>
      </c>
      <c r="W192">
        <f t="shared" si="20"/>
        <v>0</v>
      </c>
    </row>
    <row r="193" spans="1:23" x14ac:dyDescent="0.2">
      <c r="A193" s="6" t="s">
        <v>28</v>
      </c>
      <c r="B193" s="6">
        <v>2011</v>
      </c>
      <c r="C193" s="6"/>
      <c r="D193" s="6" t="s">
        <v>68</v>
      </c>
      <c r="E193" s="6" t="s">
        <v>3</v>
      </c>
      <c r="F193" s="6">
        <v>0</v>
      </c>
      <c r="G193" s="6"/>
      <c r="H193" s="6">
        <v>0</v>
      </c>
      <c r="I193" s="6"/>
      <c r="J193" s="6"/>
      <c r="K193" s="6"/>
      <c r="L193" s="6" t="str">
        <f t="shared" si="14"/>
        <v>Dmitry Cherepov</v>
      </c>
      <c r="M193" s="6" t="str">
        <f t="shared" si="15"/>
        <v>Colombiana (Saldana, Molla)</v>
      </c>
      <c r="N193" s="9">
        <f t="shared" si="16"/>
        <v>0</v>
      </c>
      <c r="P193" t="str">
        <f t="shared" si="17"/>
        <v>"Dmitry Cherepov";"Colombiana";"0"</v>
      </c>
      <c r="U193" t="str">
        <f t="shared" si="18"/>
        <v>Dmitry Cherepov</v>
      </c>
      <c r="V193" t="str">
        <f t="shared" si="19"/>
        <v>Colombiana</v>
      </c>
      <c r="W193">
        <f t="shared" si="20"/>
        <v>0</v>
      </c>
    </row>
    <row r="194" spans="1:23" x14ac:dyDescent="0.2">
      <c r="A194" s="6" t="s">
        <v>29</v>
      </c>
      <c r="B194" s="6">
        <v>1962</v>
      </c>
      <c r="C194" s="6"/>
      <c r="D194" s="6" t="s">
        <v>68</v>
      </c>
      <c r="E194" s="6" t="s">
        <v>3</v>
      </c>
      <c r="F194" s="6">
        <v>0</v>
      </c>
      <c r="G194" s="6"/>
      <c r="H194" s="6">
        <v>0</v>
      </c>
      <c r="I194" s="6"/>
      <c r="J194" s="6"/>
      <c r="K194" s="6"/>
      <c r="L194" s="6" t="str">
        <f t="shared" si="14"/>
        <v>Dmitry Cherepov</v>
      </c>
      <c r="M194" s="6" t="str">
        <f t="shared" si="15"/>
        <v>Doctor No (Connery, Andress)</v>
      </c>
      <c r="N194" s="9">
        <f t="shared" si="16"/>
        <v>0</v>
      </c>
      <c r="P194" t="str">
        <f t="shared" si="17"/>
        <v>"Dmitry Cherepov";"Doctor No";"0"</v>
      </c>
      <c r="U194" t="str">
        <f t="shared" si="18"/>
        <v>Dmitry Cherepov</v>
      </c>
      <c r="V194" t="str">
        <f t="shared" si="19"/>
        <v>Doctor No</v>
      </c>
      <c r="W194">
        <f t="shared" si="20"/>
        <v>0</v>
      </c>
    </row>
    <row r="195" spans="1:23" x14ac:dyDescent="0.2">
      <c r="A195" s="6" t="s">
        <v>30</v>
      </c>
      <c r="B195" s="6">
        <v>1965</v>
      </c>
      <c r="C195" s="6"/>
      <c r="D195" s="6" t="s">
        <v>68</v>
      </c>
      <c r="E195" s="6" t="s">
        <v>3</v>
      </c>
      <c r="F195" s="6">
        <v>0</v>
      </c>
      <c r="G195" s="6"/>
      <c r="H195" s="6">
        <v>0</v>
      </c>
      <c r="I195" s="6"/>
      <c r="J195" s="6"/>
      <c r="K195" s="6"/>
      <c r="L195" s="6" t="str">
        <f t="shared" ref="L195:L258" si="21">D195</f>
        <v>Dmitry Cherepov</v>
      </c>
      <c r="M195" s="6" t="str">
        <f t="shared" ref="M195:M258" si="22">A195</f>
        <v>Doctor Zhiwago (Sharif, Christie)</v>
      </c>
      <c r="N195" s="9">
        <f t="shared" ref="N195:N258" si="23">H195</f>
        <v>0</v>
      </c>
      <c r="P195" t="str">
        <f t="shared" ref="P195:P258" si="24">""""&amp;L195&amp;""";"""&amp;LEFT(M195,FIND("(",M195)-2)&amp;""";"""&amp;SUBSTITUTE(N195,",",".")&amp;""""</f>
        <v>"Dmitry Cherepov";"Doctor Zhiwago";"0"</v>
      </c>
      <c r="U195" t="str">
        <f t="shared" ref="U195:U258" si="25">D195</f>
        <v>Dmitry Cherepov</v>
      </c>
      <c r="V195" t="str">
        <f t="shared" ref="V195:V258" si="26">LEFT(A195,FIND("(",A195)-2)</f>
        <v>Doctor Zhiwago</v>
      </c>
      <c r="W195">
        <f t="shared" ref="W195:W258" si="27">F195</f>
        <v>0</v>
      </c>
    </row>
    <row r="196" spans="1:23" x14ac:dyDescent="0.2">
      <c r="A196" s="6" t="s">
        <v>31</v>
      </c>
      <c r="B196" s="6">
        <v>1964</v>
      </c>
      <c r="C196" s="6"/>
      <c r="D196" s="6" t="s">
        <v>68</v>
      </c>
      <c r="E196" s="6" t="s">
        <v>3</v>
      </c>
      <c r="F196" s="6">
        <v>0</v>
      </c>
      <c r="G196" s="6"/>
      <c r="H196" s="6">
        <v>0</v>
      </c>
      <c r="I196" s="6"/>
      <c r="J196" s="6"/>
      <c r="K196" s="6"/>
      <c r="L196" s="6" t="str">
        <f t="shared" si="21"/>
        <v>Dmitry Cherepov</v>
      </c>
      <c r="M196" s="6" t="str">
        <f t="shared" si="22"/>
        <v>Dr. Strangelove… (Sellers, Scott)</v>
      </c>
      <c r="N196" s="9">
        <f t="shared" si="23"/>
        <v>0</v>
      </c>
      <c r="P196" t="str">
        <f t="shared" si="24"/>
        <v>"Dmitry Cherepov";"Dr. Strangelove…";"0"</v>
      </c>
      <c r="U196" t="str">
        <f t="shared" si="25"/>
        <v>Dmitry Cherepov</v>
      </c>
      <c r="V196" t="str">
        <f t="shared" si="26"/>
        <v>Dr. Strangelove…</v>
      </c>
      <c r="W196">
        <f t="shared" si="27"/>
        <v>0</v>
      </c>
    </row>
    <row r="197" spans="1:23" x14ac:dyDescent="0.2">
      <c r="A197" s="6" t="s">
        <v>32</v>
      </c>
      <c r="B197" s="6">
        <v>2000</v>
      </c>
      <c r="C197" s="6"/>
      <c r="D197" s="6" t="s">
        <v>68</v>
      </c>
      <c r="E197" s="6" t="s">
        <v>3</v>
      </c>
      <c r="F197" s="6">
        <v>0</v>
      </c>
      <c r="G197" s="6"/>
      <c r="H197" s="6">
        <v>0</v>
      </c>
      <c r="I197" s="6"/>
      <c r="J197" s="6"/>
      <c r="K197" s="6"/>
      <c r="L197" s="6" t="str">
        <f t="shared" si="21"/>
        <v>Dmitry Cherepov</v>
      </c>
      <c r="M197" s="6" t="str">
        <f t="shared" si="22"/>
        <v>Dr. T and the women (Gere, Hunt)</v>
      </c>
      <c r="N197" s="9">
        <f t="shared" si="23"/>
        <v>0</v>
      </c>
      <c r="P197" t="str">
        <f t="shared" si="24"/>
        <v>"Dmitry Cherepov";"Dr. T and the women";"0"</v>
      </c>
      <c r="U197" t="str">
        <f t="shared" si="25"/>
        <v>Dmitry Cherepov</v>
      </c>
      <c r="V197" t="str">
        <f t="shared" si="26"/>
        <v>Dr. T and the women</v>
      </c>
      <c r="W197">
        <f t="shared" si="27"/>
        <v>0</v>
      </c>
    </row>
    <row r="198" spans="1:23" x14ac:dyDescent="0.2">
      <c r="A198" s="6" t="s">
        <v>33</v>
      </c>
      <c r="B198" s="6">
        <v>1953</v>
      </c>
      <c r="C198" s="6"/>
      <c r="D198" s="6" t="s">
        <v>68</v>
      </c>
      <c r="E198" s="6" t="s">
        <v>3</v>
      </c>
      <c r="F198" s="6">
        <v>0</v>
      </c>
      <c r="G198" s="6"/>
      <c r="H198" s="6">
        <v>0</v>
      </c>
      <c r="I198" s="6"/>
      <c r="J198" s="6"/>
      <c r="K198" s="6"/>
      <c r="L198" s="6" t="str">
        <f t="shared" si="21"/>
        <v>Dmitry Cherepov</v>
      </c>
      <c r="M198" s="6" t="str">
        <f t="shared" si="22"/>
        <v>Gentlemen Prefer Blondes (Monroe, Russell)</v>
      </c>
      <c r="N198" s="9">
        <f t="shared" si="23"/>
        <v>0</v>
      </c>
      <c r="P198" t="str">
        <f t="shared" si="24"/>
        <v>"Dmitry Cherepov";"Gentlemen Prefer Blondes";"0"</v>
      </c>
      <c r="U198" t="str">
        <f t="shared" si="25"/>
        <v>Dmitry Cherepov</v>
      </c>
      <c r="V198" t="str">
        <f t="shared" si="26"/>
        <v>Gentlemen Prefer Blondes</v>
      </c>
      <c r="W198">
        <f t="shared" si="27"/>
        <v>0</v>
      </c>
    </row>
    <row r="199" spans="1:23" x14ac:dyDescent="0.2">
      <c r="A199" s="6" t="s">
        <v>34</v>
      </c>
      <c r="B199" s="6">
        <v>2014</v>
      </c>
      <c r="C199" s="6"/>
      <c r="D199" s="6" t="s">
        <v>68</v>
      </c>
      <c r="E199" s="6" t="s">
        <v>2</v>
      </c>
      <c r="F199" s="6">
        <v>1</v>
      </c>
      <c r="G199" s="6">
        <v>5</v>
      </c>
      <c r="H199" s="6">
        <v>5</v>
      </c>
      <c r="I199" s="6"/>
      <c r="J199" s="6"/>
      <c r="K199" s="6"/>
      <c r="L199" s="6" t="str">
        <f t="shared" si="21"/>
        <v>Dmitry Cherepov</v>
      </c>
      <c r="M199" s="6" t="str">
        <f t="shared" si="22"/>
        <v>Grand Budapest Hotel (Fiennes, Abraham)</v>
      </c>
      <c r="N199" s="9">
        <f t="shared" si="23"/>
        <v>5</v>
      </c>
      <c r="P199" t="str">
        <f t="shared" si="24"/>
        <v>"Dmitry Cherepov";"Grand Budapest Hotel";"5"</v>
      </c>
      <c r="U199" t="str">
        <f t="shared" si="25"/>
        <v>Dmitry Cherepov</v>
      </c>
      <c r="V199" t="str">
        <f t="shared" si="26"/>
        <v>Grand Budapest Hotel</v>
      </c>
      <c r="W199">
        <f t="shared" si="27"/>
        <v>1</v>
      </c>
    </row>
    <row r="200" spans="1:23" x14ac:dyDescent="0.2">
      <c r="A200" s="6" t="s">
        <v>35</v>
      </c>
      <c r="B200" s="6">
        <v>2001</v>
      </c>
      <c r="C200" s="6"/>
      <c r="D200" s="6" t="s">
        <v>68</v>
      </c>
      <c r="E200" s="6" t="s">
        <v>2</v>
      </c>
      <c r="F200" s="6">
        <v>1</v>
      </c>
      <c r="G200" s="6">
        <v>4</v>
      </c>
      <c r="H200" s="6">
        <v>4</v>
      </c>
      <c r="I200" s="6"/>
      <c r="J200" s="6"/>
      <c r="K200" s="6"/>
      <c r="L200" s="6" t="str">
        <f t="shared" si="21"/>
        <v>Dmitry Cherepov</v>
      </c>
      <c r="M200" s="6" t="str">
        <f t="shared" si="22"/>
        <v>Harry Potter and the Philosopher's Stone (Radcliff, Harris)</v>
      </c>
      <c r="N200" s="9">
        <f t="shared" si="23"/>
        <v>4</v>
      </c>
      <c r="P200" t="str">
        <f t="shared" si="24"/>
        <v>"Dmitry Cherepov";"Harry Potter and the Philosopher's Stone";"4"</v>
      </c>
      <c r="U200" t="str">
        <f t="shared" si="25"/>
        <v>Dmitry Cherepov</v>
      </c>
      <c r="V200" t="str">
        <f t="shared" si="26"/>
        <v>Harry Potter and the Philosopher's Stone</v>
      </c>
      <c r="W200">
        <f t="shared" si="27"/>
        <v>1</v>
      </c>
    </row>
    <row r="201" spans="1:23" x14ac:dyDescent="0.2">
      <c r="A201" s="6" t="s">
        <v>36</v>
      </c>
      <c r="B201" s="6">
        <v>1950</v>
      </c>
      <c r="C201" s="6"/>
      <c r="D201" s="6" t="s">
        <v>68</v>
      </c>
      <c r="E201" s="6" t="s">
        <v>3</v>
      </c>
      <c r="F201" s="6">
        <v>0</v>
      </c>
      <c r="G201" s="6"/>
      <c r="H201" s="6">
        <v>0</v>
      </c>
      <c r="I201" s="6"/>
      <c r="J201" s="6"/>
      <c r="K201" s="6"/>
      <c r="L201" s="6" t="str">
        <f t="shared" si="21"/>
        <v>Dmitry Cherepov</v>
      </c>
      <c r="M201" s="6" t="str">
        <f t="shared" si="22"/>
        <v>Harvey (Stewart, Hull)</v>
      </c>
      <c r="N201" s="9">
        <f t="shared" si="23"/>
        <v>0</v>
      </c>
      <c r="P201" t="str">
        <f t="shared" si="24"/>
        <v>"Dmitry Cherepov";"Harvey";"0"</v>
      </c>
      <c r="U201" t="str">
        <f t="shared" si="25"/>
        <v>Dmitry Cherepov</v>
      </c>
      <c r="V201" t="str">
        <f t="shared" si="26"/>
        <v>Harvey</v>
      </c>
      <c r="W201">
        <f t="shared" si="27"/>
        <v>0</v>
      </c>
    </row>
    <row r="202" spans="1:23" x14ac:dyDescent="0.2">
      <c r="A202" s="6" t="s">
        <v>37</v>
      </c>
      <c r="B202" s="6">
        <v>1962</v>
      </c>
      <c r="C202" s="6"/>
      <c r="D202" s="6" t="s">
        <v>68</v>
      </c>
      <c r="E202" s="6" t="s">
        <v>3</v>
      </c>
      <c r="F202" s="6">
        <v>0</v>
      </c>
      <c r="G202" s="6"/>
      <c r="H202" s="6">
        <v>0</v>
      </c>
      <c r="I202" s="6"/>
      <c r="J202" s="6"/>
      <c r="K202" s="6"/>
      <c r="L202" s="6" t="str">
        <f t="shared" si="21"/>
        <v>Dmitry Cherepov</v>
      </c>
      <c r="M202" s="6" t="str">
        <f t="shared" si="22"/>
        <v>Hatari! (Wayne, Martinelli)</v>
      </c>
      <c r="N202" s="9">
        <f t="shared" si="23"/>
        <v>0</v>
      </c>
      <c r="P202" t="str">
        <f t="shared" si="24"/>
        <v>"Dmitry Cherepov";"Hatari!";"0"</v>
      </c>
      <c r="U202" t="str">
        <f t="shared" si="25"/>
        <v>Dmitry Cherepov</v>
      </c>
      <c r="V202" t="str">
        <f t="shared" si="26"/>
        <v>Hatari!</v>
      </c>
      <c r="W202">
        <f t="shared" si="27"/>
        <v>0</v>
      </c>
    </row>
    <row r="203" spans="1:23" x14ac:dyDescent="0.2">
      <c r="A203" s="6" t="s">
        <v>38</v>
      </c>
      <c r="B203" s="6">
        <v>1990</v>
      </c>
      <c r="C203" s="6"/>
      <c r="D203" s="6" t="s">
        <v>68</v>
      </c>
      <c r="E203" s="6" t="s">
        <v>2</v>
      </c>
      <c r="F203" s="6">
        <v>1</v>
      </c>
      <c r="G203" s="6">
        <v>4</v>
      </c>
      <c r="H203" s="6">
        <v>4</v>
      </c>
      <c r="I203" s="6"/>
      <c r="J203" s="6"/>
      <c r="K203" s="6"/>
      <c r="L203" s="6" t="str">
        <f t="shared" si="21"/>
        <v>Dmitry Cherepov</v>
      </c>
      <c r="M203" s="6" t="str">
        <f t="shared" si="22"/>
        <v>Home alone (Culkin, Pesci)</v>
      </c>
      <c r="N203" s="9">
        <f t="shared" si="23"/>
        <v>4</v>
      </c>
      <c r="P203" t="str">
        <f t="shared" si="24"/>
        <v>"Dmitry Cherepov";"Home alone";"4"</v>
      </c>
      <c r="U203" t="str">
        <f t="shared" si="25"/>
        <v>Dmitry Cherepov</v>
      </c>
      <c r="V203" t="str">
        <f t="shared" si="26"/>
        <v>Home alone</v>
      </c>
      <c r="W203">
        <f t="shared" si="27"/>
        <v>1</v>
      </c>
    </row>
    <row r="204" spans="1:23" x14ac:dyDescent="0.2">
      <c r="A204" s="6" t="s">
        <v>39</v>
      </c>
      <c r="B204" s="6">
        <v>2004</v>
      </c>
      <c r="C204" s="6"/>
      <c r="D204" s="6" t="s">
        <v>68</v>
      </c>
      <c r="E204" s="6" t="s">
        <v>2</v>
      </c>
      <c r="F204" s="6">
        <v>1</v>
      </c>
      <c r="G204" s="6">
        <v>4.5</v>
      </c>
      <c r="H204" s="6">
        <v>4.5</v>
      </c>
      <c r="I204" s="6"/>
      <c r="J204" s="6"/>
      <c r="K204" s="6"/>
      <c r="L204" s="6" t="str">
        <f t="shared" si="21"/>
        <v>Dmitry Cherepov</v>
      </c>
      <c r="M204" s="6" t="str">
        <f t="shared" si="22"/>
        <v>I, Robot (Smith, Moynahan)</v>
      </c>
      <c r="N204" s="9">
        <f t="shared" si="23"/>
        <v>4.5</v>
      </c>
      <c r="P204" t="str">
        <f t="shared" si="24"/>
        <v>"Dmitry Cherepov";"I, Robot";"4.5"</v>
      </c>
      <c r="U204" t="str">
        <f t="shared" si="25"/>
        <v>Dmitry Cherepov</v>
      </c>
      <c r="V204" t="str">
        <f t="shared" si="26"/>
        <v>I, Robot</v>
      </c>
      <c r="W204">
        <f t="shared" si="27"/>
        <v>1</v>
      </c>
    </row>
    <row r="205" spans="1:23" x14ac:dyDescent="0.2">
      <c r="A205" s="6" t="s">
        <v>40</v>
      </c>
      <c r="B205" s="6">
        <v>1967</v>
      </c>
      <c r="C205" s="6"/>
      <c r="D205" s="6" t="s">
        <v>68</v>
      </c>
      <c r="E205" s="6" t="s">
        <v>3</v>
      </c>
      <c r="F205" s="6">
        <v>0</v>
      </c>
      <c r="G205" s="6"/>
      <c r="H205" s="6">
        <v>0</v>
      </c>
      <c r="I205" s="6"/>
      <c r="J205" s="6"/>
      <c r="K205" s="6"/>
      <c r="L205" s="6" t="str">
        <f t="shared" si="21"/>
        <v>Dmitry Cherepov</v>
      </c>
      <c r="M205" s="6" t="str">
        <f t="shared" si="22"/>
        <v>In The Heat Of The Night (Poitier, Steiger)</v>
      </c>
      <c r="N205" s="9">
        <f t="shared" si="23"/>
        <v>0</v>
      </c>
      <c r="P205" t="str">
        <f t="shared" si="24"/>
        <v>"Dmitry Cherepov";"In The Heat Of The Night";"0"</v>
      </c>
      <c r="U205" t="str">
        <f t="shared" si="25"/>
        <v>Dmitry Cherepov</v>
      </c>
      <c r="V205" t="str">
        <f t="shared" si="26"/>
        <v>In The Heat Of The Night</v>
      </c>
      <c r="W205">
        <f t="shared" si="27"/>
        <v>0</v>
      </c>
    </row>
    <row r="206" spans="1:23" x14ac:dyDescent="0.2">
      <c r="A206" s="6" t="s">
        <v>41</v>
      </c>
      <c r="B206" s="6">
        <v>2014</v>
      </c>
      <c r="C206" s="6"/>
      <c r="D206" s="6" t="s">
        <v>68</v>
      </c>
      <c r="E206" s="6" t="s">
        <v>3</v>
      </c>
      <c r="F206" s="6">
        <v>0</v>
      </c>
      <c r="G206" s="6"/>
      <c r="H206" s="6">
        <v>0</v>
      </c>
      <c r="I206" s="6"/>
      <c r="J206" s="6"/>
      <c r="K206" s="6"/>
      <c r="L206" s="6" t="str">
        <f t="shared" si="21"/>
        <v>Dmitry Cherepov</v>
      </c>
      <c r="M206" s="6" t="str">
        <f t="shared" si="22"/>
        <v>Jack Ryan: Shadow Recruite (Pine, Costner)</v>
      </c>
      <c r="N206" s="9">
        <f t="shared" si="23"/>
        <v>0</v>
      </c>
      <c r="P206" t="str">
        <f t="shared" si="24"/>
        <v>"Dmitry Cherepov";"Jack Ryan: Shadow Recruite";"0"</v>
      </c>
      <c r="U206" t="str">
        <f t="shared" si="25"/>
        <v>Dmitry Cherepov</v>
      </c>
      <c r="V206" t="str">
        <f t="shared" si="26"/>
        <v>Jack Ryan: Shadow Recruite</v>
      </c>
      <c r="W206">
        <f t="shared" si="27"/>
        <v>0</v>
      </c>
    </row>
    <row r="207" spans="1:23" x14ac:dyDescent="0.2">
      <c r="A207" s="6" t="s">
        <v>42</v>
      </c>
      <c r="B207" s="6">
        <v>1995</v>
      </c>
      <c r="C207" s="6"/>
      <c r="D207" s="6" t="s">
        <v>68</v>
      </c>
      <c r="E207" s="6" t="s">
        <v>2</v>
      </c>
      <c r="F207" s="6">
        <v>1</v>
      </c>
      <c r="G207" s="6">
        <v>4</v>
      </c>
      <c r="H207" s="6">
        <v>4</v>
      </c>
      <c r="I207" s="6"/>
      <c r="J207" s="6"/>
      <c r="K207" s="6"/>
      <c r="L207" s="6" t="str">
        <f t="shared" si="21"/>
        <v>Dmitry Cherepov</v>
      </c>
      <c r="M207" s="6" t="str">
        <f t="shared" si="22"/>
        <v>Jumanji (Williams, Dunst)</v>
      </c>
      <c r="N207" s="9">
        <f t="shared" si="23"/>
        <v>4</v>
      </c>
      <c r="P207" t="str">
        <f t="shared" si="24"/>
        <v>"Dmitry Cherepov";"Jumanji";"4"</v>
      </c>
      <c r="U207" t="str">
        <f t="shared" si="25"/>
        <v>Dmitry Cherepov</v>
      </c>
      <c r="V207" t="str">
        <f t="shared" si="26"/>
        <v>Jumanji</v>
      </c>
      <c r="W207">
        <f t="shared" si="27"/>
        <v>1</v>
      </c>
    </row>
    <row r="208" spans="1:23" x14ac:dyDescent="0.2">
      <c r="A208" s="6" t="s">
        <v>43</v>
      </c>
      <c r="B208" s="6">
        <v>2005</v>
      </c>
      <c r="C208" s="6"/>
      <c r="D208" s="6" t="s">
        <v>68</v>
      </c>
      <c r="E208" s="6" t="s">
        <v>2</v>
      </c>
      <c r="F208" s="6">
        <v>1</v>
      </c>
      <c r="G208" s="6">
        <v>3.5</v>
      </c>
      <c r="H208" s="6">
        <v>3.5</v>
      </c>
      <c r="I208" s="6"/>
      <c r="J208" s="6"/>
      <c r="K208" s="6"/>
      <c r="L208" s="6" t="str">
        <f t="shared" si="21"/>
        <v>Dmitry Cherepov</v>
      </c>
      <c r="M208" s="6" t="str">
        <f t="shared" si="22"/>
        <v>King Kong (Watts, Black)</v>
      </c>
      <c r="N208" s="9">
        <f t="shared" si="23"/>
        <v>3.5</v>
      </c>
      <c r="P208" t="str">
        <f t="shared" si="24"/>
        <v>"Dmitry Cherepov";"King Kong";"3.5"</v>
      </c>
      <c r="U208" t="str">
        <f t="shared" si="25"/>
        <v>Dmitry Cherepov</v>
      </c>
      <c r="V208" t="str">
        <f t="shared" si="26"/>
        <v>King Kong</v>
      </c>
      <c r="W208">
        <f t="shared" si="27"/>
        <v>1</v>
      </c>
    </row>
    <row r="209" spans="1:23" x14ac:dyDescent="0.2">
      <c r="A209" s="6" t="s">
        <v>44</v>
      </c>
      <c r="B209" s="6">
        <v>2016</v>
      </c>
      <c r="C209" s="6"/>
      <c r="D209" s="6" t="s">
        <v>68</v>
      </c>
      <c r="E209" s="6" t="s">
        <v>2</v>
      </c>
      <c r="F209" s="6">
        <v>1</v>
      </c>
      <c r="G209" s="6">
        <v>3.5</v>
      </c>
      <c r="H209" s="6">
        <v>3.5</v>
      </c>
      <c r="I209" s="6"/>
      <c r="J209" s="6"/>
      <c r="K209" s="6"/>
      <c r="L209" s="6" t="str">
        <f t="shared" si="21"/>
        <v>Dmitry Cherepov</v>
      </c>
      <c r="M209" s="6" t="str">
        <f t="shared" si="22"/>
        <v>La La Land (Gosling, Stone)</v>
      </c>
      <c r="N209" s="9">
        <f t="shared" si="23"/>
        <v>3.5</v>
      </c>
      <c r="P209" t="str">
        <f t="shared" si="24"/>
        <v>"Dmitry Cherepov";"La La Land";"3.5"</v>
      </c>
      <c r="U209" t="str">
        <f t="shared" si="25"/>
        <v>Dmitry Cherepov</v>
      </c>
      <c r="V209" t="str">
        <f t="shared" si="26"/>
        <v>La La Land</v>
      </c>
      <c r="W209">
        <f t="shared" si="27"/>
        <v>1</v>
      </c>
    </row>
    <row r="210" spans="1:23" x14ac:dyDescent="0.2">
      <c r="A210" s="6" t="s">
        <v>45</v>
      </c>
      <c r="B210" s="6">
        <v>2001</v>
      </c>
      <c r="C210" s="6"/>
      <c r="D210" s="6" t="s">
        <v>68</v>
      </c>
      <c r="E210" s="6" t="s">
        <v>2</v>
      </c>
      <c r="F210" s="6">
        <v>1</v>
      </c>
      <c r="G210" s="6">
        <v>3</v>
      </c>
      <c r="H210" s="6">
        <v>3</v>
      </c>
      <c r="I210" s="6"/>
      <c r="J210" s="6"/>
      <c r="K210" s="6"/>
      <c r="L210" s="6" t="str">
        <f t="shared" si="21"/>
        <v>Dmitry Cherepov</v>
      </c>
      <c r="M210" s="6" t="str">
        <f t="shared" si="22"/>
        <v>Lord of the Rings (Woods, McKellen)</v>
      </c>
      <c r="N210" s="9">
        <f t="shared" si="23"/>
        <v>3</v>
      </c>
      <c r="P210" t="str">
        <f t="shared" si="24"/>
        <v>"Dmitry Cherepov";"Lord of the Rings";"3"</v>
      </c>
      <c r="U210" t="str">
        <f t="shared" si="25"/>
        <v>Dmitry Cherepov</v>
      </c>
      <c r="V210" t="str">
        <f t="shared" si="26"/>
        <v>Lord of the Rings</v>
      </c>
      <c r="W210">
        <f t="shared" si="27"/>
        <v>1</v>
      </c>
    </row>
    <row r="211" spans="1:23" x14ac:dyDescent="0.2">
      <c r="A211" s="6" t="s">
        <v>46</v>
      </c>
      <c r="B211" s="6">
        <v>1964</v>
      </c>
      <c r="C211" s="6"/>
      <c r="D211" s="6" t="s">
        <v>68</v>
      </c>
      <c r="E211" s="6" t="s">
        <v>3</v>
      </c>
      <c r="F211" s="6">
        <v>0</v>
      </c>
      <c r="G211" s="6"/>
      <c r="H211" s="6">
        <v>0</v>
      </c>
      <c r="I211" s="6"/>
      <c r="J211" s="6"/>
      <c r="K211" s="6"/>
      <c r="L211" s="6" t="str">
        <f t="shared" si="21"/>
        <v>Dmitry Cherepov</v>
      </c>
      <c r="M211" s="6" t="str">
        <f t="shared" si="22"/>
        <v>Per Un Pugno Di Dollari (Eastwood, Koch)</v>
      </c>
      <c r="N211" s="9">
        <f t="shared" si="23"/>
        <v>0</v>
      </c>
      <c r="P211" t="str">
        <f t="shared" si="24"/>
        <v>"Dmitry Cherepov";"Per Un Pugno Di Dollari";"0"</v>
      </c>
      <c r="U211" t="str">
        <f t="shared" si="25"/>
        <v>Dmitry Cherepov</v>
      </c>
      <c r="V211" t="str">
        <f t="shared" si="26"/>
        <v>Per Un Pugno Di Dollari</v>
      </c>
      <c r="W211">
        <f t="shared" si="27"/>
        <v>0</v>
      </c>
    </row>
    <row r="212" spans="1:23" x14ac:dyDescent="0.2">
      <c r="A212" s="6" t="s">
        <v>47</v>
      </c>
      <c r="B212" s="6">
        <v>1954</v>
      </c>
      <c r="C212" s="6"/>
      <c r="D212" s="6" t="s">
        <v>68</v>
      </c>
      <c r="E212" s="6" t="s">
        <v>3</v>
      </c>
      <c r="F212" s="6">
        <v>0</v>
      </c>
      <c r="G212" s="6"/>
      <c r="H212" s="6">
        <v>0</v>
      </c>
      <c r="I212" s="6"/>
      <c r="J212" s="6"/>
      <c r="K212" s="6"/>
      <c r="L212" s="6" t="str">
        <f t="shared" si="21"/>
        <v>Dmitry Cherepov</v>
      </c>
      <c r="M212" s="6" t="str">
        <f t="shared" si="22"/>
        <v>Rear Window (Stewart, Kelly)</v>
      </c>
      <c r="N212" s="9">
        <f t="shared" si="23"/>
        <v>0</v>
      </c>
      <c r="P212" t="str">
        <f t="shared" si="24"/>
        <v>"Dmitry Cherepov";"Rear Window";"0"</v>
      </c>
      <c r="U212" t="str">
        <f t="shared" si="25"/>
        <v>Dmitry Cherepov</v>
      </c>
      <c r="V212" t="str">
        <f t="shared" si="26"/>
        <v>Rear Window</v>
      </c>
      <c r="W212">
        <f t="shared" si="27"/>
        <v>0</v>
      </c>
    </row>
    <row r="213" spans="1:23" x14ac:dyDescent="0.2">
      <c r="A213" s="6" t="s">
        <v>48</v>
      </c>
      <c r="B213" s="6">
        <v>1955</v>
      </c>
      <c r="C213" s="6"/>
      <c r="D213" s="6" t="s">
        <v>68</v>
      </c>
      <c r="E213" s="6" t="s">
        <v>3</v>
      </c>
      <c r="F213" s="6">
        <v>0</v>
      </c>
      <c r="G213" s="6"/>
      <c r="H213" s="6">
        <v>0</v>
      </c>
      <c r="I213" s="6"/>
      <c r="J213" s="6"/>
      <c r="K213" s="6"/>
      <c r="L213" s="6" t="str">
        <f t="shared" si="21"/>
        <v>Dmitry Cherepov</v>
      </c>
      <c r="M213" s="6" t="str">
        <f t="shared" si="22"/>
        <v>Rebel Without A Cause (Dean, Wood)</v>
      </c>
      <c r="N213" s="9">
        <f t="shared" si="23"/>
        <v>0</v>
      </c>
      <c r="P213" t="str">
        <f t="shared" si="24"/>
        <v>"Dmitry Cherepov";"Rebel Without A Cause";"0"</v>
      </c>
      <c r="U213" t="str">
        <f t="shared" si="25"/>
        <v>Dmitry Cherepov</v>
      </c>
      <c r="V213" t="str">
        <f t="shared" si="26"/>
        <v>Rebel Without A Cause</v>
      </c>
      <c r="W213">
        <f t="shared" si="27"/>
        <v>0</v>
      </c>
    </row>
    <row r="214" spans="1:23" x14ac:dyDescent="0.2">
      <c r="A214" s="6" t="s">
        <v>66</v>
      </c>
      <c r="B214" s="6">
        <v>2005</v>
      </c>
      <c r="C214" s="6"/>
      <c r="D214" s="6" t="s">
        <v>68</v>
      </c>
      <c r="E214" s="6" t="s">
        <v>3</v>
      </c>
      <c r="F214" s="6">
        <v>0</v>
      </c>
      <c r="G214" s="6"/>
      <c r="H214" s="6">
        <v>0</v>
      </c>
      <c r="I214" s="6"/>
      <c r="J214" s="6"/>
      <c r="K214" s="6"/>
      <c r="L214" s="6" t="str">
        <f t="shared" si="21"/>
        <v>Dmitry Cherepov</v>
      </c>
      <c r="M214" s="6" t="str">
        <f t="shared" si="22"/>
        <v>Rumor has it (Aniston, Costner)</v>
      </c>
      <c r="N214" s="9">
        <f t="shared" si="23"/>
        <v>0</v>
      </c>
      <c r="P214" t="str">
        <f t="shared" si="24"/>
        <v>"Dmitry Cherepov";"Rumor has it";"0"</v>
      </c>
      <c r="U214" t="str">
        <f t="shared" si="25"/>
        <v>Dmitry Cherepov</v>
      </c>
      <c r="V214" t="str">
        <f t="shared" si="26"/>
        <v>Rumor has it</v>
      </c>
      <c r="W214">
        <f t="shared" si="27"/>
        <v>0</v>
      </c>
    </row>
    <row r="215" spans="1:23" x14ac:dyDescent="0.2">
      <c r="A215" s="6" t="s">
        <v>49</v>
      </c>
      <c r="B215" s="6">
        <v>1998</v>
      </c>
      <c r="C215" s="6"/>
      <c r="D215" s="6" t="s">
        <v>68</v>
      </c>
      <c r="E215" s="6" t="s">
        <v>3</v>
      </c>
      <c r="F215" s="6">
        <v>0</v>
      </c>
      <c r="G215" s="6"/>
      <c r="H215" s="6">
        <v>0</v>
      </c>
      <c r="I215" s="6"/>
      <c r="J215" s="6"/>
      <c r="K215" s="6"/>
      <c r="L215" s="6" t="str">
        <f t="shared" si="21"/>
        <v>Dmitry Cherepov</v>
      </c>
      <c r="M215" s="6" t="str">
        <f t="shared" si="22"/>
        <v>Saving private Ryan (Hanks, Damon)</v>
      </c>
      <c r="N215" s="9">
        <f t="shared" si="23"/>
        <v>0</v>
      </c>
      <c r="P215" t="str">
        <f t="shared" si="24"/>
        <v>"Dmitry Cherepov";"Saving private Ryan";"0"</v>
      </c>
      <c r="U215" t="str">
        <f t="shared" si="25"/>
        <v>Dmitry Cherepov</v>
      </c>
      <c r="V215" t="str">
        <f t="shared" si="26"/>
        <v>Saving private Ryan</v>
      </c>
      <c r="W215">
        <f t="shared" si="27"/>
        <v>0</v>
      </c>
    </row>
    <row r="216" spans="1:23" x14ac:dyDescent="0.2">
      <c r="A216" s="6" t="s">
        <v>50</v>
      </c>
      <c r="B216" s="6">
        <v>1993</v>
      </c>
      <c r="C216" s="6"/>
      <c r="D216" s="6" t="s">
        <v>68</v>
      </c>
      <c r="E216" s="6" t="s">
        <v>3</v>
      </c>
      <c r="F216" s="6">
        <v>0</v>
      </c>
      <c r="G216" s="6"/>
      <c r="H216" s="6">
        <v>0</v>
      </c>
      <c r="I216" s="6"/>
      <c r="J216" s="6"/>
      <c r="K216" s="6"/>
      <c r="L216" s="6" t="str">
        <f t="shared" si="21"/>
        <v>Dmitry Cherepov</v>
      </c>
      <c r="M216" s="6" t="str">
        <f t="shared" si="22"/>
        <v>Schindlers List (Neeson, Fiennes)</v>
      </c>
      <c r="N216" s="9">
        <f t="shared" si="23"/>
        <v>0</v>
      </c>
      <c r="P216" t="str">
        <f t="shared" si="24"/>
        <v>"Dmitry Cherepov";"Schindlers List";"0"</v>
      </c>
      <c r="U216" t="str">
        <f t="shared" si="25"/>
        <v>Dmitry Cherepov</v>
      </c>
      <c r="V216" t="str">
        <f t="shared" si="26"/>
        <v>Schindlers List</v>
      </c>
      <c r="W216">
        <f t="shared" si="27"/>
        <v>0</v>
      </c>
    </row>
    <row r="217" spans="1:23" x14ac:dyDescent="0.2">
      <c r="A217" s="6" t="s">
        <v>51</v>
      </c>
      <c r="B217" s="6">
        <v>1996</v>
      </c>
      <c r="C217" s="6"/>
      <c r="D217" s="6" t="s">
        <v>68</v>
      </c>
      <c r="E217" s="6" t="s">
        <v>3</v>
      </c>
      <c r="F217" s="6">
        <v>0</v>
      </c>
      <c r="G217" s="6"/>
      <c r="H217" s="6">
        <v>0</v>
      </c>
      <c r="I217" s="6"/>
      <c r="J217" s="6"/>
      <c r="K217" s="6"/>
      <c r="L217" s="6" t="str">
        <f t="shared" si="21"/>
        <v>Dmitry Cherepov</v>
      </c>
      <c r="M217" s="6" t="str">
        <f t="shared" si="22"/>
        <v>Scream (Arquette, Campell)</v>
      </c>
      <c r="N217" s="9">
        <f t="shared" si="23"/>
        <v>0</v>
      </c>
      <c r="P217" t="str">
        <f t="shared" si="24"/>
        <v>"Dmitry Cherepov";"Scream";"0"</v>
      </c>
      <c r="U217" t="str">
        <f t="shared" si="25"/>
        <v>Dmitry Cherepov</v>
      </c>
      <c r="V217" t="str">
        <f t="shared" si="26"/>
        <v>Scream</v>
      </c>
      <c r="W217">
        <f t="shared" si="27"/>
        <v>0</v>
      </c>
    </row>
    <row r="218" spans="1:23" x14ac:dyDescent="0.2">
      <c r="A218" s="6" t="s">
        <v>52</v>
      </c>
      <c r="B218" s="6">
        <v>1977</v>
      </c>
      <c r="C218" s="6"/>
      <c r="D218" s="6" t="s">
        <v>68</v>
      </c>
      <c r="E218" s="6" t="s">
        <v>3</v>
      </c>
      <c r="F218" s="6">
        <v>0</v>
      </c>
      <c r="G218" s="6"/>
      <c r="H218" s="6">
        <v>0</v>
      </c>
      <c r="I218" s="6"/>
      <c r="J218" s="6"/>
      <c r="K218" s="6"/>
      <c r="L218" s="6" t="str">
        <f t="shared" si="21"/>
        <v>Dmitry Cherepov</v>
      </c>
      <c r="M218" s="6" t="str">
        <f t="shared" si="22"/>
        <v>Star Wars IV: A new hope (Hamill, Ford)</v>
      </c>
      <c r="N218" s="9">
        <f t="shared" si="23"/>
        <v>0</v>
      </c>
      <c r="P218" t="str">
        <f t="shared" si="24"/>
        <v>"Dmitry Cherepov";"Star Wars IV: A new hope";"0"</v>
      </c>
      <c r="U218" t="str">
        <f t="shared" si="25"/>
        <v>Dmitry Cherepov</v>
      </c>
      <c r="V218" t="str">
        <f t="shared" si="26"/>
        <v>Star Wars IV: A new hope</v>
      </c>
      <c r="W218">
        <f t="shared" si="27"/>
        <v>0</v>
      </c>
    </row>
    <row r="219" spans="1:23" x14ac:dyDescent="0.2">
      <c r="A219" s="6" t="s">
        <v>53</v>
      </c>
      <c r="B219" s="6">
        <v>2016</v>
      </c>
      <c r="C219" s="6"/>
      <c r="D219" s="6" t="s">
        <v>68</v>
      </c>
      <c r="E219" s="6" t="s">
        <v>2</v>
      </c>
      <c r="F219" s="6">
        <v>1</v>
      </c>
      <c r="G219" s="6">
        <v>2</v>
      </c>
      <c r="H219" s="6">
        <v>2</v>
      </c>
      <c r="I219" s="6"/>
      <c r="J219" s="6"/>
      <c r="K219" s="6"/>
      <c r="L219" s="6" t="str">
        <f t="shared" si="21"/>
        <v>Dmitry Cherepov</v>
      </c>
      <c r="M219" s="6" t="str">
        <f t="shared" si="22"/>
        <v>Suicide Squad (Smith, Robbie)</v>
      </c>
      <c r="N219" s="9">
        <f t="shared" si="23"/>
        <v>2</v>
      </c>
      <c r="P219" t="str">
        <f t="shared" si="24"/>
        <v>"Dmitry Cherepov";"Suicide Squad";"2"</v>
      </c>
      <c r="U219" t="str">
        <f t="shared" si="25"/>
        <v>Dmitry Cherepov</v>
      </c>
      <c r="V219" t="str">
        <f t="shared" si="26"/>
        <v>Suicide Squad</v>
      </c>
      <c r="W219">
        <f t="shared" si="27"/>
        <v>1</v>
      </c>
    </row>
    <row r="220" spans="1:23" x14ac:dyDescent="0.2">
      <c r="A220" s="6" t="s">
        <v>54</v>
      </c>
      <c r="B220" s="6">
        <v>2010</v>
      </c>
      <c r="C220" s="6"/>
      <c r="D220" s="6" t="s">
        <v>68</v>
      </c>
      <c r="E220" s="6" t="s">
        <v>3</v>
      </c>
      <c r="F220" s="6">
        <v>0</v>
      </c>
      <c r="G220" s="6"/>
      <c r="H220" s="6">
        <v>0</v>
      </c>
      <c r="I220" s="6"/>
      <c r="J220" s="6"/>
      <c r="K220" s="6"/>
      <c r="L220" s="6" t="str">
        <f t="shared" si="21"/>
        <v>Dmitry Cherepov</v>
      </c>
      <c r="M220" s="6" t="str">
        <f t="shared" si="22"/>
        <v>Tangled (Disney)</v>
      </c>
      <c r="N220" s="9">
        <f t="shared" si="23"/>
        <v>0</v>
      </c>
      <c r="P220" t="str">
        <f t="shared" si="24"/>
        <v>"Dmitry Cherepov";"Tangled";"0"</v>
      </c>
      <c r="U220" t="str">
        <f t="shared" si="25"/>
        <v>Dmitry Cherepov</v>
      </c>
      <c r="V220" t="str">
        <f t="shared" si="26"/>
        <v>Tangled</v>
      </c>
      <c r="W220">
        <f t="shared" si="27"/>
        <v>0</v>
      </c>
    </row>
    <row r="221" spans="1:23" x14ac:dyDescent="0.2">
      <c r="A221" s="6" t="s">
        <v>55</v>
      </c>
      <c r="B221" s="6">
        <v>2012</v>
      </c>
      <c r="C221" s="6"/>
      <c r="D221" s="6" t="s">
        <v>68</v>
      </c>
      <c r="E221" s="6" t="s">
        <v>2</v>
      </c>
      <c r="F221" s="6">
        <v>1</v>
      </c>
      <c r="G221" s="6">
        <v>3</v>
      </c>
      <c r="H221" s="6">
        <v>3</v>
      </c>
      <c r="I221" s="6"/>
      <c r="J221" s="6"/>
      <c r="K221" s="6"/>
      <c r="L221" s="6" t="str">
        <f t="shared" si="21"/>
        <v>Dmitry Cherepov</v>
      </c>
      <c r="M221" s="6" t="str">
        <f t="shared" si="22"/>
        <v>The Avengers (Downey Jr. Evans)</v>
      </c>
      <c r="N221" s="9">
        <f t="shared" si="23"/>
        <v>3</v>
      </c>
      <c r="P221" t="str">
        <f t="shared" si="24"/>
        <v>"Dmitry Cherepov";"The Avengers";"3"</v>
      </c>
      <c r="U221" t="str">
        <f t="shared" si="25"/>
        <v>Dmitry Cherepov</v>
      </c>
      <c r="V221" t="str">
        <f t="shared" si="26"/>
        <v>The Avengers</v>
      </c>
      <c r="W221">
        <f t="shared" si="27"/>
        <v>1</v>
      </c>
    </row>
    <row r="222" spans="1:23" x14ac:dyDescent="0.2">
      <c r="A222" s="6" t="s">
        <v>56</v>
      </c>
      <c r="B222" s="6">
        <v>1973</v>
      </c>
      <c r="C222" s="6"/>
      <c r="D222" s="6" t="s">
        <v>68</v>
      </c>
      <c r="E222" s="6" t="s">
        <v>3</v>
      </c>
      <c r="F222" s="6">
        <v>0</v>
      </c>
      <c r="G222" s="6"/>
      <c r="H222" s="6">
        <v>0</v>
      </c>
      <c r="I222" s="6"/>
      <c r="J222" s="6"/>
      <c r="K222" s="6"/>
      <c r="L222" s="6" t="str">
        <f t="shared" si="21"/>
        <v>Dmitry Cherepov</v>
      </c>
      <c r="M222" s="6" t="str">
        <f t="shared" si="22"/>
        <v>The Exorcist (von Sydow, Blair)</v>
      </c>
      <c r="N222" s="9">
        <f t="shared" si="23"/>
        <v>0</v>
      </c>
      <c r="P222" t="str">
        <f t="shared" si="24"/>
        <v>"Dmitry Cherepov";"The Exorcist";"0"</v>
      </c>
      <c r="U222" t="str">
        <f t="shared" si="25"/>
        <v>Dmitry Cherepov</v>
      </c>
      <c r="V222" t="str">
        <f t="shared" si="26"/>
        <v>The Exorcist</v>
      </c>
      <c r="W222">
        <f t="shared" si="27"/>
        <v>0</v>
      </c>
    </row>
    <row r="223" spans="1:23" x14ac:dyDescent="0.2">
      <c r="A223" s="6" t="s">
        <v>57</v>
      </c>
      <c r="B223" s="6">
        <v>1972</v>
      </c>
      <c r="C223" s="6"/>
      <c r="D223" s="6" t="s">
        <v>68</v>
      </c>
      <c r="E223" s="6" t="s">
        <v>2</v>
      </c>
      <c r="F223" s="6">
        <v>1</v>
      </c>
      <c r="G223" s="6">
        <v>5</v>
      </c>
      <c r="H223" s="6">
        <v>5</v>
      </c>
      <c r="I223" s="6"/>
      <c r="J223" s="6"/>
      <c r="K223" s="6"/>
      <c r="L223" s="6" t="str">
        <f t="shared" si="21"/>
        <v>Dmitry Cherepov</v>
      </c>
      <c r="M223" s="6" t="str">
        <f t="shared" si="22"/>
        <v>The Godfather (Brando, Pacino)</v>
      </c>
      <c r="N223" s="9">
        <f t="shared" si="23"/>
        <v>5</v>
      </c>
      <c r="P223" t="str">
        <f t="shared" si="24"/>
        <v>"Dmitry Cherepov";"The Godfather";"5"</v>
      </c>
      <c r="U223" t="str">
        <f t="shared" si="25"/>
        <v>Dmitry Cherepov</v>
      </c>
      <c r="V223" t="str">
        <f t="shared" si="26"/>
        <v>The Godfather</v>
      </c>
      <c r="W223">
        <f t="shared" si="27"/>
        <v>1</v>
      </c>
    </row>
    <row r="224" spans="1:23" x14ac:dyDescent="0.2">
      <c r="A224" s="6" t="s">
        <v>58</v>
      </c>
      <c r="B224" s="6">
        <v>1994</v>
      </c>
      <c r="C224" s="6"/>
      <c r="D224" s="6" t="s">
        <v>68</v>
      </c>
      <c r="E224" s="6" t="s">
        <v>3</v>
      </c>
      <c r="F224" s="6">
        <v>0</v>
      </c>
      <c r="G224" s="6"/>
      <c r="H224" s="6">
        <v>0</v>
      </c>
      <c r="I224" s="6"/>
      <c r="J224" s="6"/>
      <c r="K224" s="6"/>
      <c r="L224" s="6" t="str">
        <f t="shared" si="21"/>
        <v>Dmitry Cherepov</v>
      </c>
      <c r="M224" s="6" t="str">
        <f t="shared" si="22"/>
        <v>The Lion King (Disney)</v>
      </c>
      <c r="N224" s="9">
        <f t="shared" si="23"/>
        <v>0</v>
      </c>
      <c r="P224" t="str">
        <f t="shared" si="24"/>
        <v>"Dmitry Cherepov";"The Lion King";"0"</v>
      </c>
      <c r="U224" t="str">
        <f t="shared" si="25"/>
        <v>Dmitry Cherepov</v>
      </c>
      <c r="V224" t="str">
        <f t="shared" si="26"/>
        <v>The Lion King</v>
      </c>
      <c r="W224">
        <f t="shared" si="27"/>
        <v>0</v>
      </c>
    </row>
    <row r="225" spans="1:23" x14ac:dyDescent="0.2">
      <c r="A225" s="6" t="s">
        <v>59</v>
      </c>
      <c r="B225" s="6">
        <v>1999</v>
      </c>
      <c r="C225" s="6"/>
      <c r="D225" s="6" t="s">
        <v>68</v>
      </c>
      <c r="E225" s="6" t="s">
        <v>2</v>
      </c>
      <c r="F225" s="6">
        <v>1</v>
      </c>
      <c r="G225" s="6">
        <v>5</v>
      </c>
      <c r="H225" s="6">
        <v>5</v>
      </c>
      <c r="I225" s="6"/>
      <c r="J225" s="6"/>
      <c r="K225" s="6"/>
      <c r="L225" s="6" t="str">
        <f t="shared" si="21"/>
        <v>Dmitry Cherepov</v>
      </c>
      <c r="M225" s="6" t="str">
        <f t="shared" si="22"/>
        <v>The Matrix (Reeves, Fishburn)</v>
      </c>
      <c r="N225" s="9">
        <f t="shared" si="23"/>
        <v>5</v>
      </c>
      <c r="P225" t="str">
        <f t="shared" si="24"/>
        <v>"Dmitry Cherepov";"The Matrix";"5"</v>
      </c>
      <c r="U225" t="str">
        <f t="shared" si="25"/>
        <v>Dmitry Cherepov</v>
      </c>
      <c r="V225" t="str">
        <f t="shared" si="26"/>
        <v>The Matrix</v>
      </c>
      <c r="W225">
        <f t="shared" si="27"/>
        <v>1</v>
      </c>
    </row>
    <row r="226" spans="1:23" x14ac:dyDescent="0.2">
      <c r="A226" s="6" t="s">
        <v>60</v>
      </c>
      <c r="B226" s="6">
        <v>1980</v>
      </c>
      <c r="C226" s="6"/>
      <c r="D226" s="6" t="s">
        <v>68</v>
      </c>
      <c r="E226" s="6" t="s">
        <v>2</v>
      </c>
      <c r="F226" s="6">
        <v>1</v>
      </c>
      <c r="G226" s="6">
        <v>5</v>
      </c>
      <c r="H226" s="6">
        <v>5</v>
      </c>
      <c r="I226" s="6"/>
      <c r="J226" s="6"/>
      <c r="K226" s="6"/>
      <c r="L226" s="6" t="str">
        <f t="shared" si="21"/>
        <v>Dmitry Cherepov</v>
      </c>
      <c r="M226" s="6" t="str">
        <f t="shared" si="22"/>
        <v>The Shining (Nicholson, Duvall)</v>
      </c>
      <c r="N226" s="9">
        <f t="shared" si="23"/>
        <v>5</v>
      </c>
      <c r="P226" t="str">
        <f t="shared" si="24"/>
        <v>"Dmitry Cherepov";"The Shining";"5"</v>
      </c>
      <c r="U226" t="str">
        <f t="shared" si="25"/>
        <v>Dmitry Cherepov</v>
      </c>
      <c r="V226" t="str">
        <f t="shared" si="26"/>
        <v>The Shining</v>
      </c>
      <c r="W226">
        <f t="shared" si="27"/>
        <v>1</v>
      </c>
    </row>
    <row r="227" spans="1:23" x14ac:dyDescent="0.2">
      <c r="A227" s="6" t="s">
        <v>61</v>
      </c>
      <c r="B227" s="6">
        <v>1984</v>
      </c>
      <c r="C227" s="6"/>
      <c r="D227" s="6" t="s">
        <v>68</v>
      </c>
      <c r="E227" s="6" t="s">
        <v>2</v>
      </c>
      <c r="F227" s="6">
        <v>1</v>
      </c>
      <c r="G227" s="6">
        <v>5</v>
      </c>
      <c r="H227" s="6">
        <v>5</v>
      </c>
      <c r="I227" s="6"/>
      <c r="J227" s="6"/>
      <c r="K227" s="6"/>
      <c r="L227" s="6" t="str">
        <f t="shared" si="21"/>
        <v>Dmitry Cherepov</v>
      </c>
      <c r="M227" s="6" t="str">
        <f t="shared" si="22"/>
        <v>The Terminator (Schwarzenegger, Hamilton)</v>
      </c>
      <c r="N227" s="9">
        <f t="shared" si="23"/>
        <v>5</v>
      </c>
      <c r="P227" t="str">
        <f t="shared" si="24"/>
        <v>"Dmitry Cherepov";"The Terminator";"5"</v>
      </c>
      <c r="U227" t="str">
        <f t="shared" si="25"/>
        <v>Dmitry Cherepov</v>
      </c>
      <c r="V227" t="str">
        <f t="shared" si="26"/>
        <v>The Terminator</v>
      </c>
      <c r="W227">
        <f t="shared" si="27"/>
        <v>1</v>
      </c>
    </row>
    <row r="228" spans="1:23" x14ac:dyDescent="0.2">
      <c r="A228" s="6" t="s">
        <v>62</v>
      </c>
      <c r="B228" s="6">
        <v>1986</v>
      </c>
      <c r="C228" s="6"/>
      <c r="D228" s="6" t="s">
        <v>68</v>
      </c>
      <c r="E228" s="6" t="s">
        <v>3</v>
      </c>
      <c r="F228" s="6">
        <v>0</v>
      </c>
      <c r="G228" s="6"/>
      <c r="H228" s="6">
        <v>0</v>
      </c>
      <c r="I228" s="6"/>
      <c r="J228" s="6"/>
      <c r="K228" s="6"/>
      <c r="L228" s="6" t="str">
        <f t="shared" si="21"/>
        <v>Dmitry Cherepov</v>
      </c>
      <c r="M228" s="6" t="str">
        <f t="shared" si="22"/>
        <v>Top Gun (Cruise, McGillis)</v>
      </c>
      <c r="N228" s="9">
        <f t="shared" si="23"/>
        <v>0</v>
      </c>
      <c r="P228" t="str">
        <f t="shared" si="24"/>
        <v>"Dmitry Cherepov";"Top Gun";"0"</v>
      </c>
      <c r="U228" t="str">
        <f t="shared" si="25"/>
        <v>Dmitry Cherepov</v>
      </c>
      <c r="V228" t="str">
        <f t="shared" si="26"/>
        <v>Top Gun</v>
      </c>
      <c r="W228">
        <f t="shared" si="27"/>
        <v>0</v>
      </c>
    </row>
    <row r="229" spans="1:23" x14ac:dyDescent="0.2">
      <c r="A229" s="6" t="s">
        <v>63</v>
      </c>
      <c r="B229" s="6">
        <v>1995</v>
      </c>
      <c r="C229" s="6"/>
      <c r="D229" s="6" t="s">
        <v>68</v>
      </c>
      <c r="E229" s="6" t="s">
        <v>2</v>
      </c>
      <c r="F229" s="6">
        <v>1</v>
      </c>
      <c r="G229" s="6">
        <v>3.5</v>
      </c>
      <c r="H229" s="6">
        <v>3.5</v>
      </c>
      <c r="I229" s="6"/>
      <c r="J229" s="6"/>
      <c r="K229" s="6"/>
      <c r="L229" s="6" t="str">
        <f t="shared" si="21"/>
        <v>Dmitry Cherepov</v>
      </c>
      <c r="M229" s="6" t="str">
        <f t="shared" si="22"/>
        <v>Toy Story (Pixar)</v>
      </c>
      <c r="N229" s="9">
        <f t="shared" si="23"/>
        <v>3.5</v>
      </c>
      <c r="P229" t="str">
        <f t="shared" si="24"/>
        <v>"Dmitry Cherepov";"Toy Story";"3.5"</v>
      </c>
      <c r="U229" t="str">
        <f t="shared" si="25"/>
        <v>Dmitry Cherepov</v>
      </c>
      <c r="V229" t="str">
        <f t="shared" si="26"/>
        <v>Toy Story</v>
      </c>
      <c r="W229">
        <f t="shared" si="27"/>
        <v>1</v>
      </c>
    </row>
    <row r="230" spans="1:23" x14ac:dyDescent="0.2">
      <c r="A230" s="6" t="s">
        <v>8</v>
      </c>
      <c r="B230" s="6">
        <v>1968</v>
      </c>
      <c r="C230" s="6"/>
      <c r="D230" s="6" t="s">
        <v>69</v>
      </c>
      <c r="E230" s="6" t="s">
        <v>3</v>
      </c>
      <c r="F230" s="6">
        <v>0</v>
      </c>
      <c r="G230" s="6"/>
      <c r="H230" s="6">
        <v>0</v>
      </c>
      <c r="I230" s="6"/>
      <c r="J230" s="6"/>
      <c r="K230" s="6"/>
      <c r="L230" s="6" t="str">
        <f t="shared" si="21"/>
        <v>olka_dorn</v>
      </c>
      <c r="M230" s="6" t="str">
        <f t="shared" si="22"/>
        <v>2001: A Space Odyssey (Duella, Lockwood)</v>
      </c>
      <c r="N230" s="9">
        <f t="shared" si="23"/>
        <v>0</v>
      </c>
      <c r="P230" t="str">
        <f t="shared" si="24"/>
        <v>"olka_dorn";"2001: A Space Odyssey";"0"</v>
      </c>
      <c r="U230" t="str">
        <f t="shared" si="25"/>
        <v>olka_dorn</v>
      </c>
      <c r="V230" t="str">
        <f t="shared" si="26"/>
        <v>2001: A Space Odyssey</v>
      </c>
      <c r="W230">
        <f t="shared" si="27"/>
        <v>0</v>
      </c>
    </row>
    <row r="231" spans="1:23" x14ac:dyDescent="0.2">
      <c r="A231" s="6" t="s">
        <v>9</v>
      </c>
      <c r="B231" s="6">
        <v>1971</v>
      </c>
      <c r="C231" s="6"/>
      <c r="D231" s="6" t="s">
        <v>69</v>
      </c>
      <c r="E231" s="6" t="s">
        <v>2</v>
      </c>
      <c r="F231" s="6">
        <v>1</v>
      </c>
      <c r="G231" s="6">
        <v>5</v>
      </c>
      <c r="H231" s="6">
        <v>5</v>
      </c>
      <c r="I231" s="6"/>
      <c r="J231" s="6"/>
      <c r="K231" s="6"/>
      <c r="L231" s="6" t="str">
        <f t="shared" si="21"/>
        <v>olka_dorn</v>
      </c>
      <c r="M231" s="6" t="str">
        <f t="shared" si="22"/>
        <v>A Clockwork Orange (McDowell, Magee)</v>
      </c>
      <c r="N231" s="9">
        <f t="shared" si="23"/>
        <v>5</v>
      </c>
      <c r="P231" t="str">
        <f t="shared" si="24"/>
        <v>"olka_dorn";"A Clockwork Orange";"5"</v>
      </c>
      <c r="U231" t="str">
        <f t="shared" si="25"/>
        <v>olka_dorn</v>
      </c>
      <c r="V231" t="str">
        <f t="shared" si="26"/>
        <v>A Clockwork Orange</v>
      </c>
      <c r="W231">
        <f t="shared" si="27"/>
        <v>1</v>
      </c>
    </row>
    <row r="232" spans="1:23" x14ac:dyDescent="0.2">
      <c r="A232" s="6" t="s">
        <v>10</v>
      </c>
      <c r="B232" s="6">
        <v>2018</v>
      </c>
      <c r="C232" s="6"/>
      <c r="D232" s="6" t="s">
        <v>69</v>
      </c>
      <c r="E232" s="6" t="s">
        <v>3</v>
      </c>
      <c r="F232" s="6">
        <v>0</v>
      </c>
      <c r="G232" s="6"/>
      <c r="H232" s="6">
        <v>0</v>
      </c>
      <c r="I232" s="6"/>
      <c r="J232" s="6"/>
      <c r="K232" s="6"/>
      <c r="L232" s="6" t="str">
        <f t="shared" si="21"/>
        <v>olka_dorn</v>
      </c>
      <c r="M232" s="6" t="str">
        <f t="shared" si="22"/>
        <v>A star is born (Gaga, Cooper)</v>
      </c>
      <c r="N232" s="9">
        <f t="shared" si="23"/>
        <v>0</v>
      </c>
      <c r="P232" t="str">
        <f t="shared" si="24"/>
        <v>"olka_dorn";"A star is born";"0"</v>
      </c>
      <c r="U232" t="str">
        <f t="shared" si="25"/>
        <v>olka_dorn</v>
      </c>
      <c r="V232" t="str">
        <f t="shared" si="26"/>
        <v>A star is born</v>
      </c>
      <c r="W232">
        <f t="shared" si="27"/>
        <v>0</v>
      </c>
    </row>
    <row r="233" spans="1:23" x14ac:dyDescent="0.2">
      <c r="A233" s="6" t="s">
        <v>11</v>
      </c>
      <c r="B233" s="6">
        <v>2005</v>
      </c>
      <c r="C233" s="6"/>
      <c r="D233" s="6" t="s">
        <v>69</v>
      </c>
      <c r="E233" s="6" t="s">
        <v>3</v>
      </c>
      <c r="F233" s="6">
        <v>0</v>
      </c>
      <c r="G233" s="6"/>
      <c r="H233" s="6">
        <v>0</v>
      </c>
      <c r="I233" s="6"/>
      <c r="J233" s="6"/>
      <c r="K233" s="6"/>
      <c r="L233" s="6" t="str">
        <f t="shared" si="21"/>
        <v>olka_dorn</v>
      </c>
      <c r="M233" s="6" t="str">
        <f t="shared" si="22"/>
        <v>Aeon Flux (Theron, Csokas)</v>
      </c>
      <c r="N233" s="9">
        <f t="shared" si="23"/>
        <v>0</v>
      </c>
      <c r="P233" t="str">
        <f t="shared" si="24"/>
        <v>"olka_dorn";"Aeon Flux";"0"</v>
      </c>
      <c r="U233" t="str">
        <f t="shared" si="25"/>
        <v>olka_dorn</v>
      </c>
      <c r="V233" t="str">
        <f t="shared" si="26"/>
        <v>Aeon Flux</v>
      </c>
      <c r="W233">
        <f t="shared" si="27"/>
        <v>0</v>
      </c>
    </row>
    <row r="234" spans="1:23" x14ac:dyDescent="0.2">
      <c r="A234" s="6" t="s">
        <v>12</v>
      </c>
      <c r="B234" s="6">
        <v>1951</v>
      </c>
      <c r="C234" s="6"/>
      <c r="D234" s="6" t="s">
        <v>69</v>
      </c>
      <c r="E234" s="6" t="s">
        <v>3</v>
      </c>
      <c r="F234" s="6">
        <v>0</v>
      </c>
      <c r="G234" s="6"/>
      <c r="H234" s="6">
        <v>0</v>
      </c>
      <c r="I234" s="6"/>
      <c r="J234" s="6"/>
      <c r="K234" s="6"/>
      <c r="L234" s="6" t="str">
        <f t="shared" si="21"/>
        <v>olka_dorn</v>
      </c>
      <c r="M234" s="6" t="str">
        <f t="shared" si="22"/>
        <v>African Queen (Bogart, Hepburn)</v>
      </c>
      <c r="N234" s="9">
        <f t="shared" si="23"/>
        <v>0</v>
      </c>
      <c r="P234" t="str">
        <f t="shared" si="24"/>
        <v>"olka_dorn";"African Queen";"0"</v>
      </c>
      <c r="U234" t="str">
        <f t="shared" si="25"/>
        <v>olka_dorn</v>
      </c>
      <c r="V234" t="str">
        <f t="shared" si="26"/>
        <v>African Queen</v>
      </c>
      <c r="W234">
        <f t="shared" si="27"/>
        <v>0</v>
      </c>
    </row>
    <row r="235" spans="1:23" x14ac:dyDescent="0.2">
      <c r="A235" s="6" t="s">
        <v>13</v>
      </c>
      <c r="B235" s="6">
        <v>1979</v>
      </c>
      <c r="C235" s="6"/>
      <c r="D235" s="6" t="s">
        <v>69</v>
      </c>
      <c r="E235" s="6" t="s">
        <v>3</v>
      </c>
      <c r="F235" s="6">
        <v>0</v>
      </c>
      <c r="G235" s="6"/>
      <c r="H235" s="6">
        <v>0</v>
      </c>
      <c r="I235" s="6"/>
      <c r="J235" s="6"/>
      <c r="K235" s="6"/>
      <c r="L235" s="6" t="str">
        <f t="shared" si="21"/>
        <v>olka_dorn</v>
      </c>
      <c r="M235" s="6" t="str">
        <f t="shared" si="22"/>
        <v>Alien (Weaver, Skerritt)</v>
      </c>
      <c r="N235" s="9">
        <f t="shared" si="23"/>
        <v>0</v>
      </c>
      <c r="P235" t="str">
        <f t="shared" si="24"/>
        <v>"olka_dorn";"Alien";"0"</v>
      </c>
      <c r="U235" t="str">
        <f t="shared" si="25"/>
        <v>olka_dorn</v>
      </c>
      <c r="V235" t="str">
        <f t="shared" si="26"/>
        <v>Alien</v>
      </c>
      <c r="W235">
        <f t="shared" si="27"/>
        <v>0</v>
      </c>
    </row>
    <row r="236" spans="1:23" x14ac:dyDescent="0.2">
      <c r="A236" s="6" t="s">
        <v>14</v>
      </c>
      <c r="B236" s="6">
        <v>1960</v>
      </c>
      <c r="C236" s="6"/>
      <c r="D236" s="6" t="s">
        <v>69</v>
      </c>
      <c r="E236" s="6" t="s">
        <v>3</v>
      </c>
      <c r="F236" s="6">
        <v>0</v>
      </c>
      <c r="G236" s="6"/>
      <c r="H236" s="6">
        <v>0</v>
      </c>
      <c r="I236" s="6"/>
      <c r="J236" s="6"/>
      <c r="K236" s="6"/>
      <c r="L236" s="6" t="str">
        <f t="shared" si="21"/>
        <v>olka_dorn</v>
      </c>
      <c r="M236" s="6" t="str">
        <f t="shared" si="22"/>
        <v>Apartment (Lemmon, MacLaine)</v>
      </c>
      <c r="N236" s="9">
        <f t="shared" si="23"/>
        <v>0</v>
      </c>
      <c r="P236" t="str">
        <f t="shared" si="24"/>
        <v>"olka_dorn";"Apartment";"0"</v>
      </c>
      <c r="U236" t="str">
        <f t="shared" si="25"/>
        <v>olka_dorn</v>
      </c>
      <c r="V236" t="str">
        <f t="shared" si="26"/>
        <v>Apartment</v>
      </c>
      <c r="W236">
        <f t="shared" si="27"/>
        <v>0</v>
      </c>
    </row>
    <row r="237" spans="1:23" x14ac:dyDescent="0.2">
      <c r="A237" s="6" t="s">
        <v>15</v>
      </c>
      <c r="B237" s="6">
        <v>1979</v>
      </c>
      <c r="C237" s="6"/>
      <c r="D237" s="6" t="s">
        <v>69</v>
      </c>
      <c r="E237" s="6" t="s">
        <v>3</v>
      </c>
      <c r="F237" s="6">
        <v>0</v>
      </c>
      <c r="G237" s="6"/>
      <c r="H237" s="6">
        <v>0</v>
      </c>
      <c r="I237" s="6"/>
      <c r="J237" s="6"/>
      <c r="K237" s="6"/>
      <c r="L237" s="6" t="str">
        <f t="shared" si="21"/>
        <v>olka_dorn</v>
      </c>
      <c r="M237" s="6" t="str">
        <f t="shared" si="22"/>
        <v>Apocalypse Now (Sheen, Brando)</v>
      </c>
      <c r="N237" s="9">
        <f t="shared" si="23"/>
        <v>0</v>
      </c>
      <c r="P237" t="str">
        <f t="shared" si="24"/>
        <v>"olka_dorn";"Apocalypse Now";"0"</v>
      </c>
      <c r="U237" t="str">
        <f t="shared" si="25"/>
        <v>olka_dorn</v>
      </c>
      <c r="V237" t="str">
        <f t="shared" si="26"/>
        <v>Apocalypse Now</v>
      </c>
      <c r="W237">
        <f t="shared" si="27"/>
        <v>0</v>
      </c>
    </row>
    <row r="238" spans="1:23" x14ac:dyDescent="0.2">
      <c r="A238" s="6" t="s">
        <v>16</v>
      </c>
      <c r="B238" s="6">
        <v>1956</v>
      </c>
      <c r="C238" s="6"/>
      <c r="D238" s="6" t="s">
        <v>69</v>
      </c>
      <c r="E238" s="6" t="s">
        <v>3</v>
      </c>
      <c r="F238" s="6">
        <v>0</v>
      </c>
      <c r="G238" s="6"/>
      <c r="H238" s="6">
        <v>0</v>
      </c>
      <c r="I238" s="6"/>
      <c r="J238" s="6"/>
      <c r="K238" s="6"/>
      <c r="L238" s="6" t="str">
        <f t="shared" si="21"/>
        <v>olka_dorn</v>
      </c>
      <c r="M238" s="6" t="str">
        <f t="shared" si="22"/>
        <v>Around The World In 80 Days (Niven, Cantinflas)</v>
      </c>
      <c r="N238" s="9">
        <f t="shared" si="23"/>
        <v>0</v>
      </c>
      <c r="P238" t="str">
        <f t="shared" si="24"/>
        <v>"olka_dorn";"Around The World In 80 Days";"0"</v>
      </c>
      <c r="U238" t="str">
        <f t="shared" si="25"/>
        <v>olka_dorn</v>
      </c>
      <c r="V238" t="str">
        <f t="shared" si="26"/>
        <v>Around The World In 80 Days</v>
      </c>
      <c r="W238">
        <f t="shared" si="27"/>
        <v>0</v>
      </c>
    </row>
    <row r="239" spans="1:23" x14ac:dyDescent="0.2">
      <c r="A239" s="6" t="s">
        <v>17</v>
      </c>
      <c r="B239" s="6">
        <v>2009</v>
      </c>
      <c r="C239" s="6"/>
      <c r="D239" s="6" t="s">
        <v>69</v>
      </c>
      <c r="E239" s="6" t="s">
        <v>2</v>
      </c>
      <c r="F239" s="6">
        <v>1</v>
      </c>
      <c r="G239" s="6">
        <v>4</v>
      </c>
      <c r="H239" s="6">
        <v>4</v>
      </c>
      <c r="I239" s="6"/>
      <c r="J239" s="6"/>
      <c r="K239" s="6"/>
      <c r="L239" s="6" t="str">
        <f t="shared" si="21"/>
        <v>olka_dorn</v>
      </c>
      <c r="M239" s="6" t="str">
        <f t="shared" si="22"/>
        <v>Avatar (Worthington, Saldana)</v>
      </c>
      <c r="N239" s="9">
        <f t="shared" si="23"/>
        <v>4</v>
      </c>
      <c r="P239" t="str">
        <f t="shared" si="24"/>
        <v>"olka_dorn";"Avatar";"4"</v>
      </c>
      <c r="U239" t="str">
        <f t="shared" si="25"/>
        <v>olka_dorn</v>
      </c>
      <c r="V239" t="str">
        <f t="shared" si="26"/>
        <v>Avatar</v>
      </c>
      <c r="W239">
        <f t="shared" si="27"/>
        <v>1</v>
      </c>
    </row>
    <row r="240" spans="1:23" x14ac:dyDescent="0.2">
      <c r="A240" s="6" t="s">
        <v>18</v>
      </c>
      <c r="B240" s="6">
        <v>1989</v>
      </c>
      <c r="C240" s="6"/>
      <c r="D240" s="6" t="s">
        <v>69</v>
      </c>
      <c r="E240" s="6" t="s">
        <v>2</v>
      </c>
      <c r="F240" s="6">
        <v>1</v>
      </c>
      <c r="G240" s="6">
        <v>5</v>
      </c>
      <c r="H240" s="6">
        <v>5</v>
      </c>
      <c r="I240" s="6"/>
      <c r="J240" s="6"/>
      <c r="K240" s="6"/>
      <c r="L240" s="6" t="str">
        <f t="shared" si="21"/>
        <v>olka_dorn</v>
      </c>
      <c r="M240" s="6" t="str">
        <f t="shared" si="22"/>
        <v>Batman (Keaton, Nicholson, Basinger)</v>
      </c>
      <c r="N240" s="9">
        <f t="shared" si="23"/>
        <v>5</v>
      </c>
      <c r="P240" t="str">
        <f t="shared" si="24"/>
        <v>"olka_dorn";"Batman";"5"</v>
      </c>
      <c r="U240" t="str">
        <f t="shared" si="25"/>
        <v>olka_dorn</v>
      </c>
      <c r="V240" t="str">
        <f t="shared" si="26"/>
        <v>Batman</v>
      </c>
      <c r="W240">
        <f t="shared" si="27"/>
        <v>1</v>
      </c>
    </row>
    <row r="241" spans="1:23" x14ac:dyDescent="0.2">
      <c r="A241" s="6" t="s">
        <v>19</v>
      </c>
      <c r="B241" s="6">
        <v>1982</v>
      </c>
      <c r="C241" s="6"/>
      <c r="D241" s="6" t="s">
        <v>69</v>
      </c>
      <c r="E241" s="6" t="s">
        <v>3</v>
      </c>
      <c r="F241" s="6">
        <v>0</v>
      </c>
      <c r="G241" s="6"/>
      <c r="H241" s="6">
        <v>0</v>
      </c>
      <c r="I241" s="6"/>
      <c r="J241" s="6"/>
      <c r="K241" s="6"/>
      <c r="L241" s="6" t="str">
        <f t="shared" si="21"/>
        <v>olka_dorn</v>
      </c>
      <c r="M241" s="6" t="str">
        <f t="shared" si="22"/>
        <v>Blade Runner (Ford, Hauer)</v>
      </c>
      <c r="N241" s="9">
        <f t="shared" si="23"/>
        <v>0</v>
      </c>
      <c r="P241" t="str">
        <f t="shared" si="24"/>
        <v>"olka_dorn";"Blade Runner";"0"</v>
      </c>
      <c r="U241" t="str">
        <f t="shared" si="25"/>
        <v>olka_dorn</v>
      </c>
      <c r="V241" t="str">
        <f t="shared" si="26"/>
        <v>Blade Runner</v>
      </c>
      <c r="W241">
        <f t="shared" si="27"/>
        <v>0</v>
      </c>
    </row>
    <row r="242" spans="1:23" x14ac:dyDescent="0.2">
      <c r="A242" s="6" t="s">
        <v>20</v>
      </c>
      <c r="B242" s="6">
        <v>2018</v>
      </c>
      <c r="C242" s="6"/>
      <c r="D242" s="6" t="s">
        <v>69</v>
      </c>
      <c r="E242" s="6" t="s">
        <v>3</v>
      </c>
      <c r="F242" s="6">
        <v>0</v>
      </c>
      <c r="G242" s="6"/>
      <c r="H242" s="6">
        <v>0</v>
      </c>
      <c r="I242" s="6"/>
      <c r="J242" s="6"/>
      <c r="K242" s="6"/>
      <c r="L242" s="6" t="str">
        <f t="shared" si="21"/>
        <v>olka_dorn</v>
      </c>
      <c r="M242" s="6" t="str">
        <f t="shared" si="22"/>
        <v>Bohemian Rhapsody (Malek, Boynton)</v>
      </c>
      <c r="N242" s="9">
        <f t="shared" si="23"/>
        <v>0</v>
      </c>
      <c r="P242" t="str">
        <f t="shared" si="24"/>
        <v>"olka_dorn";"Bohemian Rhapsody";"0"</v>
      </c>
      <c r="U242" t="str">
        <f t="shared" si="25"/>
        <v>olka_dorn</v>
      </c>
      <c r="V242" t="str">
        <f t="shared" si="26"/>
        <v>Bohemian Rhapsody</v>
      </c>
      <c r="W242">
        <f t="shared" si="27"/>
        <v>0</v>
      </c>
    </row>
    <row r="243" spans="1:23" x14ac:dyDescent="0.2">
      <c r="A243" s="6" t="s">
        <v>21</v>
      </c>
      <c r="B243" s="6">
        <v>2011</v>
      </c>
      <c r="C243" s="6"/>
      <c r="D243" s="6" t="s">
        <v>69</v>
      </c>
      <c r="E243" s="6" t="s">
        <v>3</v>
      </c>
      <c r="F243" s="6">
        <v>0</v>
      </c>
      <c r="G243" s="6"/>
      <c r="H243" s="6">
        <v>0</v>
      </c>
      <c r="I243" s="6"/>
      <c r="J243" s="6"/>
      <c r="K243" s="6"/>
      <c r="L243" s="6" t="str">
        <f t="shared" si="21"/>
        <v>olka_dorn</v>
      </c>
      <c r="M243" s="6" t="str">
        <f t="shared" si="22"/>
        <v>Captain America (Evans, Waeving)</v>
      </c>
      <c r="N243" s="9">
        <f t="shared" si="23"/>
        <v>0</v>
      </c>
      <c r="P243" t="str">
        <f t="shared" si="24"/>
        <v>"olka_dorn";"Captain America";"0"</v>
      </c>
      <c r="U243" t="str">
        <f t="shared" si="25"/>
        <v>olka_dorn</v>
      </c>
      <c r="V243" t="str">
        <f t="shared" si="26"/>
        <v>Captain America</v>
      </c>
      <c r="W243">
        <f t="shared" si="27"/>
        <v>0</v>
      </c>
    </row>
    <row r="244" spans="1:23" x14ac:dyDescent="0.2">
      <c r="A244" s="6" t="s">
        <v>22</v>
      </c>
      <c r="B244" s="6">
        <v>2000</v>
      </c>
      <c r="C244" s="6"/>
      <c r="D244" s="6" t="s">
        <v>69</v>
      </c>
      <c r="E244" s="6" t="s">
        <v>2</v>
      </c>
      <c r="F244" s="6">
        <v>1</v>
      </c>
      <c r="G244" s="6">
        <v>4</v>
      </c>
      <c r="H244" s="6">
        <v>4</v>
      </c>
      <c r="I244" s="6"/>
      <c r="J244" s="6"/>
      <c r="K244" s="6"/>
      <c r="L244" s="6" t="str">
        <f t="shared" si="21"/>
        <v>olka_dorn</v>
      </c>
      <c r="M244" s="6" t="str">
        <f t="shared" si="22"/>
        <v>Cast Away (Hanks, Hunt)</v>
      </c>
      <c r="N244" s="9">
        <f t="shared" si="23"/>
        <v>4</v>
      </c>
      <c r="P244" t="str">
        <f t="shared" si="24"/>
        <v>"olka_dorn";"Cast Away";"4"</v>
      </c>
      <c r="U244" t="str">
        <f t="shared" si="25"/>
        <v>olka_dorn</v>
      </c>
      <c r="V244" t="str">
        <f t="shared" si="26"/>
        <v>Cast Away</v>
      </c>
      <c r="W244">
        <f t="shared" si="27"/>
        <v>1</v>
      </c>
    </row>
    <row r="245" spans="1:23" x14ac:dyDescent="0.2">
      <c r="A245" s="6" t="s">
        <v>23</v>
      </c>
      <c r="B245" s="6">
        <v>1958</v>
      </c>
      <c r="C245" s="6"/>
      <c r="D245" s="6" t="s">
        <v>69</v>
      </c>
      <c r="E245" s="6" t="s">
        <v>3</v>
      </c>
      <c r="F245" s="6">
        <v>0</v>
      </c>
      <c r="G245" s="6"/>
      <c r="H245" s="6">
        <v>0</v>
      </c>
      <c r="I245" s="6"/>
      <c r="J245" s="6"/>
      <c r="K245" s="6"/>
      <c r="L245" s="6" t="str">
        <f t="shared" si="21"/>
        <v>olka_dorn</v>
      </c>
      <c r="M245" s="6" t="str">
        <f t="shared" si="22"/>
        <v>Cat On Hot Tin Roof (Taylor, Newman)</v>
      </c>
      <c r="N245" s="9">
        <f t="shared" si="23"/>
        <v>0</v>
      </c>
      <c r="P245" t="str">
        <f t="shared" si="24"/>
        <v>"olka_dorn";"Cat On Hot Tin Roof";"0"</v>
      </c>
      <c r="U245" t="str">
        <f t="shared" si="25"/>
        <v>olka_dorn</v>
      </c>
      <c r="V245" t="str">
        <f t="shared" si="26"/>
        <v>Cat On Hot Tin Roof</v>
      </c>
      <c r="W245">
        <f t="shared" si="27"/>
        <v>0</v>
      </c>
    </row>
    <row r="246" spans="1:23" x14ac:dyDescent="0.2">
      <c r="A246" s="6" t="s">
        <v>24</v>
      </c>
      <c r="B246" s="6">
        <v>1963</v>
      </c>
      <c r="C246" s="6"/>
      <c r="D246" s="6" t="s">
        <v>69</v>
      </c>
      <c r="E246" s="6" t="s">
        <v>2</v>
      </c>
      <c r="F246" s="6">
        <v>1</v>
      </c>
      <c r="G246" s="6">
        <v>5</v>
      </c>
      <c r="H246" s="6">
        <v>5</v>
      </c>
      <c r="I246" s="6"/>
      <c r="J246" s="6"/>
      <c r="K246" s="6"/>
      <c r="L246" s="6" t="str">
        <f t="shared" si="21"/>
        <v>olka_dorn</v>
      </c>
      <c r="M246" s="6" t="str">
        <f t="shared" si="22"/>
        <v>Charade (Grant, Hepburn)</v>
      </c>
      <c r="N246" s="9">
        <f t="shared" si="23"/>
        <v>5</v>
      </c>
      <c r="P246" t="str">
        <f t="shared" si="24"/>
        <v>"olka_dorn";"Charade";"5"</v>
      </c>
      <c r="U246" t="str">
        <f t="shared" si="25"/>
        <v>olka_dorn</v>
      </c>
      <c r="V246" t="str">
        <f t="shared" si="26"/>
        <v>Charade</v>
      </c>
      <c r="W246">
        <f t="shared" si="27"/>
        <v>1</v>
      </c>
    </row>
    <row r="247" spans="1:23" x14ac:dyDescent="0.2">
      <c r="A247" s="6" t="s">
        <v>25</v>
      </c>
      <c r="B247" s="6">
        <v>2000</v>
      </c>
      <c r="C247" s="6"/>
      <c r="D247" s="6" t="s">
        <v>69</v>
      </c>
      <c r="E247" s="6" t="s">
        <v>2</v>
      </c>
      <c r="F247" s="6">
        <v>1</v>
      </c>
      <c r="G247" s="6">
        <v>3</v>
      </c>
      <c r="H247" s="6">
        <v>3</v>
      </c>
      <c r="I247" s="6"/>
      <c r="J247" s="6"/>
      <c r="K247" s="6"/>
      <c r="L247" s="6" t="str">
        <f t="shared" si="21"/>
        <v>olka_dorn</v>
      </c>
      <c r="M247" s="6" t="str">
        <f t="shared" si="22"/>
        <v>Charlies Angels (Diaz, Barrymore, Liu)</v>
      </c>
      <c r="N247" s="9">
        <f t="shared" si="23"/>
        <v>3</v>
      </c>
      <c r="P247" t="str">
        <f t="shared" si="24"/>
        <v>"olka_dorn";"Charlies Angels";"3"</v>
      </c>
      <c r="U247" t="str">
        <f t="shared" si="25"/>
        <v>olka_dorn</v>
      </c>
      <c r="V247" t="str">
        <f t="shared" si="26"/>
        <v>Charlies Angels</v>
      </c>
      <c r="W247">
        <f t="shared" si="27"/>
        <v>1</v>
      </c>
    </row>
    <row r="248" spans="1:23" x14ac:dyDescent="0.2">
      <c r="A248" s="6" t="s">
        <v>26</v>
      </c>
      <c r="B248" s="6">
        <v>1974</v>
      </c>
      <c r="C248" s="6"/>
      <c r="D248" s="6" t="s">
        <v>69</v>
      </c>
      <c r="E248" s="6" t="s">
        <v>3</v>
      </c>
      <c r="F248" s="6">
        <v>0</v>
      </c>
      <c r="G248" s="6"/>
      <c r="H248" s="6">
        <v>0</v>
      </c>
      <c r="I248" s="6"/>
      <c r="J248" s="6"/>
      <c r="K248" s="6"/>
      <c r="L248" s="6" t="str">
        <f t="shared" si="21"/>
        <v>olka_dorn</v>
      </c>
      <c r="M248" s="6" t="str">
        <f t="shared" si="22"/>
        <v>Chinatown (Nicholson, Dunaway)</v>
      </c>
      <c r="N248" s="9">
        <f t="shared" si="23"/>
        <v>0</v>
      </c>
      <c r="P248" t="str">
        <f t="shared" si="24"/>
        <v>"olka_dorn";"Chinatown";"0"</v>
      </c>
      <c r="U248" t="str">
        <f t="shared" si="25"/>
        <v>olka_dorn</v>
      </c>
      <c r="V248" t="str">
        <f t="shared" si="26"/>
        <v>Chinatown</v>
      </c>
      <c r="W248">
        <f t="shared" si="27"/>
        <v>0</v>
      </c>
    </row>
    <row r="249" spans="1:23" x14ac:dyDescent="0.2">
      <c r="A249" s="6" t="s">
        <v>27</v>
      </c>
      <c r="B249" s="6">
        <v>1986</v>
      </c>
      <c r="C249" s="6"/>
      <c r="D249" s="6" t="s">
        <v>69</v>
      </c>
      <c r="E249" s="6" t="s">
        <v>3</v>
      </c>
      <c r="F249" s="6">
        <v>0</v>
      </c>
      <c r="G249" s="6"/>
      <c r="H249" s="6">
        <v>0</v>
      </c>
      <c r="I249" s="6"/>
      <c r="J249" s="6"/>
      <c r="K249" s="6"/>
      <c r="L249" s="6" t="str">
        <f t="shared" si="21"/>
        <v>olka_dorn</v>
      </c>
      <c r="M249" s="6" t="str">
        <f t="shared" si="22"/>
        <v>Clockwise (Gleese, Leatherbarrow)</v>
      </c>
      <c r="N249" s="9">
        <f t="shared" si="23"/>
        <v>0</v>
      </c>
      <c r="P249" t="str">
        <f t="shared" si="24"/>
        <v>"olka_dorn";"Clockwise";"0"</v>
      </c>
      <c r="U249" t="str">
        <f t="shared" si="25"/>
        <v>olka_dorn</v>
      </c>
      <c r="V249" t="str">
        <f t="shared" si="26"/>
        <v>Clockwise</v>
      </c>
      <c r="W249">
        <f t="shared" si="27"/>
        <v>0</v>
      </c>
    </row>
    <row r="250" spans="1:23" x14ac:dyDescent="0.2">
      <c r="A250" s="6" t="s">
        <v>28</v>
      </c>
      <c r="B250" s="6">
        <v>2011</v>
      </c>
      <c r="C250" s="6"/>
      <c r="D250" s="6" t="s">
        <v>69</v>
      </c>
      <c r="E250" s="6" t="s">
        <v>3</v>
      </c>
      <c r="F250" s="6">
        <v>0</v>
      </c>
      <c r="G250" s="6"/>
      <c r="H250" s="6">
        <v>0</v>
      </c>
      <c r="I250" s="6"/>
      <c r="J250" s="6"/>
      <c r="K250" s="6"/>
      <c r="L250" s="6" t="str">
        <f t="shared" si="21"/>
        <v>olka_dorn</v>
      </c>
      <c r="M250" s="6" t="str">
        <f t="shared" si="22"/>
        <v>Colombiana (Saldana, Molla)</v>
      </c>
      <c r="N250" s="9">
        <f t="shared" si="23"/>
        <v>0</v>
      </c>
      <c r="P250" t="str">
        <f t="shared" si="24"/>
        <v>"olka_dorn";"Colombiana";"0"</v>
      </c>
      <c r="U250" t="str">
        <f t="shared" si="25"/>
        <v>olka_dorn</v>
      </c>
      <c r="V250" t="str">
        <f t="shared" si="26"/>
        <v>Colombiana</v>
      </c>
      <c r="W250">
        <f t="shared" si="27"/>
        <v>0</v>
      </c>
    </row>
    <row r="251" spans="1:23" x14ac:dyDescent="0.2">
      <c r="A251" s="6" t="s">
        <v>29</v>
      </c>
      <c r="B251" s="6">
        <v>1962</v>
      </c>
      <c r="C251" s="6"/>
      <c r="D251" s="6" t="s">
        <v>69</v>
      </c>
      <c r="E251" s="6" t="s">
        <v>3</v>
      </c>
      <c r="F251" s="6">
        <v>0</v>
      </c>
      <c r="G251" s="6"/>
      <c r="H251" s="6">
        <v>0</v>
      </c>
      <c r="I251" s="6"/>
      <c r="J251" s="6"/>
      <c r="K251" s="6"/>
      <c r="L251" s="6" t="str">
        <f t="shared" si="21"/>
        <v>olka_dorn</v>
      </c>
      <c r="M251" s="6" t="str">
        <f t="shared" si="22"/>
        <v>Doctor No (Connery, Andress)</v>
      </c>
      <c r="N251" s="9">
        <f t="shared" si="23"/>
        <v>0</v>
      </c>
      <c r="P251" t="str">
        <f t="shared" si="24"/>
        <v>"olka_dorn";"Doctor No";"0"</v>
      </c>
      <c r="U251" t="str">
        <f t="shared" si="25"/>
        <v>olka_dorn</v>
      </c>
      <c r="V251" t="str">
        <f t="shared" si="26"/>
        <v>Doctor No</v>
      </c>
      <c r="W251">
        <f t="shared" si="27"/>
        <v>0</v>
      </c>
    </row>
    <row r="252" spans="1:23" x14ac:dyDescent="0.2">
      <c r="A252" s="6" t="s">
        <v>30</v>
      </c>
      <c r="B252" s="6">
        <v>1965</v>
      </c>
      <c r="C252" s="6"/>
      <c r="D252" s="6" t="s">
        <v>69</v>
      </c>
      <c r="E252" s="6" t="s">
        <v>3</v>
      </c>
      <c r="F252" s="6">
        <v>0</v>
      </c>
      <c r="G252" s="6"/>
      <c r="H252" s="6">
        <v>0</v>
      </c>
      <c r="I252" s="6"/>
      <c r="J252" s="6"/>
      <c r="K252" s="6"/>
      <c r="L252" s="6" t="str">
        <f t="shared" si="21"/>
        <v>olka_dorn</v>
      </c>
      <c r="M252" s="6" t="str">
        <f t="shared" si="22"/>
        <v>Doctor Zhiwago (Sharif, Christie)</v>
      </c>
      <c r="N252" s="9">
        <f t="shared" si="23"/>
        <v>0</v>
      </c>
      <c r="P252" t="str">
        <f t="shared" si="24"/>
        <v>"olka_dorn";"Doctor Zhiwago";"0"</v>
      </c>
      <c r="U252" t="str">
        <f t="shared" si="25"/>
        <v>olka_dorn</v>
      </c>
      <c r="V252" t="str">
        <f t="shared" si="26"/>
        <v>Doctor Zhiwago</v>
      </c>
      <c r="W252">
        <f t="shared" si="27"/>
        <v>0</v>
      </c>
    </row>
    <row r="253" spans="1:23" x14ac:dyDescent="0.2">
      <c r="A253" s="6" t="s">
        <v>31</v>
      </c>
      <c r="B253" s="6">
        <v>1964</v>
      </c>
      <c r="C253" s="6"/>
      <c r="D253" s="6" t="s">
        <v>69</v>
      </c>
      <c r="E253" s="6" t="s">
        <v>3</v>
      </c>
      <c r="F253" s="6">
        <v>0</v>
      </c>
      <c r="G253" s="6"/>
      <c r="H253" s="6">
        <v>0</v>
      </c>
      <c r="I253" s="6"/>
      <c r="J253" s="6"/>
      <c r="K253" s="6"/>
      <c r="L253" s="6" t="str">
        <f t="shared" si="21"/>
        <v>olka_dorn</v>
      </c>
      <c r="M253" s="6" t="str">
        <f t="shared" si="22"/>
        <v>Dr. Strangelove… (Sellers, Scott)</v>
      </c>
      <c r="N253" s="9">
        <f t="shared" si="23"/>
        <v>0</v>
      </c>
      <c r="P253" t="str">
        <f t="shared" si="24"/>
        <v>"olka_dorn";"Dr. Strangelove…";"0"</v>
      </c>
      <c r="U253" t="str">
        <f t="shared" si="25"/>
        <v>olka_dorn</v>
      </c>
      <c r="V253" t="str">
        <f t="shared" si="26"/>
        <v>Dr. Strangelove…</v>
      </c>
      <c r="W253">
        <f t="shared" si="27"/>
        <v>0</v>
      </c>
    </row>
    <row r="254" spans="1:23" x14ac:dyDescent="0.2">
      <c r="A254" s="6" t="s">
        <v>32</v>
      </c>
      <c r="B254" s="6">
        <v>2000</v>
      </c>
      <c r="C254" s="6"/>
      <c r="D254" s="6" t="s">
        <v>69</v>
      </c>
      <c r="E254" s="6" t="s">
        <v>3</v>
      </c>
      <c r="F254" s="6">
        <v>0</v>
      </c>
      <c r="G254" s="6"/>
      <c r="H254" s="6">
        <v>0</v>
      </c>
      <c r="I254" s="6"/>
      <c r="J254" s="6"/>
      <c r="K254" s="6"/>
      <c r="L254" s="6" t="str">
        <f t="shared" si="21"/>
        <v>olka_dorn</v>
      </c>
      <c r="M254" s="6" t="str">
        <f t="shared" si="22"/>
        <v>Dr. T and the women (Gere, Hunt)</v>
      </c>
      <c r="N254" s="9">
        <f t="shared" si="23"/>
        <v>0</v>
      </c>
      <c r="P254" t="str">
        <f t="shared" si="24"/>
        <v>"olka_dorn";"Dr. T and the women";"0"</v>
      </c>
      <c r="U254" t="str">
        <f t="shared" si="25"/>
        <v>olka_dorn</v>
      </c>
      <c r="V254" t="str">
        <f t="shared" si="26"/>
        <v>Dr. T and the women</v>
      </c>
      <c r="W254">
        <f t="shared" si="27"/>
        <v>0</v>
      </c>
    </row>
    <row r="255" spans="1:23" x14ac:dyDescent="0.2">
      <c r="A255" s="6" t="s">
        <v>33</v>
      </c>
      <c r="B255" s="6">
        <v>1953</v>
      </c>
      <c r="C255" s="6"/>
      <c r="D255" s="6" t="s">
        <v>69</v>
      </c>
      <c r="E255" s="6" t="s">
        <v>3</v>
      </c>
      <c r="F255" s="6">
        <v>0</v>
      </c>
      <c r="G255" s="6"/>
      <c r="H255" s="6">
        <v>0</v>
      </c>
      <c r="I255" s="6"/>
      <c r="J255" s="6"/>
      <c r="K255" s="6"/>
      <c r="L255" s="6" t="str">
        <f t="shared" si="21"/>
        <v>olka_dorn</v>
      </c>
      <c r="M255" s="6" t="str">
        <f t="shared" si="22"/>
        <v>Gentlemen Prefer Blondes (Monroe, Russell)</v>
      </c>
      <c r="N255" s="9">
        <f t="shared" si="23"/>
        <v>0</v>
      </c>
      <c r="P255" t="str">
        <f t="shared" si="24"/>
        <v>"olka_dorn";"Gentlemen Prefer Blondes";"0"</v>
      </c>
      <c r="U255" t="str">
        <f t="shared" si="25"/>
        <v>olka_dorn</v>
      </c>
      <c r="V255" t="str">
        <f t="shared" si="26"/>
        <v>Gentlemen Prefer Blondes</v>
      </c>
      <c r="W255">
        <f t="shared" si="27"/>
        <v>0</v>
      </c>
    </row>
    <row r="256" spans="1:23" x14ac:dyDescent="0.2">
      <c r="A256" s="6" t="s">
        <v>34</v>
      </c>
      <c r="B256" s="6">
        <v>2014</v>
      </c>
      <c r="C256" s="6"/>
      <c r="D256" s="6" t="s">
        <v>69</v>
      </c>
      <c r="E256" s="6" t="s">
        <v>2</v>
      </c>
      <c r="F256" s="6">
        <v>1</v>
      </c>
      <c r="G256" s="6">
        <v>4</v>
      </c>
      <c r="H256" s="6">
        <v>4</v>
      </c>
      <c r="I256" s="6"/>
      <c r="J256" s="6"/>
      <c r="K256" s="6"/>
      <c r="L256" s="6" t="str">
        <f t="shared" si="21"/>
        <v>olka_dorn</v>
      </c>
      <c r="M256" s="6" t="str">
        <f t="shared" si="22"/>
        <v>Grand Budapest Hotel (Fiennes, Abraham)</v>
      </c>
      <c r="N256" s="9">
        <f t="shared" si="23"/>
        <v>4</v>
      </c>
      <c r="P256" t="str">
        <f t="shared" si="24"/>
        <v>"olka_dorn";"Grand Budapest Hotel";"4"</v>
      </c>
      <c r="U256" t="str">
        <f t="shared" si="25"/>
        <v>olka_dorn</v>
      </c>
      <c r="V256" t="str">
        <f t="shared" si="26"/>
        <v>Grand Budapest Hotel</v>
      </c>
      <c r="W256">
        <f t="shared" si="27"/>
        <v>1</v>
      </c>
    </row>
    <row r="257" spans="1:23" x14ac:dyDescent="0.2">
      <c r="A257" s="6" t="s">
        <v>35</v>
      </c>
      <c r="B257" s="6">
        <v>2001</v>
      </c>
      <c r="C257" s="6"/>
      <c r="D257" s="6" t="s">
        <v>69</v>
      </c>
      <c r="E257" s="6" t="s">
        <v>2</v>
      </c>
      <c r="F257" s="6">
        <v>1</v>
      </c>
      <c r="G257" s="6">
        <v>5</v>
      </c>
      <c r="H257" s="6">
        <v>5</v>
      </c>
      <c r="I257" s="6"/>
      <c r="J257" s="6"/>
      <c r="K257" s="6"/>
      <c r="L257" s="6" t="str">
        <f t="shared" si="21"/>
        <v>olka_dorn</v>
      </c>
      <c r="M257" s="6" t="str">
        <f t="shared" si="22"/>
        <v>Harry Potter and the Philosopher's Stone (Radcliff, Harris)</v>
      </c>
      <c r="N257" s="9">
        <f t="shared" si="23"/>
        <v>5</v>
      </c>
      <c r="P257" t="str">
        <f t="shared" si="24"/>
        <v>"olka_dorn";"Harry Potter and the Philosopher's Stone";"5"</v>
      </c>
      <c r="U257" t="str">
        <f t="shared" si="25"/>
        <v>olka_dorn</v>
      </c>
      <c r="V257" t="str">
        <f t="shared" si="26"/>
        <v>Harry Potter and the Philosopher's Stone</v>
      </c>
      <c r="W257">
        <f t="shared" si="27"/>
        <v>1</v>
      </c>
    </row>
    <row r="258" spans="1:23" x14ac:dyDescent="0.2">
      <c r="A258" s="6" t="s">
        <v>36</v>
      </c>
      <c r="B258" s="6">
        <v>1950</v>
      </c>
      <c r="C258" s="6"/>
      <c r="D258" s="6" t="s">
        <v>69</v>
      </c>
      <c r="E258" s="6" t="s">
        <v>3</v>
      </c>
      <c r="F258" s="6">
        <v>0</v>
      </c>
      <c r="G258" s="6"/>
      <c r="H258" s="6">
        <v>0</v>
      </c>
      <c r="I258" s="6"/>
      <c r="J258" s="6"/>
      <c r="K258" s="6"/>
      <c r="L258" s="6" t="str">
        <f t="shared" si="21"/>
        <v>olka_dorn</v>
      </c>
      <c r="M258" s="6" t="str">
        <f t="shared" si="22"/>
        <v>Harvey (Stewart, Hull)</v>
      </c>
      <c r="N258" s="9">
        <f t="shared" si="23"/>
        <v>0</v>
      </c>
      <c r="P258" t="str">
        <f t="shared" si="24"/>
        <v>"olka_dorn";"Harvey";"0"</v>
      </c>
      <c r="U258" t="str">
        <f t="shared" si="25"/>
        <v>olka_dorn</v>
      </c>
      <c r="V258" t="str">
        <f t="shared" si="26"/>
        <v>Harvey</v>
      </c>
      <c r="W258">
        <f t="shared" si="27"/>
        <v>0</v>
      </c>
    </row>
    <row r="259" spans="1:23" x14ac:dyDescent="0.2">
      <c r="A259" s="6" t="s">
        <v>37</v>
      </c>
      <c r="B259" s="6">
        <v>1962</v>
      </c>
      <c r="C259" s="6"/>
      <c r="D259" s="6" t="s">
        <v>69</v>
      </c>
      <c r="E259" s="6" t="s">
        <v>3</v>
      </c>
      <c r="F259" s="6">
        <v>0</v>
      </c>
      <c r="G259" s="6"/>
      <c r="H259" s="6">
        <v>0</v>
      </c>
      <c r="I259" s="6"/>
      <c r="J259" s="6"/>
      <c r="K259" s="6"/>
      <c r="L259" s="6" t="str">
        <f t="shared" ref="L259:L322" si="28">D259</f>
        <v>olka_dorn</v>
      </c>
      <c r="M259" s="6" t="str">
        <f t="shared" ref="M259:M322" si="29">A259</f>
        <v>Hatari! (Wayne, Martinelli)</v>
      </c>
      <c r="N259" s="9">
        <f t="shared" ref="N259:N322" si="30">H259</f>
        <v>0</v>
      </c>
      <c r="P259" t="str">
        <f t="shared" ref="P259:P322" si="31">""""&amp;L259&amp;""";"""&amp;LEFT(M259,FIND("(",M259)-2)&amp;""";"""&amp;SUBSTITUTE(N259,",",".")&amp;""""</f>
        <v>"olka_dorn";"Hatari!";"0"</v>
      </c>
      <c r="U259" t="str">
        <f t="shared" ref="U259:U322" si="32">D259</f>
        <v>olka_dorn</v>
      </c>
      <c r="V259" t="str">
        <f t="shared" ref="V259:V322" si="33">LEFT(A259,FIND("(",A259)-2)</f>
        <v>Hatari!</v>
      </c>
      <c r="W259">
        <f t="shared" ref="W259:W322" si="34">F259</f>
        <v>0</v>
      </c>
    </row>
    <row r="260" spans="1:23" x14ac:dyDescent="0.2">
      <c r="A260" s="6" t="s">
        <v>38</v>
      </c>
      <c r="B260" s="6">
        <v>1990</v>
      </c>
      <c r="C260" s="6"/>
      <c r="D260" s="6" t="s">
        <v>69</v>
      </c>
      <c r="E260" s="6" t="s">
        <v>2</v>
      </c>
      <c r="F260" s="6">
        <v>1</v>
      </c>
      <c r="G260" s="6">
        <v>5</v>
      </c>
      <c r="H260" s="6">
        <v>5</v>
      </c>
      <c r="I260" s="6"/>
      <c r="J260" s="6"/>
      <c r="K260" s="6"/>
      <c r="L260" s="6" t="str">
        <f t="shared" si="28"/>
        <v>olka_dorn</v>
      </c>
      <c r="M260" s="6" t="str">
        <f t="shared" si="29"/>
        <v>Home alone (Culkin, Pesci)</v>
      </c>
      <c r="N260" s="9">
        <f t="shared" si="30"/>
        <v>5</v>
      </c>
      <c r="P260" t="str">
        <f t="shared" si="31"/>
        <v>"olka_dorn";"Home alone";"5"</v>
      </c>
      <c r="U260" t="str">
        <f t="shared" si="32"/>
        <v>olka_dorn</v>
      </c>
      <c r="V260" t="str">
        <f t="shared" si="33"/>
        <v>Home alone</v>
      </c>
      <c r="W260">
        <f t="shared" si="34"/>
        <v>1</v>
      </c>
    </row>
    <row r="261" spans="1:23" x14ac:dyDescent="0.2">
      <c r="A261" s="6" t="s">
        <v>39</v>
      </c>
      <c r="B261" s="6">
        <v>2004</v>
      </c>
      <c r="C261" s="6"/>
      <c r="D261" s="6" t="s">
        <v>69</v>
      </c>
      <c r="E261" s="6" t="s">
        <v>3</v>
      </c>
      <c r="F261" s="6">
        <v>0</v>
      </c>
      <c r="G261" s="6"/>
      <c r="H261" s="6">
        <v>0</v>
      </c>
      <c r="I261" s="6"/>
      <c r="J261" s="6"/>
      <c r="K261" s="6"/>
      <c r="L261" s="6" t="str">
        <f t="shared" si="28"/>
        <v>olka_dorn</v>
      </c>
      <c r="M261" s="6" t="str">
        <f t="shared" si="29"/>
        <v>I, Robot (Smith, Moynahan)</v>
      </c>
      <c r="N261" s="9">
        <f t="shared" si="30"/>
        <v>0</v>
      </c>
      <c r="P261" t="str">
        <f t="shared" si="31"/>
        <v>"olka_dorn";"I, Robot";"0"</v>
      </c>
      <c r="U261" t="str">
        <f t="shared" si="32"/>
        <v>olka_dorn</v>
      </c>
      <c r="V261" t="str">
        <f t="shared" si="33"/>
        <v>I, Robot</v>
      </c>
      <c r="W261">
        <f t="shared" si="34"/>
        <v>0</v>
      </c>
    </row>
    <row r="262" spans="1:23" x14ac:dyDescent="0.2">
      <c r="A262" s="6" t="s">
        <v>40</v>
      </c>
      <c r="B262" s="6">
        <v>1967</v>
      </c>
      <c r="C262" s="6"/>
      <c r="D262" s="6" t="s">
        <v>69</v>
      </c>
      <c r="E262" s="6" t="s">
        <v>3</v>
      </c>
      <c r="F262" s="6">
        <v>0</v>
      </c>
      <c r="G262" s="6"/>
      <c r="H262" s="6">
        <v>0</v>
      </c>
      <c r="I262" s="6"/>
      <c r="J262" s="6"/>
      <c r="K262" s="6"/>
      <c r="L262" s="6" t="str">
        <f t="shared" si="28"/>
        <v>olka_dorn</v>
      </c>
      <c r="M262" s="6" t="str">
        <f t="shared" si="29"/>
        <v>In The Heat Of The Night (Poitier, Steiger)</v>
      </c>
      <c r="N262" s="9">
        <f t="shared" si="30"/>
        <v>0</v>
      </c>
      <c r="P262" t="str">
        <f t="shared" si="31"/>
        <v>"olka_dorn";"In The Heat Of The Night";"0"</v>
      </c>
      <c r="U262" t="str">
        <f t="shared" si="32"/>
        <v>olka_dorn</v>
      </c>
      <c r="V262" t="str">
        <f t="shared" si="33"/>
        <v>In The Heat Of The Night</v>
      </c>
      <c r="W262">
        <f t="shared" si="34"/>
        <v>0</v>
      </c>
    </row>
    <row r="263" spans="1:23" x14ac:dyDescent="0.2">
      <c r="A263" s="6" t="s">
        <v>41</v>
      </c>
      <c r="B263" s="6">
        <v>2014</v>
      </c>
      <c r="C263" s="6"/>
      <c r="D263" s="6" t="s">
        <v>69</v>
      </c>
      <c r="E263" s="6" t="s">
        <v>3</v>
      </c>
      <c r="F263" s="6">
        <v>0</v>
      </c>
      <c r="G263" s="6"/>
      <c r="H263" s="6">
        <v>0</v>
      </c>
      <c r="I263" s="6"/>
      <c r="J263" s="6"/>
      <c r="K263" s="6"/>
      <c r="L263" s="6" t="str">
        <f t="shared" si="28"/>
        <v>olka_dorn</v>
      </c>
      <c r="M263" s="6" t="str">
        <f t="shared" si="29"/>
        <v>Jack Ryan: Shadow Recruite (Pine, Costner)</v>
      </c>
      <c r="N263" s="9">
        <f t="shared" si="30"/>
        <v>0</v>
      </c>
      <c r="P263" t="str">
        <f t="shared" si="31"/>
        <v>"olka_dorn";"Jack Ryan: Shadow Recruite";"0"</v>
      </c>
      <c r="U263" t="str">
        <f t="shared" si="32"/>
        <v>olka_dorn</v>
      </c>
      <c r="V263" t="str">
        <f t="shared" si="33"/>
        <v>Jack Ryan: Shadow Recruite</v>
      </c>
      <c r="W263">
        <f t="shared" si="34"/>
        <v>0</v>
      </c>
    </row>
    <row r="264" spans="1:23" x14ac:dyDescent="0.2">
      <c r="A264" s="6" t="s">
        <v>42</v>
      </c>
      <c r="B264" s="6">
        <v>1995</v>
      </c>
      <c r="C264" s="6"/>
      <c r="D264" s="6" t="s">
        <v>69</v>
      </c>
      <c r="E264" s="6" t="s">
        <v>2</v>
      </c>
      <c r="F264" s="6">
        <v>1</v>
      </c>
      <c r="G264" s="6">
        <v>4</v>
      </c>
      <c r="H264" s="6">
        <v>4</v>
      </c>
      <c r="I264" s="6"/>
      <c r="J264" s="6"/>
      <c r="K264" s="6"/>
      <c r="L264" s="6" t="str">
        <f t="shared" si="28"/>
        <v>olka_dorn</v>
      </c>
      <c r="M264" s="6" t="str">
        <f t="shared" si="29"/>
        <v>Jumanji (Williams, Dunst)</v>
      </c>
      <c r="N264" s="9">
        <f t="shared" si="30"/>
        <v>4</v>
      </c>
      <c r="P264" t="str">
        <f t="shared" si="31"/>
        <v>"olka_dorn";"Jumanji";"4"</v>
      </c>
      <c r="U264" t="str">
        <f t="shared" si="32"/>
        <v>olka_dorn</v>
      </c>
      <c r="V264" t="str">
        <f t="shared" si="33"/>
        <v>Jumanji</v>
      </c>
      <c r="W264">
        <f t="shared" si="34"/>
        <v>1</v>
      </c>
    </row>
    <row r="265" spans="1:23" x14ac:dyDescent="0.2">
      <c r="A265" s="6" t="s">
        <v>43</v>
      </c>
      <c r="B265" s="6">
        <v>2005</v>
      </c>
      <c r="C265" s="6"/>
      <c r="D265" s="6" t="s">
        <v>69</v>
      </c>
      <c r="E265" s="6" t="s">
        <v>3</v>
      </c>
      <c r="F265" s="6">
        <v>0</v>
      </c>
      <c r="G265" s="6"/>
      <c r="H265" s="6">
        <v>0</v>
      </c>
      <c r="I265" s="6"/>
      <c r="J265" s="6"/>
      <c r="K265" s="6"/>
      <c r="L265" s="6" t="str">
        <f t="shared" si="28"/>
        <v>olka_dorn</v>
      </c>
      <c r="M265" s="6" t="str">
        <f t="shared" si="29"/>
        <v>King Kong (Watts, Black)</v>
      </c>
      <c r="N265" s="9">
        <f t="shared" si="30"/>
        <v>0</v>
      </c>
      <c r="P265" t="str">
        <f t="shared" si="31"/>
        <v>"olka_dorn";"King Kong";"0"</v>
      </c>
      <c r="U265" t="str">
        <f t="shared" si="32"/>
        <v>olka_dorn</v>
      </c>
      <c r="V265" t="str">
        <f t="shared" si="33"/>
        <v>King Kong</v>
      </c>
      <c r="W265">
        <f t="shared" si="34"/>
        <v>0</v>
      </c>
    </row>
    <row r="266" spans="1:23" x14ac:dyDescent="0.2">
      <c r="A266" s="6" t="s">
        <v>44</v>
      </c>
      <c r="B266" s="6">
        <v>2016</v>
      </c>
      <c r="C266" s="6"/>
      <c r="D266" s="6" t="s">
        <v>69</v>
      </c>
      <c r="E266" s="6" t="s">
        <v>3</v>
      </c>
      <c r="F266" s="6">
        <v>0</v>
      </c>
      <c r="G266" s="6"/>
      <c r="H266" s="6">
        <v>0</v>
      </c>
      <c r="I266" s="6"/>
      <c r="J266" s="6"/>
      <c r="K266" s="6"/>
      <c r="L266" s="6" t="str">
        <f t="shared" si="28"/>
        <v>olka_dorn</v>
      </c>
      <c r="M266" s="6" t="str">
        <f t="shared" si="29"/>
        <v>La La Land (Gosling, Stone)</v>
      </c>
      <c r="N266" s="9">
        <f t="shared" si="30"/>
        <v>0</v>
      </c>
      <c r="P266" t="str">
        <f t="shared" si="31"/>
        <v>"olka_dorn";"La La Land";"0"</v>
      </c>
      <c r="U266" t="str">
        <f t="shared" si="32"/>
        <v>olka_dorn</v>
      </c>
      <c r="V266" t="str">
        <f t="shared" si="33"/>
        <v>La La Land</v>
      </c>
      <c r="W266">
        <f t="shared" si="34"/>
        <v>0</v>
      </c>
    </row>
    <row r="267" spans="1:23" x14ac:dyDescent="0.2">
      <c r="A267" s="6" t="s">
        <v>45</v>
      </c>
      <c r="B267" s="6">
        <v>2001</v>
      </c>
      <c r="C267" s="6"/>
      <c r="D267" s="6" t="s">
        <v>69</v>
      </c>
      <c r="E267" s="6" t="s">
        <v>3</v>
      </c>
      <c r="F267" s="6">
        <v>0</v>
      </c>
      <c r="G267" s="6"/>
      <c r="H267" s="6">
        <v>0</v>
      </c>
      <c r="I267" s="6"/>
      <c r="J267" s="6"/>
      <c r="K267" s="6"/>
      <c r="L267" s="6" t="str">
        <f t="shared" si="28"/>
        <v>olka_dorn</v>
      </c>
      <c r="M267" s="6" t="str">
        <f t="shared" si="29"/>
        <v>Lord of the Rings (Woods, McKellen)</v>
      </c>
      <c r="N267" s="9">
        <f t="shared" si="30"/>
        <v>0</v>
      </c>
      <c r="P267" t="str">
        <f t="shared" si="31"/>
        <v>"olka_dorn";"Lord of the Rings";"0"</v>
      </c>
      <c r="U267" t="str">
        <f t="shared" si="32"/>
        <v>olka_dorn</v>
      </c>
      <c r="V267" t="str">
        <f t="shared" si="33"/>
        <v>Lord of the Rings</v>
      </c>
      <c r="W267">
        <f t="shared" si="34"/>
        <v>0</v>
      </c>
    </row>
    <row r="268" spans="1:23" x14ac:dyDescent="0.2">
      <c r="A268" s="6" t="s">
        <v>46</v>
      </c>
      <c r="B268" s="6">
        <v>1964</v>
      </c>
      <c r="C268" s="6"/>
      <c r="D268" s="6" t="s">
        <v>69</v>
      </c>
      <c r="E268" s="6" t="s">
        <v>3</v>
      </c>
      <c r="F268" s="6">
        <v>0</v>
      </c>
      <c r="G268" s="6"/>
      <c r="H268" s="6">
        <v>0</v>
      </c>
      <c r="I268" s="6"/>
      <c r="J268" s="6"/>
      <c r="K268" s="6"/>
      <c r="L268" s="6" t="str">
        <f t="shared" si="28"/>
        <v>olka_dorn</v>
      </c>
      <c r="M268" s="6" t="str">
        <f t="shared" si="29"/>
        <v>Per Un Pugno Di Dollari (Eastwood, Koch)</v>
      </c>
      <c r="N268" s="9">
        <f t="shared" si="30"/>
        <v>0</v>
      </c>
      <c r="P268" t="str">
        <f t="shared" si="31"/>
        <v>"olka_dorn";"Per Un Pugno Di Dollari";"0"</v>
      </c>
      <c r="U268" t="str">
        <f t="shared" si="32"/>
        <v>olka_dorn</v>
      </c>
      <c r="V268" t="str">
        <f t="shared" si="33"/>
        <v>Per Un Pugno Di Dollari</v>
      </c>
      <c r="W268">
        <f t="shared" si="34"/>
        <v>0</v>
      </c>
    </row>
    <row r="269" spans="1:23" x14ac:dyDescent="0.2">
      <c r="A269" s="6" t="s">
        <v>47</v>
      </c>
      <c r="B269" s="6">
        <v>1954</v>
      </c>
      <c r="C269" s="6"/>
      <c r="D269" s="6" t="s">
        <v>69</v>
      </c>
      <c r="E269" s="6" t="s">
        <v>3</v>
      </c>
      <c r="F269" s="6">
        <v>0</v>
      </c>
      <c r="G269" s="6"/>
      <c r="H269" s="6">
        <v>0</v>
      </c>
      <c r="I269" s="6"/>
      <c r="J269" s="6"/>
      <c r="K269" s="6"/>
      <c r="L269" s="6" t="str">
        <f t="shared" si="28"/>
        <v>olka_dorn</v>
      </c>
      <c r="M269" s="6" t="str">
        <f t="shared" si="29"/>
        <v>Rear Window (Stewart, Kelly)</v>
      </c>
      <c r="N269" s="9">
        <f t="shared" si="30"/>
        <v>0</v>
      </c>
      <c r="P269" t="str">
        <f t="shared" si="31"/>
        <v>"olka_dorn";"Rear Window";"0"</v>
      </c>
      <c r="U269" t="str">
        <f t="shared" si="32"/>
        <v>olka_dorn</v>
      </c>
      <c r="V269" t="str">
        <f t="shared" si="33"/>
        <v>Rear Window</v>
      </c>
      <c r="W269">
        <f t="shared" si="34"/>
        <v>0</v>
      </c>
    </row>
    <row r="270" spans="1:23" x14ac:dyDescent="0.2">
      <c r="A270" s="6" t="s">
        <v>48</v>
      </c>
      <c r="B270" s="6">
        <v>1955</v>
      </c>
      <c r="C270" s="6"/>
      <c r="D270" s="6" t="s">
        <v>69</v>
      </c>
      <c r="E270" s="6" t="s">
        <v>3</v>
      </c>
      <c r="F270" s="6">
        <v>0</v>
      </c>
      <c r="G270" s="6"/>
      <c r="H270" s="6">
        <v>0</v>
      </c>
      <c r="I270" s="6"/>
      <c r="J270" s="6"/>
      <c r="K270" s="6"/>
      <c r="L270" s="6" t="str">
        <f t="shared" si="28"/>
        <v>olka_dorn</v>
      </c>
      <c r="M270" s="6" t="str">
        <f t="shared" si="29"/>
        <v>Rebel Without A Cause (Dean, Wood)</v>
      </c>
      <c r="N270" s="9">
        <f t="shared" si="30"/>
        <v>0</v>
      </c>
      <c r="P270" t="str">
        <f t="shared" si="31"/>
        <v>"olka_dorn";"Rebel Without A Cause";"0"</v>
      </c>
      <c r="U270" t="str">
        <f t="shared" si="32"/>
        <v>olka_dorn</v>
      </c>
      <c r="V270" t="str">
        <f t="shared" si="33"/>
        <v>Rebel Without A Cause</v>
      </c>
      <c r="W270">
        <f t="shared" si="34"/>
        <v>0</v>
      </c>
    </row>
    <row r="271" spans="1:23" x14ac:dyDescent="0.2">
      <c r="A271" s="6" t="s">
        <v>66</v>
      </c>
      <c r="B271" s="6">
        <v>2005</v>
      </c>
      <c r="C271" s="6"/>
      <c r="D271" s="6" t="s">
        <v>69</v>
      </c>
      <c r="E271" s="6" t="s">
        <v>3</v>
      </c>
      <c r="F271" s="6">
        <v>0</v>
      </c>
      <c r="G271" s="6"/>
      <c r="H271" s="6">
        <v>0</v>
      </c>
      <c r="I271" s="6"/>
      <c r="J271" s="6"/>
      <c r="K271" s="6"/>
      <c r="L271" s="6" t="str">
        <f t="shared" si="28"/>
        <v>olka_dorn</v>
      </c>
      <c r="M271" s="6" t="str">
        <f t="shared" si="29"/>
        <v>Rumor has it (Aniston, Costner)</v>
      </c>
      <c r="N271" s="9">
        <f t="shared" si="30"/>
        <v>0</v>
      </c>
      <c r="P271" t="str">
        <f t="shared" si="31"/>
        <v>"olka_dorn";"Rumor has it";"0"</v>
      </c>
      <c r="U271" t="str">
        <f t="shared" si="32"/>
        <v>olka_dorn</v>
      </c>
      <c r="V271" t="str">
        <f t="shared" si="33"/>
        <v>Rumor has it</v>
      </c>
      <c r="W271">
        <f t="shared" si="34"/>
        <v>0</v>
      </c>
    </row>
    <row r="272" spans="1:23" x14ac:dyDescent="0.2">
      <c r="A272" s="6" t="s">
        <v>49</v>
      </c>
      <c r="B272" s="6">
        <v>1998</v>
      </c>
      <c r="C272" s="6"/>
      <c r="D272" s="6" t="s">
        <v>69</v>
      </c>
      <c r="E272" s="6" t="s">
        <v>2</v>
      </c>
      <c r="F272" s="6">
        <v>1</v>
      </c>
      <c r="G272" s="6">
        <v>4</v>
      </c>
      <c r="H272" s="6">
        <v>4</v>
      </c>
      <c r="I272" s="6"/>
      <c r="J272" s="6"/>
      <c r="K272" s="6"/>
      <c r="L272" s="6" t="str">
        <f t="shared" si="28"/>
        <v>olka_dorn</v>
      </c>
      <c r="M272" s="6" t="str">
        <f t="shared" si="29"/>
        <v>Saving private Ryan (Hanks, Damon)</v>
      </c>
      <c r="N272" s="9">
        <f t="shared" si="30"/>
        <v>4</v>
      </c>
      <c r="P272" t="str">
        <f t="shared" si="31"/>
        <v>"olka_dorn";"Saving private Ryan";"4"</v>
      </c>
      <c r="U272" t="str">
        <f t="shared" si="32"/>
        <v>olka_dorn</v>
      </c>
      <c r="V272" t="str">
        <f t="shared" si="33"/>
        <v>Saving private Ryan</v>
      </c>
      <c r="W272">
        <f t="shared" si="34"/>
        <v>1</v>
      </c>
    </row>
    <row r="273" spans="1:23" x14ac:dyDescent="0.2">
      <c r="A273" s="6" t="s">
        <v>50</v>
      </c>
      <c r="B273" s="6">
        <v>1993</v>
      </c>
      <c r="C273" s="6"/>
      <c r="D273" s="6" t="s">
        <v>69</v>
      </c>
      <c r="E273" s="6" t="s">
        <v>3</v>
      </c>
      <c r="F273" s="6">
        <v>0</v>
      </c>
      <c r="G273" s="6"/>
      <c r="H273" s="6">
        <v>0</v>
      </c>
      <c r="I273" s="6"/>
      <c r="J273" s="6"/>
      <c r="K273" s="6"/>
      <c r="L273" s="6" t="str">
        <f t="shared" si="28"/>
        <v>olka_dorn</v>
      </c>
      <c r="M273" s="6" t="str">
        <f t="shared" si="29"/>
        <v>Schindlers List (Neeson, Fiennes)</v>
      </c>
      <c r="N273" s="9">
        <f t="shared" si="30"/>
        <v>0</v>
      </c>
      <c r="P273" t="str">
        <f t="shared" si="31"/>
        <v>"olka_dorn";"Schindlers List";"0"</v>
      </c>
      <c r="U273" t="str">
        <f t="shared" si="32"/>
        <v>olka_dorn</v>
      </c>
      <c r="V273" t="str">
        <f t="shared" si="33"/>
        <v>Schindlers List</v>
      </c>
      <c r="W273">
        <f t="shared" si="34"/>
        <v>0</v>
      </c>
    </row>
    <row r="274" spans="1:23" x14ac:dyDescent="0.2">
      <c r="A274" s="6" t="s">
        <v>51</v>
      </c>
      <c r="B274" s="6">
        <v>1996</v>
      </c>
      <c r="C274" s="6"/>
      <c r="D274" s="6" t="s">
        <v>69</v>
      </c>
      <c r="E274" s="6" t="s">
        <v>2</v>
      </c>
      <c r="F274" s="6">
        <v>1</v>
      </c>
      <c r="G274" s="6">
        <v>2</v>
      </c>
      <c r="H274" s="6">
        <v>2</v>
      </c>
      <c r="I274" s="6"/>
      <c r="J274" s="6"/>
      <c r="K274" s="6"/>
      <c r="L274" s="6" t="str">
        <f t="shared" si="28"/>
        <v>olka_dorn</v>
      </c>
      <c r="M274" s="6" t="str">
        <f t="shared" si="29"/>
        <v>Scream (Arquette, Campell)</v>
      </c>
      <c r="N274" s="9">
        <f t="shared" si="30"/>
        <v>2</v>
      </c>
      <c r="P274" t="str">
        <f t="shared" si="31"/>
        <v>"olka_dorn";"Scream";"2"</v>
      </c>
      <c r="U274" t="str">
        <f t="shared" si="32"/>
        <v>olka_dorn</v>
      </c>
      <c r="V274" t="str">
        <f t="shared" si="33"/>
        <v>Scream</v>
      </c>
      <c r="W274">
        <f t="shared" si="34"/>
        <v>1</v>
      </c>
    </row>
    <row r="275" spans="1:23" x14ac:dyDescent="0.2">
      <c r="A275" s="6" t="s">
        <v>52</v>
      </c>
      <c r="B275" s="6">
        <v>1977</v>
      </c>
      <c r="C275" s="6"/>
      <c r="D275" s="6" t="s">
        <v>69</v>
      </c>
      <c r="E275" s="6" t="s">
        <v>3</v>
      </c>
      <c r="F275" s="6">
        <v>0</v>
      </c>
      <c r="G275" s="6"/>
      <c r="H275" s="6">
        <v>0</v>
      </c>
      <c r="I275" s="6"/>
      <c r="J275" s="6"/>
      <c r="K275" s="6"/>
      <c r="L275" s="6" t="str">
        <f t="shared" si="28"/>
        <v>olka_dorn</v>
      </c>
      <c r="M275" s="6" t="str">
        <f t="shared" si="29"/>
        <v>Star Wars IV: A new hope (Hamill, Ford)</v>
      </c>
      <c r="N275" s="9">
        <f t="shared" si="30"/>
        <v>0</v>
      </c>
      <c r="P275" t="str">
        <f t="shared" si="31"/>
        <v>"olka_dorn";"Star Wars IV: A new hope";"0"</v>
      </c>
      <c r="U275" t="str">
        <f t="shared" si="32"/>
        <v>olka_dorn</v>
      </c>
      <c r="V275" t="str">
        <f t="shared" si="33"/>
        <v>Star Wars IV: A new hope</v>
      </c>
      <c r="W275">
        <f t="shared" si="34"/>
        <v>0</v>
      </c>
    </row>
    <row r="276" spans="1:23" x14ac:dyDescent="0.2">
      <c r="A276" s="6" t="s">
        <v>53</v>
      </c>
      <c r="B276" s="6">
        <v>2016</v>
      </c>
      <c r="C276" s="6"/>
      <c r="D276" s="6" t="s">
        <v>69</v>
      </c>
      <c r="E276" s="6" t="s">
        <v>3</v>
      </c>
      <c r="F276" s="6">
        <v>0</v>
      </c>
      <c r="G276" s="6"/>
      <c r="H276" s="6">
        <v>0</v>
      </c>
      <c r="I276" s="6"/>
      <c r="J276" s="6"/>
      <c r="K276" s="6"/>
      <c r="L276" s="6" t="str">
        <f t="shared" si="28"/>
        <v>olka_dorn</v>
      </c>
      <c r="M276" s="6" t="str">
        <f t="shared" si="29"/>
        <v>Suicide Squad (Smith, Robbie)</v>
      </c>
      <c r="N276" s="9">
        <f t="shared" si="30"/>
        <v>0</v>
      </c>
      <c r="P276" t="str">
        <f t="shared" si="31"/>
        <v>"olka_dorn";"Suicide Squad";"0"</v>
      </c>
      <c r="U276" t="str">
        <f t="shared" si="32"/>
        <v>olka_dorn</v>
      </c>
      <c r="V276" t="str">
        <f t="shared" si="33"/>
        <v>Suicide Squad</v>
      </c>
      <c r="W276">
        <f t="shared" si="34"/>
        <v>0</v>
      </c>
    </row>
    <row r="277" spans="1:23" x14ac:dyDescent="0.2">
      <c r="A277" s="6" t="s">
        <v>54</v>
      </c>
      <c r="B277" s="6">
        <v>2010</v>
      </c>
      <c r="C277" s="6"/>
      <c r="D277" s="6" t="s">
        <v>69</v>
      </c>
      <c r="E277" s="6" t="s">
        <v>2</v>
      </c>
      <c r="F277" s="6">
        <v>1</v>
      </c>
      <c r="G277" s="6">
        <v>5</v>
      </c>
      <c r="H277" s="6">
        <v>5</v>
      </c>
      <c r="I277" s="6"/>
      <c r="J277" s="6"/>
      <c r="K277" s="6"/>
      <c r="L277" s="6" t="str">
        <f t="shared" si="28"/>
        <v>olka_dorn</v>
      </c>
      <c r="M277" s="6" t="str">
        <f t="shared" si="29"/>
        <v>Tangled (Disney)</v>
      </c>
      <c r="N277" s="9">
        <f t="shared" si="30"/>
        <v>5</v>
      </c>
      <c r="P277" t="str">
        <f t="shared" si="31"/>
        <v>"olka_dorn";"Tangled";"5"</v>
      </c>
      <c r="U277" t="str">
        <f t="shared" si="32"/>
        <v>olka_dorn</v>
      </c>
      <c r="V277" t="str">
        <f t="shared" si="33"/>
        <v>Tangled</v>
      </c>
      <c r="W277">
        <f t="shared" si="34"/>
        <v>1</v>
      </c>
    </row>
    <row r="278" spans="1:23" x14ac:dyDescent="0.2">
      <c r="A278" s="6" t="s">
        <v>55</v>
      </c>
      <c r="B278" s="6">
        <v>2012</v>
      </c>
      <c r="C278" s="6"/>
      <c r="D278" s="6" t="s">
        <v>69</v>
      </c>
      <c r="E278" s="6" t="s">
        <v>3</v>
      </c>
      <c r="F278" s="6">
        <v>0</v>
      </c>
      <c r="G278" s="6"/>
      <c r="H278" s="6">
        <v>0</v>
      </c>
      <c r="I278" s="6"/>
      <c r="J278" s="6"/>
      <c r="K278" s="6"/>
      <c r="L278" s="6" t="str">
        <f t="shared" si="28"/>
        <v>olka_dorn</v>
      </c>
      <c r="M278" s="6" t="str">
        <f t="shared" si="29"/>
        <v>The Avengers (Downey Jr. Evans)</v>
      </c>
      <c r="N278" s="9">
        <f t="shared" si="30"/>
        <v>0</v>
      </c>
      <c r="P278" t="str">
        <f t="shared" si="31"/>
        <v>"olka_dorn";"The Avengers";"0"</v>
      </c>
      <c r="U278" t="str">
        <f t="shared" si="32"/>
        <v>olka_dorn</v>
      </c>
      <c r="V278" t="str">
        <f t="shared" si="33"/>
        <v>The Avengers</v>
      </c>
      <c r="W278">
        <f t="shared" si="34"/>
        <v>0</v>
      </c>
    </row>
    <row r="279" spans="1:23" x14ac:dyDescent="0.2">
      <c r="A279" s="6" t="s">
        <v>56</v>
      </c>
      <c r="B279" s="6">
        <v>1973</v>
      </c>
      <c r="C279" s="6"/>
      <c r="D279" s="6" t="s">
        <v>69</v>
      </c>
      <c r="E279" s="6" t="s">
        <v>3</v>
      </c>
      <c r="F279" s="6">
        <v>0</v>
      </c>
      <c r="G279" s="6"/>
      <c r="H279" s="6">
        <v>0</v>
      </c>
      <c r="I279" s="6"/>
      <c r="J279" s="6"/>
      <c r="K279" s="6"/>
      <c r="L279" s="6" t="str">
        <f t="shared" si="28"/>
        <v>olka_dorn</v>
      </c>
      <c r="M279" s="6" t="str">
        <f t="shared" si="29"/>
        <v>The Exorcist (von Sydow, Blair)</v>
      </c>
      <c r="N279" s="9">
        <f t="shared" si="30"/>
        <v>0</v>
      </c>
      <c r="P279" t="str">
        <f t="shared" si="31"/>
        <v>"olka_dorn";"The Exorcist";"0"</v>
      </c>
      <c r="U279" t="str">
        <f t="shared" si="32"/>
        <v>olka_dorn</v>
      </c>
      <c r="V279" t="str">
        <f t="shared" si="33"/>
        <v>The Exorcist</v>
      </c>
      <c r="W279">
        <f t="shared" si="34"/>
        <v>0</v>
      </c>
    </row>
    <row r="280" spans="1:23" x14ac:dyDescent="0.2">
      <c r="A280" s="6" t="s">
        <v>57</v>
      </c>
      <c r="B280" s="6">
        <v>1972</v>
      </c>
      <c r="C280" s="6"/>
      <c r="D280" s="6" t="s">
        <v>69</v>
      </c>
      <c r="E280" s="6" t="s">
        <v>3</v>
      </c>
      <c r="F280" s="6">
        <v>0</v>
      </c>
      <c r="G280" s="6"/>
      <c r="H280" s="6">
        <v>0</v>
      </c>
      <c r="I280" s="6"/>
      <c r="J280" s="6"/>
      <c r="K280" s="6"/>
      <c r="L280" s="6" t="str">
        <f t="shared" si="28"/>
        <v>olka_dorn</v>
      </c>
      <c r="M280" s="6" t="str">
        <f t="shared" si="29"/>
        <v>The Godfather (Brando, Pacino)</v>
      </c>
      <c r="N280" s="9">
        <f t="shared" si="30"/>
        <v>0</v>
      </c>
      <c r="P280" t="str">
        <f t="shared" si="31"/>
        <v>"olka_dorn";"The Godfather";"0"</v>
      </c>
      <c r="U280" t="str">
        <f t="shared" si="32"/>
        <v>olka_dorn</v>
      </c>
      <c r="V280" t="str">
        <f t="shared" si="33"/>
        <v>The Godfather</v>
      </c>
      <c r="W280">
        <f t="shared" si="34"/>
        <v>0</v>
      </c>
    </row>
    <row r="281" spans="1:23" x14ac:dyDescent="0.2">
      <c r="A281" s="6" t="s">
        <v>58</v>
      </c>
      <c r="B281" s="6">
        <v>1994</v>
      </c>
      <c r="C281" s="6"/>
      <c r="D281" s="6" t="s">
        <v>69</v>
      </c>
      <c r="E281" s="6" t="s">
        <v>2</v>
      </c>
      <c r="F281" s="6">
        <v>1</v>
      </c>
      <c r="G281" s="6">
        <v>4</v>
      </c>
      <c r="H281" s="6">
        <v>4</v>
      </c>
      <c r="I281" s="6"/>
      <c r="J281" s="6"/>
      <c r="K281" s="6"/>
      <c r="L281" s="6" t="str">
        <f t="shared" si="28"/>
        <v>olka_dorn</v>
      </c>
      <c r="M281" s="6" t="str">
        <f t="shared" si="29"/>
        <v>The Lion King (Disney)</v>
      </c>
      <c r="N281" s="9">
        <f t="shared" si="30"/>
        <v>4</v>
      </c>
      <c r="P281" t="str">
        <f t="shared" si="31"/>
        <v>"olka_dorn";"The Lion King";"4"</v>
      </c>
      <c r="U281" t="str">
        <f t="shared" si="32"/>
        <v>olka_dorn</v>
      </c>
      <c r="V281" t="str">
        <f t="shared" si="33"/>
        <v>The Lion King</v>
      </c>
      <c r="W281">
        <f t="shared" si="34"/>
        <v>1</v>
      </c>
    </row>
    <row r="282" spans="1:23" x14ac:dyDescent="0.2">
      <c r="A282" s="6" t="s">
        <v>59</v>
      </c>
      <c r="B282" s="6">
        <v>1999</v>
      </c>
      <c r="C282" s="6"/>
      <c r="D282" s="6" t="s">
        <v>69</v>
      </c>
      <c r="E282" s="6" t="s">
        <v>2</v>
      </c>
      <c r="F282" s="6">
        <v>1</v>
      </c>
      <c r="G282" s="6">
        <v>5</v>
      </c>
      <c r="H282" s="6">
        <v>5</v>
      </c>
      <c r="I282" s="6"/>
      <c r="J282" s="6"/>
      <c r="K282" s="6"/>
      <c r="L282" s="6" t="str">
        <f t="shared" si="28"/>
        <v>olka_dorn</v>
      </c>
      <c r="M282" s="6" t="str">
        <f t="shared" si="29"/>
        <v>The Matrix (Reeves, Fishburn)</v>
      </c>
      <c r="N282" s="9">
        <f t="shared" si="30"/>
        <v>5</v>
      </c>
      <c r="P282" t="str">
        <f t="shared" si="31"/>
        <v>"olka_dorn";"The Matrix";"5"</v>
      </c>
      <c r="U282" t="str">
        <f t="shared" si="32"/>
        <v>olka_dorn</v>
      </c>
      <c r="V282" t="str">
        <f t="shared" si="33"/>
        <v>The Matrix</v>
      </c>
      <c r="W282">
        <f t="shared" si="34"/>
        <v>1</v>
      </c>
    </row>
    <row r="283" spans="1:23" x14ac:dyDescent="0.2">
      <c r="A283" s="6" t="s">
        <v>60</v>
      </c>
      <c r="B283" s="6">
        <v>1980</v>
      </c>
      <c r="C283" s="6"/>
      <c r="D283" s="6" t="s">
        <v>69</v>
      </c>
      <c r="E283" s="6" t="s">
        <v>3</v>
      </c>
      <c r="F283" s="6">
        <v>0</v>
      </c>
      <c r="G283" s="6"/>
      <c r="H283" s="6">
        <v>0</v>
      </c>
      <c r="I283" s="6"/>
      <c r="J283" s="6"/>
      <c r="K283" s="6"/>
      <c r="L283" s="6" t="str">
        <f t="shared" si="28"/>
        <v>olka_dorn</v>
      </c>
      <c r="M283" s="6" t="str">
        <f t="shared" si="29"/>
        <v>The Shining (Nicholson, Duvall)</v>
      </c>
      <c r="N283" s="9">
        <f t="shared" si="30"/>
        <v>0</v>
      </c>
      <c r="P283" t="str">
        <f t="shared" si="31"/>
        <v>"olka_dorn";"The Shining";"0"</v>
      </c>
      <c r="U283" t="str">
        <f t="shared" si="32"/>
        <v>olka_dorn</v>
      </c>
      <c r="V283" t="str">
        <f t="shared" si="33"/>
        <v>The Shining</v>
      </c>
      <c r="W283">
        <f t="shared" si="34"/>
        <v>0</v>
      </c>
    </row>
    <row r="284" spans="1:23" x14ac:dyDescent="0.2">
      <c r="A284" s="6" t="s">
        <v>61</v>
      </c>
      <c r="B284" s="6">
        <v>1984</v>
      </c>
      <c r="C284" s="6"/>
      <c r="D284" s="6" t="s">
        <v>69</v>
      </c>
      <c r="E284" s="6" t="s">
        <v>3</v>
      </c>
      <c r="F284" s="6">
        <v>0</v>
      </c>
      <c r="G284" s="6"/>
      <c r="H284" s="6">
        <v>0</v>
      </c>
      <c r="I284" s="6"/>
      <c r="J284" s="6"/>
      <c r="K284" s="6"/>
      <c r="L284" s="6" t="str">
        <f t="shared" si="28"/>
        <v>olka_dorn</v>
      </c>
      <c r="M284" s="6" t="str">
        <f t="shared" si="29"/>
        <v>The Terminator (Schwarzenegger, Hamilton)</v>
      </c>
      <c r="N284" s="9">
        <f t="shared" si="30"/>
        <v>0</v>
      </c>
      <c r="P284" t="str">
        <f t="shared" si="31"/>
        <v>"olka_dorn";"The Terminator";"0"</v>
      </c>
      <c r="U284" t="str">
        <f t="shared" si="32"/>
        <v>olka_dorn</v>
      </c>
      <c r="V284" t="str">
        <f t="shared" si="33"/>
        <v>The Terminator</v>
      </c>
      <c r="W284">
        <f t="shared" si="34"/>
        <v>0</v>
      </c>
    </row>
    <row r="285" spans="1:23" x14ac:dyDescent="0.2">
      <c r="A285" s="6" t="s">
        <v>62</v>
      </c>
      <c r="B285" s="6">
        <v>1986</v>
      </c>
      <c r="C285" s="6"/>
      <c r="D285" s="6" t="s">
        <v>69</v>
      </c>
      <c r="E285" s="6" t="s">
        <v>3</v>
      </c>
      <c r="F285" s="6">
        <v>0</v>
      </c>
      <c r="G285" s="6"/>
      <c r="H285" s="6">
        <v>0</v>
      </c>
      <c r="I285" s="6"/>
      <c r="J285" s="6"/>
      <c r="K285" s="6"/>
      <c r="L285" s="6" t="str">
        <f t="shared" si="28"/>
        <v>olka_dorn</v>
      </c>
      <c r="M285" s="6" t="str">
        <f t="shared" si="29"/>
        <v>Top Gun (Cruise, McGillis)</v>
      </c>
      <c r="N285" s="9">
        <f t="shared" si="30"/>
        <v>0</v>
      </c>
      <c r="P285" t="str">
        <f t="shared" si="31"/>
        <v>"olka_dorn";"Top Gun";"0"</v>
      </c>
      <c r="U285" t="str">
        <f t="shared" si="32"/>
        <v>olka_dorn</v>
      </c>
      <c r="V285" t="str">
        <f t="shared" si="33"/>
        <v>Top Gun</v>
      </c>
      <c r="W285">
        <f t="shared" si="34"/>
        <v>0</v>
      </c>
    </row>
    <row r="286" spans="1:23" x14ac:dyDescent="0.2">
      <c r="A286" s="6" t="s">
        <v>63</v>
      </c>
      <c r="B286" s="6">
        <v>1995</v>
      </c>
      <c r="C286" s="6"/>
      <c r="D286" s="6" t="s">
        <v>69</v>
      </c>
      <c r="E286" s="6" t="s">
        <v>2</v>
      </c>
      <c r="F286" s="6">
        <v>1</v>
      </c>
      <c r="G286" s="6">
        <v>4</v>
      </c>
      <c r="H286" s="6">
        <v>4</v>
      </c>
      <c r="I286" s="6"/>
      <c r="J286" s="6"/>
      <c r="K286" s="6"/>
      <c r="L286" s="6" t="str">
        <f t="shared" si="28"/>
        <v>olka_dorn</v>
      </c>
      <c r="M286" s="6" t="str">
        <f t="shared" si="29"/>
        <v>Toy Story (Pixar)</v>
      </c>
      <c r="N286" s="9">
        <f t="shared" si="30"/>
        <v>4</v>
      </c>
      <c r="P286" t="str">
        <f t="shared" si="31"/>
        <v>"olka_dorn";"Toy Story";"4"</v>
      </c>
      <c r="U286" t="str">
        <f t="shared" si="32"/>
        <v>olka_dorn</v>
      </c>
      <c r="V286" t="str">
        <f t="shared" si="33"/>
        <v>Toy Story</v>
      </c>
      <c r="W286">
        <f t="shared" si="34"/>
        <v>1</v>
      </c>
    </row>
    <row r="287" spans="1:23" x14ac:dyDescent="0.2">
      <c r="A287" s="6" t="s">
        <v>8</v>
      </c>
      <c r="B287" s="6">
        <v>1968</v>
      </c>
      <c r="C287" s="6"/>
      <c r="D287" s="6" t="s">
        <v>70</v>
      </c>
      <c r="E287" s="6" t="s">
        <v>3</v>
      </c>
      <c r="F287" s="6">
        <v>0</v>
      </c>
      <c r="G287" s="6"/>
      <c r="H287" s="6">
        <v>0</v>
      </c>
      <c r="I287" s="6"/>
      <c r="J287" s="6"/>
      <c r="K287" s="6"/>
      <c r="L287" s="6" t="str">
        <f t="shared" si="28"/>
        <v>11ea-aaef</v>
      </c>
      <c r="M287" s="6" t="str">
        <f t="shared" si="29"/>
        <v>2001: A Space Odyssey (Duella, Lockwood)</v>
      </c>
      <c r="N287" s="9">
        <f t="shared" si="30"/>
        <v>0</v>
      </c>
      <c r="P287" t="str">
        <f t="shared" si="31"/>
        <v>"11ea-aaef";"2001: A Space Odyssey";"0"</v>
      </c>
      <c r="U287" t="str">
        <f t="shared" si="32"/>
        <v>11ea-aaef</v>
      </c>
      <c r="V287" t="str">
        <f t="shared" si="33"/>
        <v>2001: A Space Odyssey</v>
      </c>
      <c r="W287">
        <f t="shared" si="34"/>
        <v>0</v>
      </c>
    </row>
    <row r="288" spans="1:23" x14ac:dyDescent="0.2">
      <c r="A288" s="6" t="s">
        <v>9</v>
      </c>
      <c r="B288" s="6">
        <v>1971</v>
      </c>
      <c r="C288" s="6"/>
      <c r="D288" s="6" t="s">
        <v>70</v>
      </c>
      <c r="E288" s="6" t="s">
        <v>3</v>
      </c>
      <c r="F288" s="6">
        <v>0</v>
      </c>
      <c r="G288" s="6"/>
      <c r="H288" s="6">
        <v>0</v>
      </c>
      <c r="I288" s="6"/>
      <c r="J288" s="6"/>
      <c r="K288" s="6"/>
      <c r="L288" s="6" t="str">
        <f t="shared" si="28"/>
        <v>11ea-aaef</v>
      </c>
      <c r="M288" s="6" t="str">
        <f t="shared" si="29"/>
        <v>A Clockwork Orange (McDowell, Magee)</v>
      </c>
      <c r="N288" s="9">
        <f t="shared" si="30"/>
        <v>0</v>
      </c>
      <c r="P288" t="str">
        <f t="shared" si="31"/>
        <v>"11ea-aaef";"A Clockwork Orange";"0"</v>
      </c>
      <c r="U288" t="str">
        <f t="shared" si="32"/>
        <v>11ea-aaef</v>
      </c>
      <c r="V288" t="str">
        <f t="shared" si="33"/>
        <v>A Clockwork Orange</v>
      </c>
      <c r="W288">
        <f t="shared" si="34"/>
        <v>0</v>
      </c>
    </row>
    <row r="289" spans="1:23" x14ac:dyDescent="0.2">
      <c r="A289" s="6" t="s">
        <v>10</v>
      </c>
      <c r="B289" s="6">
        <v>2018</v>
      </c>
      <c r="C289" s="6"/>
      <c r="D289" s="6" t="s">
        <v>70</v>
      </c>
      <c r="E289" s="6" t="s">
        <v>3</v>
      </c>
      <c r="F289" s="6">
        <v>0</v>
      </c>
      <c r="G289" s="6"/>
      <c r="H289" s="6">
        <v>0</v>
      </c>
      <c r="I289" s="6"/>
      <c r="J289" s="6"/>
      <c r="K289" s="6"/>
      <c r="L289" s="6" t="str">
        <f t="shared" si="28"/>
        <v>11ea-aaef</v>
      </c>
      <c r="M289" s="6" t="str">
        <f t="shared" si="29"/>
        <v>A star is born (Gaga, Cooper)</v>
      </c>
      <c r="N289" s="9">
        <f t="shared" si="30"/>
        <v>0</v>
      </c>
      <c r="P289" t="str">
        <f t="shared" si="31"/>
        <v>"11ea-aaef";"A star is born";"0"</v>
      </c>
      <c r="U289" t="str">
        <f t="shared" si="32"/>
        <v>11ea-aaef</v>
      </c>
      <c r="V289" t="str">
        <f t="shared" si="33"/>
        <v>A star is born</v>
      </c>
      <c r="W289">
        <f t="shared" si="34"/>
        <v>0</v>
      </c>
    </row>
    <row r="290" spans="1:23" x14ac:dyDescent="0.2">
      <c r="A290" s="6" t="s">
        <v>11</v>
      </c>
      <c r="B290" s="6">
        <v>2005</v>
      </c>
      <c r="C290" s="6"/>
      <c r="D290" s="6" t="s">
        <v>70</v>
      </c>
      <c r="E290" s="6" t="s">
        <v>3</v>
      </c>
      <c r="F290" s="6">
        <v>0</v>
      </c>
      <c r="G290" s="6"/>
      <c r="H290" s="6">
        <v>0</v>
      </c>
      <c r="I290" s="6"/>
      <c r="J290" s="6"/>
      <c r="K290" s="6"/>
      <c r="L290" s="6" t="str">
        <f t="shared" si="28"/>
        <v>11ea-aaef</v>
      </c>
      <c r="M290" s="6" t="str">
        <f t="shared" si="29"/>
        <v>Aeon Flux (Theron, Csokas)</v>
      </c>
      <c r="N290" s="9">
        <f t="shared" si="30"/>
        <v>0</v>
      </c>
      <c r="P290" t="str">
        <f t="shared" si="31"/>
        <v>"11ea-aaef";"Aeon Flux";"0"</v>
      </c>
      <c r="U290" t="str">
        <f t="shared" si="32"/>
        <v>11ea-aaef</v>
      </c>
      <c r="V290" t="str">
        <f t="shared" si="33"/>
        <v>Aeon Flux</v>
      </c>
      <c r="W290">
        <f t="shared" si="34"/>
        <v>0</v>
      </c>
    </row>
    <row r="291" spans="1:23" x14ac:dyDescent="0.2">
      <c r="A291" s="6" t="s">
        <v>12</v>
      </c>
      <c r="B291" s="6">
        <v>1951</v>
      </c>
      <c r="C291" s="6"/>
      <c r="D291" s="6" t="s">
        <v>70</v>
      </c>
      <c r="E291" s="6" t="s">
        <v>3</v>
      </c>
      <c r="F291" s="6">
        <v>0</v>
      </c>
      <c r="G291" s="6"/>
      <c r="H291" s="6">
        <v>0</v>
      </c>
      <c r="I291" s="6"/>
      <c r="J291" s="6"/>
      <c r="K291" s="6"/>
      <c r="L291" s="6" t="str">
        <f t="shared" si="28"/>
        <v>11ea-aaef</v>
      </c>
      <c r="M291" s="6" t="str">
        <f t="shared" si="29"/>
        <v>African Queen (Bogart, Hepburn)</v>
      </c>
      <c r="N291" s="9">
        <f t="shared" si="30"/>
        <v>0</v>
      </c>
      <c r="P291" t="str">
        <f t="shared" si="31"/>
        <v>"11ea-aaef";"African Queen";"0"</v>
      </c>
      <c r="U291" t="str">
        <f t="shared" si="32"/>
        <v>11ea-aaef</v>
      </c>
      <c r="V291" t="str">
        <f t="shared" si="33"/>
        <v>African Queen</v>
      </c>
      <c r="W291">
        <f t="shared" si="34"/>
        <v>0</v>
      </c>
    </row>
    <row r="292" spans="1:23" x14ac:dyDescent="0.2">
      <c r="A292" s="6" t="s">
        <v>13</v>
      </c>
      <c r="B292" s="6">
        <v>1979</v>
      </c>
      <c r="C292" s="6"/>
      <c r="D292" s="6" t="s">
        <v>70</v>
      </c>
      <c r="E292" s="6" t="s">
        <v>3</v>
      </c>
      <c r="F292" s="6">
        <v>0</v>
      </c>
      <c r="G292" s="6"/>
      <c r="H292" s="6">
        <v>0</v>
      </c>
      <c r="I292" s="6"/>
      <c r="J292" s="6"/>
      <c r="K292" s="6"/>
      <c r="L292" s="6" t="str">
        <f t="shared" si="28"/>
        <v>11ea-aaef</v>
      </c>
      <c r="M292" s="6" t="str">
        <f t="shared" si="29"/>
        <v>Alien (Weaver, Skerritt)</v>
      </c>
      <c r="N292" s="9">
        <f t="shared" si="30"/>
        <v>0</v>
      </c>
      <c r="P292" t="str">
        <f t="shared" si="31"/>
        <v>"11ea-aaef";"Alien";"0"</v>
      </c>
      <c r="U292" t="str">
        <f t="shared" si="32"/>
        <v>11ea-aaef</v>
      </c>
      <c r="V292" t="str">
        <f t="shared" si="33"/>
        <v>Alien</v>
      </c>
      <c r="W292">
        <f t="shared" si="34"/>
        <v>0</v>
      </c>
    </row>
    <row r="293" spans="1:23" x14ac:dyDescent="0.2">
      <c r="A293" s="6" t="s">
        <v>14</v>
      </c>
      <c r="B293" s="6">
        <v>1960</v>
      </c>
      <c r="C293" s="6"/>
      <c r="D293" s="6" t="s">
        <v>70</v>
      </c>
      <c r="E293" s="6" t="s">
        <v>3</v>
      </c>
      <c r="F293" s="6">
        <v>0</v>
      </c>
      <c r="G293" s="6"/>
      <c r="H293" s="6">
        <v>0</v>
      </c>
      <c r="I293" s="6"/>
      <c r="J293" s="6"/>
      <c r="K293" s="6"/>
      <c r="L293" s="6" t="str">
        <f t="shared" si="28"/>
        <v>11ea-aaef</v>
      </c>
      <c r="M293" s="6" t="str">
        <f t="shared" si="29"/>
        <v>Apartment (Lemmon, MacLaine)</v>
      </c>
      <c r="N293" s="9">
        <f t="shared" si="30"/>
        <v>0</v>
      </c>
      <c r="P293" t="str">
        <f t="shared" si="31"/>
        <v>"11ea-aaef";"Apartment";"0"</v>
      </c>
      <c r="U293" t="str">
        <f t="shared" si="32"/>
        <v>11ea-aaef</v>
      </c>
      <c r="V293" t="str">
        <f t="shared" si="33"/>
        <v>Apartment</v>
      </c>
      <c r="W293">
        <f t="shared" si="34"/>
        <v>0</v>
      </c>
    </row>
    <row r="294" spans="1:23" x14ac:dyDescent="0.2">
      <c r="A294" s="6" t="s">
        <v>15</v>
      </c>
      <c r="B294" s="6">
        <v>1979</v>
      </c>
      <c r="C294" s="6"/>
      <c r="D294" s="6" t="s">
        <v>70</v>
      </c>
      <c r="E294" s="6" t="s">
        <v>3</v>
      </c>
      <c r="F294" s="6">
        <v>0</v>
      </c>
      <c r="G294" s="6"/>
      <c r="H294" s="6">
        <v>0</v>
      </c>
      <c r="I294" s="6"/>
      <c r="J294" s="6"/>
      <c r="K294" s="6"/>
      <c r="L294" s="6" t="str">
        <f t="shared" si="28"/>
        <v>11ea-aaef</v>
      </c>
      <c r="M294" s="6" t="str">
        <f t="shared" si="29"/>
        <v>Apocalypse Now (Sheen, Brando)</v>
      </c>
      <c r="N294" s="9">
        <f t="shared" si="30"/>
        <v>0</v>
      </c>
      <c r="P294" t="str">
        <f t="shared" si="31"/>
        <v>"11ea-aaef";"Apocalypse Now";"0"</v>
      </c>
      <c r="U294" t="str">
        <f t="shared" si="32"/>
        <v>11ea-aaef</v>
      </c>
      <c r="V294" t="str">
        <f t="shared" si="33"/>
        <v>Apocalypse Now</v>
      </c>
      <c r="W294">
        <f t="shared" si="34"/>
        <v>0</v>
      </c>
    </row>
    <row r="295" spans="1:23" x14ac:dyDescent="0.2">
      <c r="A295" s="6" t="s">
        <v>16</v>
      </c>
      <c r="B295" s="6">
        <v>1956</v>
      </c>
      <c r="C295" s="6"/>
      <c r="D295" s="6" t="s">
        <v>70</v>
      </c>
      <c r="E295" s="6" t="s">
        <v>3</v>
      </c>
      <c r="F295" s="6">
        <v>0</v>
      </c>
      <c r="G295" s="6"/>
      <c r="H295" s="6">
        <v>0</v>
      </c>
      <c r="I295" s="6"/>
      <c r="J295" s="6"/>
      <c r="K295" s="6"/>
      <c r="L295" s="6" t="str">
        <f t="shared" si="28"/>
        <v>11ea-aaef</v>
      </c>
      <c r="M295" s="6" t="str">
        <f t="shared" si="29"/>
        <v>Around The World In 80 Days (Niven, Cantinflas)</v>
      </c>
      <c r="N295" s="9">
        <f t="shared" si="30"/>
        <v>0</v>
      </c>
      <c r="P295" t="str">
        <f t="shared" si="31"/>
        <v>"11ea-aaef";"Around The World In 80 Days";"0"</v>
      </c>
      <c r="U295" t="str">
        <f t="shared" si="32"/>
        <v>11ea-aaef</v>
      </c>
      <c r="V295" t="str">
        <f t="shared" si="33"/>
        <v>Around The World In 80 Days</v>
      </c>
      <c r="W295">
        <f t="shared" si="34"/>
        <v>0</v>
      </c>
    </row>
    <row r="296" spans="1:23" x14ac:dyDescent="0.2">
      <c r="A296" s="6" t="s">
        <v>17</v>
      </c>
      <c r="B296" s="6">
        <v>2009</v>
      </c>
      <c r="C296" s="6"/>
      <c r="D296" s="6" t="s">
        <v>70</v>
      </c>
      <c r="E296" s="6" t="s">
        <v>2</v>
      </c>
      <c r="F296" s="6">
        <v>1</v>
      </c>
      <c r="G296" s="6">
        <v>5</v>
      </c>
      <c r="H296" s="6">
        <v>5</v>
      </c>
      <c r="I296" s="6"/>
      <c r="J296" s="6"/>
      <c r="K296" s="6"/>
      <c r="L296" s="6" t="str">
        <f t="shared" si="28"/>
        <v>11ea-aaef</v>
      </c>
      <c r="M296" s="6" t="str">
        <f t="shared" si="29"/>
        <v>Avatar (Worthington, Saldana)</v>
      </c>
      <c r="N296" s="9">
        <f t="shared" si="30"/>
        <v>5</v>
      </c>
      <c r="P296" t="str">
        <f t="shared" si="31"/>
        <v>"11ea-aaef";"Avatar";"5"</v>
      </c>
      <c r="U296" t="str">
        <f t="shared" si="32"/>
        <v>11ea-aaef</v>
      </c>
      <c r="V296" t="str">
        <f t="shared" si="33"/>
        <v>Avatar</v>
      </c>
      <c r="W296">
        <f t="shared" si="34"/>
        <v>1</v>
      </c>
    </row>
    <row r="297" spans="1:23" x14ac:dyDescent="0.2">
      <c r="A297" s="6" t="s">
        <v>18</v>
      </c>
      <c r="B297" s="6">
        <v>1989</v>
      </c>
      <c r="C297" s="6"/>
      <c r="D297" s="6" t="s">
        <v>70</v>
      </c>
      <c r="E297" s="6" t="s">
        <v>3</v>
      </c>
      <c r="F297" s="6">
        <v>0</v>
      </c>
      <c r="G297" s="6"/>
      <c r="H297" s="6">
        <v>0</v>
      </c>
      <c r="I297" s="6"/>
      <c r="J297" s="6"/>
      <c r="K297" s="6"/>
      <c r="L297" s="6" t="str">
        <f t="shared" si="28"/>
        <v>11ea-aaef</v>
      </c>
      <c r="M297" s="6" t="str">
        <f t="shared" si="29"/>
        <v>Batman (Keaton, Nicholson, Basinger)</v>
      </c>
      <c r="N297" s="9">
        <f t="shared" si="30"/>
        <v>0</v>
      </c>
      <c r="P297" t="str">
        <f t="shared" si="31"/>
        <v>"11ea-aaef";"Batman";"0"</v>
      </c>
      <c r="U297" t="str">
        <f t="shared" si="32"/>
        <v>11ea-aaef</v>
      </c>
      <c r="V297" t="str">
        <f t="shared" si="33"/>
        <v>Batman</v>
      </c>
      <c r="W297">
        <f t="shared" si="34"/>
        <v>0</v>
      </c>
    </row>
    <row r="298" spans="1:23" x14ac:dyDescent="0.2">
      <c r="A298" s="6" t="s">
        <v>19</v>
      </c>
      <c r="B298" s="6">
        <v>1982</v>
      </c>
      <c r="C298" s="6"/>
      <c r="D298" s="6" t="s">
        <v>70</v>
      </c>
      <c r="E298" s="6" t="s">
        <v>3</v>
      </c>
      <c r="F298" s="6">
        <v>0</v>
      </c>
      <c r="G298" s="6"/>
      <c r="H298" s="6">
        <v>0</v>
      </c>
      <c r="I298" s="6"/>
      <c r="J298" s="6"/>
      <c r="K298" s="6"/>
      <c r="L298" s="6" t="str">
        <f t="shared" si="28"/>
        <v>11ea-aaef</v>
      </c>
      <c r="M298" s="6" t="str">
        <f t="shared" si="29"/>
        <v>Blade Runner (Ford, Hauer)</v>
      </c>
      <c r="N298" s="9">
        <f t="shared" si="30"/>
        <v>0</v>
      </c>
      <c r="P298" t="str">
        <f t="shared" si="31"/>
        <v>"11ea-aaef";"Blade Runner";"0"</v>
      </c>
      <c r="U298" t="str">
        <f t="shared" si="32"/>
        <v>11ea-aaef</v>
      </c>
      <c r="V298" t="str">
        <f t="shared" si="33"/>
        <v>Blade Runner</v>
      </c>
      <c r="W298">
        <f t="shared" si="34"/>
        <v>0</v>
      </c>
    </row>
    <row r="299" spans="1:23" x14ac:dyDescent="0.2">
      <c r="A299" s="6" t="s">
        <v>20</v>
      </c>
      <c r="B299" s="6">
        <v>2018</v>
      </c>
      <c r="C299" s="6"/>
      <c r="D299" s="6" t="s">
        <v>70</v>
      </c>
      <c r="E299" s="6" t="s">
        <v>2</v>
      </c>
      <c r="F299" s="6">
        <v>1</v>
      </c>
      <c r="G299" s="6">
        <v>3</v>
      </c>
      <c r="H299" s="6">
        <v>3</v>
      </c>
      <c r="I299" s="6"/>
      <c r="J299" s="6"/>
      <c r="K299" s="6"/>
      <c r="L299" s="6" t="str">
        <f t="shared" si="28"/>
        <v>11ea-aaef</v>
      </c>
      <c r="M299" s="6" t="str">
        <f t="shared" si="29"/>
        <v>Bohemian Rhapsody (Malek, Boynton)</v>
      </c>
      <c r="N299" s="9">
        <f t="shared" si="30"/>
        <v>3</v>
      </c>
      <c r="P299" t="str">
        <f t="shared" si="31"/>
        <v>"11ea-aaef";"Bohemian Rhapsody";"3"</v>
      </c>
      <c r="U299" t="str">
        <f t="shared" si="32"/>
        <v>11ea-aaef</v>
      </c>
      <c r="V299" t="str">
        <f t="shared" si="33"/>
        <v>Bohemian Rhapsody</v>
      </c>
      <c r="W299">
        <f t="shared" si="34"/>
        <v>1</v>
      </c>
    </row>
    <row r="300" spans="1:23" x14ac:dyDescent="0.2">
      <c r="A300" s="6" t="s">
        <v>21</v>
      </c>
      <c r="B300" s="6">
        <v>2011</v>
      </c>
      <c r="C300" s="6"/>
      <c r="D300" s="6" t="s">
        <v>70</v>
      </c>
      <c r="E300" s="6" t="s">
        <v>3</v>
      </c>
      <c r="F300" s="6">
        <v>0</v>
      </c>
      <c r="G300" s="6"/>
      <c r="H300" s="6">
        <v>0</v>
      </c>
      <c r="I300" s="6"/>
      <c r="J300" s="6"/>
      <c r="K300" s="6"/>
      <c r="L300" s="6" t="str">
        <f t="shared" si="28"/>
        <v>11ea-aaef</v>
      </c>
      <c r="M300" s="6" t="str">
        <f t="shared" si="29"/>
        <v>Captain America (Evans, Waeving)</v>
      </c>
      <c r="N300" s="9">
        <f t="shared" si="30"/>
        <v>0</v>
      </c>
      <c r="P300" t="str">
        <f t="shared" si="31"/>
        <v>"11ea-aaef";"Captain America";"0"</v>
      </c>
      <c r="U300" t="str">
        <f t="shared" si="32"/>
        <v>11ea-aaef</v>
      </c>
      <c r="V300" t="str">
        <f t="shared" si="33"/>
        <v>Captain America</v>
      </c>
      <c r="W300">
        <f t="shared" si="34"/>
        <v>0</v>
      </c>
    </row>
    <row r="301" spans="1:23" x14ac:dyDescent="0.2">
      <c r="A301" s="6" t="s">
        <v>22</v>
      </c>
      <c r="B301" s="6">
        <v>2000</v>
      </c>
      <c r="C301" s="6"/>
      <c r="D301" s="6" t="s">
        <v>70</v>
      </c>
      <c r="E301" s="6" t="s">
        <v>3</v>
      </c>
      <c r="F301" s="6">
        <v>0</v>
      </c>
      <c r="G301" s="6"/>
      <c r="H301" s="6">
        <v>0</v>
      </c>
      <c r="I301" s="6"/>
      <c r="J301" s="6"/>
      <c r="K301" s="6"/>
      <c r="L301" s="6" t="str">
        <f t="shared" si="28"/>
        <v>11ea-aaef</v>
      </c>
      <c r="M301" s="6" t="str">
        <f t="shared" si="29"/>
        <v>Cast Away (Hanks, Hunt)</v>
      </c>
      <c r="N301" s="9">
        <f t="shared" si="30"/>
        <v>0</v>
      </c>
      <c r="P301" t="str">
        <f t="shared" si="31"/>
        <v>"11ea-aaef";"Cast Away";"0"</v>
      </c>
      <c r="U301" t="str">
        <f t="shared" si="32"/>
        <v>11ea-aaef</v>
      </c>
      <c r="V301" t="str">
        <f t="shared" si="33"/>
        <v>Cast Away</v>
      </c>
      <c r="W301">
        <f t="shared" si="34"/>
        <v>0</v>
      </c>
    </row>
    <row r="302" spans="1:23" x14ac:dyDescent="0.2">
      <c r="A302" s="6" t="s">
        <v>23</v>
      </c>
      <c r="B302" s="6">
        <v>1958</v>
      </c>
      <c r="C302" s="6"/>
      <c r="D302" s="6" t="s">
        <v>70</v>
      </c>
      <c r="E302" s="6" t="s">
        <v>3</v>
      </c>
      <c r="F302" s="6">
        <v>0</v>
      </c>
      <c r="G302" s="6"/>
      <c r="H302" s="6">
        <v>0</v>
      </c>
      <c r="I302" s="6"/>
      <c r="J302" s="6"/>
      <c r="K302" s="6"/>
      <c r="L302" s="6" t="str">
        <f t="shared" si="28"/>
        <v>11ea-aaef</v>
      </c>
      <c r="M302" s="6" t="str">
        <f t="shared" si="29"/>
        <v>Cat On Hot Tin Roof (Taylor, Newman)</v>
      </c>
      <c r="N302" s="9">
        <f t="shared" si="30"/>
        <v>0</v>
      </c>
      <c r="P302" t="str">
        <f t="shared" si="31"/>
        <v>"11ea-aaef";"Cat On Hot Tin Roof";"0"</v>
      </c>
      <c r="U302" t="str">
        <f t="shared" si="32"/>
        <v>11ea-aaef</v>
      </c>
      <c r="V302" t="str">
        <f t="shared" si="33"/>
        <v>Cat On Hot Tin Roof</v>
      </c>
      <c r="W302">
        <f t="shared" si="34"/>
        <v>0</v>
      </c>
    </row>
    <row r="303" spans="1:23" x14ac:dyDescent="0.2">
      <c r="A303" s="6" t="s">
        <v>24</v>
      </c>
      <c r="B303" s="6">
        <v>1963</v>
      </c>
      <c r="C303" s="6"/>
      <c r="D303" s="6" t="s">
        <v>70</v>
      </c>
      <c r="E303" s="6" t="s">
        <v>3</v>
      </c>
      <c r="F303" s="6">
        <v>0</v>
      </c>
      <c r="G303" s="6"/>
      <c r="H303" s="6">
        <v>0</v>
      </c>
      <c r="I303" s="6"/>
      <c r="J303" s="6"/>
      <c r="K303" s="6"/>
      <c r="L303" s="6" t="str">
        <f t="shared" si="28"/>
        <v>11ea-aaef</v>
      </c>
      <c r="M303" s="6" t="str">
        <f t="shared" si="29"/>
        <v>Charade (Grant, Hepburn)</v>
      </c>
      <c r="N303" s="9">
        <f t="shared" si="30"/>
        <v>0</v>
      </c>
      <c r="P303" t="str">
        <f t="shared" si="31"/>
        <v>"11ea-aaef";"Charade";"0"</v>
      </c>
      <c r="U303" t="str">
        <f t="shared" si="32"/>
        <v>11ea-aaef</v>
      </c>
      <c r="V303" t="str">
        <f t="shared" si="33"/>
        <v>Charade</v>
      </c>
      <c r="W303">
        <f t="shared" si="34"/>
        <v>0</v>
      </c>
    </row>
    <row r="304" spans="1:23" x14ac:dyDescent="0.2">
      <c r="A304" s="6" t="s">
        <v>25</v>
      </c>
      <c r="B304" s="6">
        <v>2000</v>
      </c>
      <c r="C304" s="6"/>
      <c r="D304" s="6" t="s">
        <v>70</v>
      </c>
      <c r="E304" s="6" t="s">
        <v>2</v>
      </c>
      <c r="F304" s="6">
        <v>1</v>
      </c>
      <c r="G304" s="6">
        <v>1</v>
      </c>
      <c r="H304" s="6">
        <v>1</v>
      </c>
      <c r="I304" s="6"/>
      <c r="J304" s="6"/>
      <c r="K304" s="6"/>
      <c r="L304" s="6" t="str">
        <f t="shared" si="28"/>
        <v>11ea-aaef</v>
      </c>
      <c r="M304" s="6" t="str">
        <f t="shared" si="29"/>
        <v>Charlies Angels (Diaz, Barrymore, Liu)</v>
      </c>
      <c r="N304" s="9">
        <f t="shared" si="30"/>
        <v>1</v>
      </c>
      <c r="P304" t="str">
        <f t="shared" si="31"/>
        <v>"11ea-aaef";"Charlies Angels";"1"</v>
      </c>
      <c r="U304" t="str">
        <f t="shared" si="32"/>
        <v>11ea-aaef</v>
      </c>
      <c r="V304" t="str">
        <f t="shared" si="33"/>
        <v>Charlies Angels</v>
      </c>
      <c r="W304">
        <f t="shared" si="34"/>
        <v>1</v>
      </c>
    </row>
    <row r="305" spans="1:23" x14ac:dyDescent="0.2">
      <c r="A305" s="6" t="s">
        <v>26</v>
      </c>
      <c r="B305" s="6">
        <v>1974</v>
      </c>
      <c r="C305" s="6"/>
      <c r="D305" s="6" t="s">
        <v>70</v>
      </c>
      <c r="E305" s="6" t="s">
        <v>3</v>
      </c>
      <c r="F305" s="6">
        <v>0</v>
      </c>
      <c r="G305" s="6"/>
      <c r="H305" s="6">
        <v>0</v>
      </c>
      <c r="I305" s="6"/>
      <c r="J305" s="6"/>
      <c r="K305" s="6"/>
      <c r="L305" s="6" t="str">
        <f t="shared" si="28"/>
        <v>11ea-aaef</v>
      </c>
      <c r="M305" s="6" t="str">
        <f t="shared" si="29"/>
        <v>Chinatown (Nicholson, Dunaway)</v>
      </c>
      <c r="N305" s="9">
        <f t="shared" si="30"/>
        <v>0</v>
      </c>
      <c r="P305" t="str">
        <f t="shared" si="31"/>
        <v>"11ea-aaef";"Chinatown";"0"</v>
      </c>
      <c r="U305" t="str">
        <f t="shared" si="32"/>
        <v>11ea-aaef</v>
      </c>
      <c r="V305" t="str">
        <f t="shared" si="33"/>
        <v>Chinatown</v>
      </c>
      <c r="W305">
        <f t="shared" si="34"/>
        <v>0</v>
      </c>
    </row>
    <row r="306" spans="1:23" x14ac:dyDescent="0.2">
      <c r="A306" s="6" t="s">
        <v>27</v>
      </c>
      <c r="B306" s="6">
        <v>1986</v>
      </c>
      <c r="C306" s="6"/>
      <c r="D306" s="6" t="s">
        <v>70</v>
      </c>
      <c r="E306" s="6" t="s">
        <v>3</v>
      </c>
      <c r="F306" s="6">
        <v>0</v>
      </c>
      <c r="G306" s="6"/>
      <c r="H306" s="6">
        <v>0</v>
      </c>
      <c r="I306" s="6"/>
      <c r="J306" s="6"/>
      <c r="K306" s="6"/>
      <c r="L306" s="6" t="str">
        <f t="shared" si="28"/>
        <v>11ea-aaef</v>
      </c>
      <c r="M306" s="6" t="str">
        <f t="shared" si="29"/>
        <v>Clockwise (Gleese, Leatherbarrow)</v>
      </c>
      <c r="N306" s="9">
        <f t="shared" si="30"/>
        <v>0</v>
      </c>
      <c r="P306" t="str">
        <f t="shared" si="31"/>
        <v>"11ea-aaef";"Clockwise";"0"</v>
      </c>
      <c r="U306" t="str">
        <f t="shared" si="32"/>
        <v>11ea-aaef</v>
      </c>
      <c r="V306" t="str">
        <f t="shared" si="33"/>
        <v>Clockwise</v>
      </c>
      <c r="W306">
        <f t="shared" si="34"/>
        <v>0</v>
      </c>
    </row>
    <row r="307" spans="1:23" x14ac:dyDescent="0.2">
      <c r="A307" s="6" t="s">
        <v>28</v>
      </c>
      <c r="B307" s="6">
        <v>2011</v>
      </c>
      <c r="C307" s="6"/>
      <c r="D307" s="6" t="s">
        <v>70</v>
      </c>
      <c r="E307" s="6" t="s">
        <v>3</v>
      </c>
      <c r="F307" s="6">
        <v>0</v>
      </c>
      <c r="G307" s="6"/>
      <c r="H307" s="6">
        <v>0</v>
      </c>
      <c r="I307" s="6"/>
      <c r="J307" s="6"/>
      <c r="K307" s="6"/>
      <c r="L307" s="6" t="str">
        <f t="shared" si="28"/>
        <v>11ea-aaef</v>
      </c>
      <c r="M307" s="6" t="str">
        <f t="shared" si="29"/>
        <v>Colombiana (Saldana, Molla)</v>
      </c>
      <c r="N307" s="9">
        <f t="shared" si="30"/>
        <v>0</v>
      </c>
      <c r="P307" t="str">
        <f t="shared" si="31"/>
        <v>"11ea-aaef";"Colombiana";"0"</v>
      </c>
      <c r="U307" t="str">
        <f t="shared" si="32"/>
        <v>11ea-aaef</v>
      </c>
      <c r="V307" t="str">
        <f t="shared" si="33"/>
        <v>Colombiana</v>
      </c>
      <c r="W307">
        <f t="shared" si="34"/>
        <v>0</v>
      </c>
    </row>
    <row r="308" spans="1:23" x14ac:dyDescent="0.2">
      <c r="A308" s="6" t="s">
        <v>29</v>
      </c>
      <c r="B308" s="6">
        <v>1962</v>
      </c>
      <c r="C308" s="6"/>
      <c r="D308" s="6" t="s">
        <v>70</v>
      </c>
      <c r="E308" s="6" t="s">
        <v>3</v>
      </c>
      <c r="F308" s="6">
        <v>0</v>
      </c>
      <c r="G308" s="6"/>
      <c r="H308" s="6">
        <v>0</v>
      </c>
      <c r="I308" s="6"/>
      <c r="J308" s="6"/>
      <c r="K308" s="6"/>
      <c r="L308" s="6" t="str">
        <f t="shared" si="28"/>
        <v>11ea-aaef</v>
      </c>
      <c r="M308" s="6" t="str">
        <f t="shared" si="29"/>
        <v>Doctor No (Connery, Andress)</v>
      </c>
      <c r="N308" s="9">
        <f t="shared" si="30"/>
        <v>0</v>
      </c>
      <c r="P308" t="str">
        <f t="shared" si="31"/>
        <v>"11ea-aaef";"Doctor No";"0"</v>
      </c>
      <c r="U308" t="str">
        <f t="shared" si="32"/>
        <v>11ea-aaef</v>
      </c>
      <c r="V308" t="str">
        <f t="shared" si="33"/>
        <v>Doctor No</v>
      </c>
      <c r="W308">
        <f t="shared" si="34"/>
        <v>0</v>
      </c>
    </row>
    <row r="309" spans="1:23" x14ac:dyDescent="0.2">
      <c r="A309" s="6" t="s">
        <v>30</v>
      </c>
      <c r="B309" s="6">
        <v>1965</v>
      </c>
      <c r="C309" s="6"/>
      <c r="D309" s="6" t="s">
        <v>70</v>
      </c>
      <c r="E309" s="6" t="s">
        <v>3</v>
      </c>
      <c r="F309" s="6">
        <v>0</v>
      </c>
      <c r="G309" s="6"/>
      <c r="H309" s="6">
        <v>0</v>
      </c>
      <c r="I309" s="6"/>
      <c r="J309" s="6"/>
      <c r="K309" s="6"/>
      <c r="L309" s="6" t="str">
        <f t="shared" si="28"/>
        <v>11ea-aaef</v>
      </c>
      <c r="M309" s="6" t="str">
        <f t="shared" si="29"/>
        <v>Doctor Zhiwago (Sharif, Christie)</v>
      </c>
      <c r="N309" s="9">
        <f t="shared" si="30"/>
        <v>0</v>
      </c>
      <c r="P309" t="str">
        <f t="shared" si="31"/>
        <v>"11ea-aaef";"Doctor Zhiwago";"0"</v>
      </c>
      <c r="U309" t="str">
        <f t="shared" si="32"/>
        <v>11ea-aaef</v>
      </c>
      <c r="V309" t="str">
        <f t="shared" si="33"/>
        <v>Doctor Zhiwago</v>
      </c>
      <c r="W309">
        <f t="shared" si="34"/>
        <v>0</v>
      </c>
    </row>
    <row r="310" spans="1:23" x14ac:dyDescent="0.2">
      <c r="A310" s="6" t="s">
        <v>31</v>
      </c>
      <c r="B310" s="6">
        <v>1964</v>
      </c>
      <c r="C310" s="6"/>
      <c r="D310" s="6" t="s">
        <v>70</v>
      </c>
      <c r="E310" s="6" t="s">
        <v>3</v>
      </c>
      <c r="F310" s="6">
        <v>0</v>
      </c>
      <c r="G310" s="6"/>
      <c r="H310" s="6">
        <v>0</v>
      </c>
      <c r="I310" s="6"/>
      <c r="J310" s="6"/>
      <c r="K310" s="6"/>
      <c r="L310" s="6" t="str">
        <f t="shared" si="28"/>
        <v>11ea-aaef</v>
      </c>
      <c r="M310" s="6" t="str">
        <f t="shared" si="29"/>
        <v>Dr. Strangelove… (Sellers, Scott)</v>
      </c>
      <c r="N310" s="9">
        <f t="shared" si="30"/>
        <v>0</v>
      </c>
      <c r="P310" t="str">
        <f t="shared" si="31"/>
        <v>"11ea-aaef";"Dr. Strangelove…";"0"</v>
      </c>
      <c r="U310" t="str">
        <f t="shared" si="32"/>
        <v>11ea-aaef</v>
      </c>
      <c r="V310" t="str">
        <f t="shared" si="33"/>
        <v>Dr. Strangelove…</v>
      </c>
      <c r="W310">
        <f t="shared" si="34"/>
        <v>0</v>
      </c>
    </row>
    <row r="311" spans="1:23" x14ac:dyDescent="0.2">
      <c r="A311" s="6" t="s">
        <v>32</v>
      </c>
      <c r="B311" s="6">
        <v>2000</v>
      </c>
      <c r="C311" s="6"/>
      <c r="D311" s="6" t="s">
        <v>70</v>
      </c>
      <c r="E311" s="6" t="s">
        <v>3</v>
      </c>
      <c r="F311" s="6">
        <v>0</v>
      </c>
      <c r="G311" s="6"/>
      <c r="H311" s="6">
        <v>0</v>
      </c>
      <c r="I311" s="6"/>
      <c r="J311" s="6"/>
      <c r="K311" s="6"/>
      <c r="L311" s="6" t="str">
        <f t="shared" si="28"/>
        <v>11ea-aaef</v>
      </c>
      <c r="M311" s="6" t="str">
        <f t="shared" si="29"/>
        <v>Dr. T and the women (Gere, Hunt)</v>
      </c>
      <c r="N311" s="9">
        <f t="shared" si="30"/>
        <v>0</v>
      </c>
      <c r="P311" t="str">
        <f t="shared" si="31"/>
        <v>"11ea-aaef";"Dr. T and the women";"0"</v>
      </c>
      <c r="U311" t="str">
        <f t="shared" si="32"/>
        <v>11ea-aaef</v>
      </c>
      <c r="V311" t="str">
        <f t="shared" si="33"/>
        <v>Dr. T and the women</v>
      </c>
      <c r="W311">
        <f t="shared" si="34"/>
        <v>0</v>
      </c>
    </row>
    <row r="312" spans="1:23" x14ac:dyDescent="0.2">
      <c r="A312" s="6" t="s">
        <v>33</v>
      </c>
      <c r="B312" s="6">
        <v>1953</v>
      </c>
      <c r="C312" s="6"/>
      <c r="D312" s="6" t="s">
        <v>70</v>
      </c>
      <c r="E312" s="6" t="s">
        <v>3</v>
      </c>
      <c r="F312" s="6">
        <v>0</v>
      </c>
      <c r="G312" s="6"/>
      <c r="H312" s="6">
        <v>0</v>
      </c>
      <c r="I312" s="6"/>
      <c r="J312" s="6"/>
      <c r="K312" s="6"/>
      <c r="L312" s="6" t="str">
        <f t="shared" si="28"/>
        <v>11ea-aaef</v>
      </c>
      <c r="M312" s="6" t="str">
        <f t="shared" si="29"/>
        <v>Gentlemen Prefer Blondes (Monroe, Russell)</v>
      </c>
      <c r="N312" s="9">
        <f t="shared" si="30"/>
        <v>0</v>
      </c>
      <c r="P312" t="str">
        <f t="shared" si="31"/>
        <v>"11ea-aaef";"Gentlemen Prefer Blondes";"0"</v>
      </c>
      <c r="U312" t="str">
        <f t="shared" si="32"/>
        <v>11ea-aaef</v>
      </c>
      <c r="V312" t="str">
        <f t="shared" si="33"/>
        <v>Gentlemen Prefer Blondes</v>
      </c>
      <c r="W312">
        <f t="shared" si="34"/>
        <v>0</v>
      </c>
    </row>
    <row r="313" spans="1:23" x14ac:dyDescent="0.2">
      <c r="A313" s="6" t="s">
        <v>34</v>
      </c>
      <c r="B313" s="6">
        <v>2014</v>
      </c>
      <c r="C313" s="6"/>
      <c r="D313" s="6" t="s">
        <v>70</v>
      </c>
      <c r="E313" s="6" t="s">
        <v>3</v>
      </c>
      <c r="F313" s="6">
        <v>0</v>
      </c>
      <c r="G313" s="6"/>
      <c r="H313" s="6">
        <v>0</v>
      </c>
      <c r="I313" s="6"/>
      <c r="J313" s="6"/>
      <c r="K313" s="6"/>
      <c r="L313" s="6" t="str">
        <f t="shared" si="28"/>
        <v>11ea-aaef</v>
      </c>
      <c r="M313" s="6" t="str">
        <f t="shared" si="29"/>
        <v>Grand Budapest Hotel (Fiennes, Abraham)</v>
      </c>
      <c r="N313" s="9">
        <f t="shared" si="30"/>
        <v>0</v>
      </c>
      <c r="P313" t="str">
        <f t="shared" si="31"/>
        <v>"11ea-aaef";"Grand Budapest Hotel";"0"</v>
      </c>
      <c r="U313" t="str">
        <f t="shared" si="32"/>
        <v>11ea-aaef</v>
      </c>
      <c r="V313" t="str">
        <f t="shared" si="33"/>
        <v>Grand Budapest Hotel</v>
      </c>
      <c r="W313">
        <f t="shared" si="34"/>
        <v>0</v>
      </c>
    </row>
    <row r="314" spans="1:23" x14ac:dyDescent="0.2">
      <c r="A314" s="6" t="s">
        <v>35</v>
      </c>
      <c r="B314" s="6">
        <v>2001</v>
      </c>
      <c r="C314" s="6"/>
      <c r="D314" s="6" t="s">
        <v>70</v>
      </c>
      <c r="E314" s="6" t="s">
        <v>2</v>
      </c>
      <c r="F314" s="6">
        <v>1</v>
      </c>
      <c r="G314" s="6">
        <v>4</v>
      </c>
      <c r="H314" s="6">
        <v>4</v>
      </c>
      <c r="I314" s="6"/>
      <c r="J314" s="6"/>
      <c r="K314" s="6"/>
      <c r="L314" s="6" t="str">
        <f t="shared" si="28"/>
        <v>11ea-aaef</v>
      </c>
      <c r="M314" s="6" t="str">
        <f t="shared" si="29"/>
        <v>Harry Potter and the Philosopher's Stone (Radcliff, Harris)</v>
      </c>
      <c r="N314" s="9">
        <f t="shared" si="30"/>
        <v>4</v>
      </c>
      <c r="P314" t="str">
        <f t="shared" si="31"/>
        <v>"11ea-aaef";"Harry Potter and the Philosopher's Stone";"4"</v>
      </c>
      <c r="U314" t="str">
        <f t="shared" si="32"/>
        <v>11ea-aaef</v>
      </c>
      <c r="V314" t="str">
        <f t="shared" si="33"/>
        <v>Harry Potter and the Philosopher's Stone</v>
      </c>
      <c r="W314">
        <f t="shared" si="34"/>
        <v>1</v>
      </c>
    </row>
    <row r="315" spans="1:23" x14ac:dyDescent="0.2">
      <c r="A315" s="6" t="s">
        <v>36</v>
      </c>
      <c r="B315" s="6">
        <v>1950</v>
      </c>
      <c r="C315" s="6"/>
      <c r="D315" s="6" t="s">
        <v>70</v>
      </c>
      <c r="E315" s="6" t="s">
        <v>3</v>
      </c>
      <c r="F315" s="6">
        <v>0</v>
      </c>
      <c r="G315" s="6"/>
      <c r="H315" s="6">
        <v>0</v>
      </c>
      <c r="I315" s="6"/>
      <c r="J315" s="6"/>
      <c r="K315" s="6"/>
      <c r="L315" s="6" t="str">
        <f t="shared" si="28"/>
        <v>11ea-aaef</v>
      </c>
      <c r="M315" s="6" t="str">
        <f t="shared" si="29"/>
        <v>Harvey (Stewart, Hull)</v>
      </c>
      <c r="N315" s="9">
        <f t="shared" si="30"/>
        <v>0</v>
      </c>
      <c r="P315" t="str">
        <f t="shared" si="31"/>
        <v>"11ea-aaef";"Harvey";"0"</v>
      </c>
      <c r="U315" t="str">
        <f t="shared" si="32"/>
        <v>11ea-aaef</v>
      </c>
      <c r="V315" t="str">
        <f t="shared" si="33"/>
        <v>Harvey</v>
      </c>
      <c r="W315">
        <f t="shared" si="34"/>
        <v>0</v>
      </c>
    </row>
    <row r="316" spans="1:23" x14ac:dyDescent="0.2">
      <c r="A316" s="6" t="s">
        <v>37</v>
      </c>
      <c r="B316" s="6">
        <v>1962</v>
      </c>
      <c r="C316" s="6"/>
      <c r="D316" s="6" t="s">
        <v>70</v>
      </c>
      <c r="E316" s="6" t="s">
        <v>3</v>
      </c>
      <c r="F316" s="6">
        <v>0</v>
      </c>
      <c r="G316" s="6"/>
      <c r="H316" s="6">
        <v>0</v>
      </c>
      <c r="I316" s="6"/>
      <c r="J316" s="6"/>
      <c r="K316" s="6"/>
      <c r="L316" s="6" t="str">
        <f t="shared" si="28"/>
        <v>11ea-aaef</v>
      </c>
      <c r="M316" s="6" t="str">
        <f t="shared" si="29"/>
        <v>Hatari! (Wayne, Martinelli)</v>
      </c>
      <c r="N316" s="9">
        <f t="shared" si="30"/>
        <v>0</v>
      </c>
      <c r="P316" t="str">
        <f t="shared" si="31"/>
        <v>"11ea-aaef";"Hatari!";"0"</v>
      </c>
      <c r="U316" t="str">
        <f t="shared" si="32"/>
        <v>11ea-aaef</v>
      </c>
      <c r="V316" t="str">
        <f t="shared" si="33"/>
        <v>Hatari!</v>
      </c>
      <c r="W316">
        <f t="shared" si="34"/>
        <v>0</v>
      </c>
    </row>
    <row r="317" spans="1:23" x14ac:dyDescent="0.2">
      <c r="A317" s="6" t="s">
        <v>38</v>
      </c>
      <c r="B317" s="6">
        <v>1990</v>
      </c>
      <c r="C317" s="6"/>
      <c r="D317" s="6" t="s">
        <v>70</v>
      </c>
      <c r="E317" s="6" t="s">
        <v>2</v>
      </c>
      <c r="F317" s="6">
        <v>1</v>
      </c>
      <c r="G317" s="6">
        <v>2</v>
      </c>
      <c r="H317" s="6">
        <v>2</v>
      </c>
      <c r="I317" s="6"/>
      <c r="J317" s="6"/>
      <c r="K317" s="6"/>
      <c r="L317" s="6" t="str">
        <f t="shared" si="28"/>
        <v>11ea-aaef</v>
      </c>
      <c r="M317" s="6" t="str">
        <f t="shared" si="29"/>
        <v>Home alone (Culkin, Pesci)</v>
      </c>
      <c r="N317" s="9">
        <f t="shared" si="30"/>
        <v>2</v>
      </c>
      <c r="P317" t="str">
        <f t="shared" si="31"/>
        <v>"11ea-aaef";"Home alone";"2"</v>
      </c>
      <c r="U317" t="str">
        <f t="shared" si="32"/>
        <v>11ea-aaef</v>
      </c>
      <c r="V317" t="str">
        <f t="shared" si="33"/>
        <v>Home alone</v>
      </c>
      <c r="W317">
        <f t="shared" si="34"/>
        <v>1</v>
      </c>
    </row>
    <row r="318" spans="1:23" x14ac:dyDescent="0.2">
      <c r="A318" s="6" t="s">
        <v>39</v>
      </c>
      <c r="B318" s="6">
        <v>2004</v>
      </c>
      <c r="C318" s="6"/>
      <c r="D318" s="6" t="s">
        <v>70</v>
      </c>
      <c r="E318" s="6" t="s">
        <v>2</v>
      </c>
      <c r="F318" s="6">
        <v>1</v>
      </c>
      <c r="G318" s="6">
        <v>5</v>
      </c>
      <c r="H318" s="6">
        <v>5</v>
      </c>
      <c r="I318" s="6"/>
      <c r="J318" s="6"/>
      <c r="K318" s="6"/>
      <c r="L318" s="6" t="str">
        <f t="shared" si="28"/>
        <v>11ea-aaef</v>
      </c>
      <c r="M318" s="6" t="str">
        <f t="shared" si="29"/>
        <v>I, Robot (Smith, Moynahan)</v>
      </c>
      <c r="N318" s="9">
        <f t="shared" si="30"/>
        <v>5</v>
      </c>
      <c r="P318" t="str">
        <f t="shared" si="31"/>
        <v>"11ea-aaef";"I, Robot";"5"</v>
      </c>
      <c r="U318" t="str">
        <f t="shared" si="32"/>
        <v>11ea-aaef</v>
      </c>
      <c r="V318" t="str">
        <f t="shared" si="33"/>
        <v>I, Robot</v>
      </c>
      <c r="W318">
        <f t="shared" si="34"/>
        <v>1</v>
      </c>
    </row>
    <row r="319" spans="1:23" x14ac:dyDescent="0.2">
      <c r="A319" s="6" t="s">
        <v>40</v>
      </c>
      <c r="B319" s="6">
        <v>1967</v>
      </c>
      <c r="C319" s="6"/>
      <c r="D319" s="6" t="s">
        <v>70</v>
      </c>
      <c r="E319" s="6" t="s">
        <v>3</v>
      </c>
      <c r="F319" s="6">
        <v>0</v>
      </c>
      <c r="G319" s="6"/>
      <c r="H319" s="6">
        <v>0</v>
      </c>
      <c r="I319" s="6"/>
      <c r="J319" s="6"/>
      <c r="K319" s="6"/>
      <c r="L319" s="6" t="str">
        <f t="shared" si="28"/>
        <v>11ea-aaef</v>
      </c>
      <c r="M319" s="6" t="str">
        <f t="shared" si="29"/>
        <v>In The Heat Of The Night (Poitier, Steiger)</v>
      </c>
      <c r="N319" s="9">
        <f t="shared" si="30"/>
        <v>0</v>
      </c>
      <c r="P319" t="str">
        <f t="shared" si="31"/>
        <v>"11ea-aaef";"In The Heat Of The Night";"0"</v>
      </c>
      <c r="U319" t="str">
        <f t="shared" si="32"/>
        <v>11ea-aaef</v>
      </c>
      <c r="V319" t="str">
        <f t="shared" si="33"/>
        <v>In The Heat Of The Night</v>
      </c>
      <c r="W319">
        <f t="shared" si="34"/>
        <v>0</v>
      </c>
    </row>
    <row r="320" spans="1:23" x14ac:dyDescent="0.2">
      <c r="A320" s="6" t="s">
        <v>41</v>
      </c>
      <c r="B320" s="6">
        <v>2014</v>
      </c>
      <c r="C320" s="6"/>
      <c r="D320" s="6" t="s">
        <v>70</v>
      </c>
      <c r="E320" s="6" t="s">
        <v>3</v>
      </c>
      <c r="F320" s="6">
        <v>0</v>
      </c>
      <c r="G320" s="6"/>
      <c r="H320" s="6">
        <v>0</v>
      </c>
      <c r="I320" s="6"/>
      <c r="J320" s="6"/>
      <c r="K320" s="6"/>
      <c r="L320" s="6" t="str">
        <f t="shared" si="28"/>
        <v>11ea-aaef</v>
      </c>
      <c r="M320" s="6" t="str">
        <f t="shared" si="29"/>
        <v>Jack Ryan: Shadow Recruite (Pine, Costner)</v>
      </c>
      <c r="N320" s="9">
        <f t="shared" si="30"/>
        <v>0</v>
      </c>
      <c r="P320" t="str">
        <f t="shared" si="31"/>
        <v>"11ea-aaef";"Jack Ryan: Shadow Recruite";"0"</v>
      </c>
      <c r="U320" t="str">
        <f t="shared" si="32"/>
        <v>11ea-aaef</v>
      </c>
      <c r="V320" t="str">
        <f t="shared" si="33"/>
        <v>Jack Ryan: Shadow Recruite</v>
      </c>
      <c r="W320">
        <f t="shared" si="34"/>
        <v>0</v>
      </c>
    </row>
    <row r="321" spans="1:23" x14ac:dyDescent="0.2">
      <c r="A321" s="6" t="s">
        <v>42</v>
      </c>
      <c r="B321" s="6">
        <v>1995</v>
      </c>
      <c r="C321" s="6"/>
      <c r="D321" s="6" t="s">
        <v>70</v>
      </c>
      <c r="E321" s="6" t="s">
        <v>3</v>
      </c>
      <c r="F321" s="6">
        <v>0</v>
      </c>
      <c r="G321" s="6"/>
      <c r="H321" s="6">
        <v>0</v>
      </c>
      <c r="I321" s="6"/>
      <c r="J321" s="6"/>
      <c r="K321" s="6"/>
      <c r="L321" s="6" t="str">
        <f t="shared" si="28"/>
        <v>11ea-aaef</v>
      </c>
      <c r="M321" s="6" t="str">
        <f t="shared" si="29"/>
        <v>Jumanji (Williams, Dunst)</v>
      </c>
      <c r="N321" s="9">
        <f t="shared" si="30"/>
        <v>0</v>
      </c>
      <c r="P321" t="str">
        <f t="shared" si="31"/>
        <v>"11ea-aaef";"Jumanji";"0"</v>
      </c>
      <c r="U321" t="str">
        <f t="shared" si="32"/>
        <v>11ea-aaef</v>
      </c>
      <c r="V321" t="str">
        <f t="shared" si="33"/>
        <v>Jumanji</v>
      </c>
      <c r="W321">
        <f t="shared" si="34"/>
        <v>0</v>
      </c>
    </row>
    <row r="322" spans="1:23" x14ac:dyDescent="0.2">
      <c r="A322" s="6" t="s">
        <v>43</v>
      </c>
      <c r="B322" s="6">
        <v>2005</v>
      </c>
      <c r="C322" s="6"/>
      <c r="D322" s="6" t="s">
        <v>70</v>
      </c>
      <c r="E322" s="6" t="s">
        <v>3</v>
      </c>
      <c r="F322" s="6">
        <v>0</v>
      </c>
      <c r="G322" s="6"/>
      <c r="H322" s="6">
        <v>0</v>
      </c>
      <c r="I322" s="6"/>
      <c r="J322" s="6"/>
      <c r="K322" s="6"/>
      <c r="L322" s="6" t="str">
        <f t="shared" si="28"/>
        <v>11ea-aaef</v>
      </c>
      <c r="M322" s="6" t="str">
        <f t="shared" si="29"/>
        <v>King Kong (Watts, Black)</v>
      </c>
      <c r="N322" s="9">
        <f t="shared" si="30"/>
        <v>0</v>
      </c>
      <c r="P322" t="str">
        <f t="shared" si="31"/>
        <v>"11ea-aaef";"King Kong";"0"</v>
      </c>
      <c r="U322" t="str">
        <f t="shared" si="32"/>
        <v>11ea-aaef</v>
      </c>
      <c r="V322" t="str">
        <f t="shared" si="33"/>
        <v>King Kong</v>
      </c>
      <c r="W322">
        <f t="shared" si="34"/>
        <v>0</v>
      </c>
    </row>
    <row r="323" spans="1:23" x14ac:dyDescent="0.2">
      <c r="A323" s="6" t="s">
        <v>44</v>
      </c>
      <c r="B323" s="6">
        <v>2016</v>
      </c>
      <c r="C323" s="6"/>
      <c r="D323" s="6" t="s">
        <v>70</v>
      </c>
      <c r="E323" s="6" t="s">
        <v>3</v>
      </c>
      <c r="F323" s="6">
        <v>0</v>
      </c>
      <c r="G323" s="6"/>
      <c r="H323" s="6">
        <v>0</v>
      </c>
      <c r="I323" s="6"/>
      <c r="J323" s="6"/>
      <c r="K323" s="6"/>
      <c r="L323" s="6" t="str">
        <f t="shared" ref="L323:L386" si="35">D323</f>
        <v>11ea-aaef</v>
      </c>
      <c r="M323" s="6" t="str">
        <f t="shared" ref="M323:M386" si="36">A323</f>
        <v>La La Land (Gosling, Stone)</v>
      </c>
      <c r="N323" s="9">
        <f t="shared" ref="N323:N386" si="37">H323</f>
        <v>0</v>
      </c>
      <c r="P323" t="str">
        <f t="shared" ref="P323:P386" si="38">""""&amp;L323&amp;""";"""&amp;LEFT(M323,FIND("(",M323)-2)&amp;""";"""&amp;SUBSTITUTE(N323,",",".")&amp;""""</f>
        <v>"11ea-aaef";"La La Land";"0"</v>
      </c>
      <c r="U323" t="str">
        <f t="shared" ref="U323:U386" si="39">D323</f>
        <v>11ea-aaef</v>
      </c>
      <c r="V323" t="str">
        <f t="shared" ref="V323:V386" si="40">LEFT(A323,FIND("(",A323)-2)</f>
        <v>La La Land</v>
      </c>
      <c r="W323">
        <f t="shared" ref="W323:W386" si="41">F323</f>
        <v>0</v>
      </c>
    </row>
    <row r="324" spans="1:23" x14ac:dyDescent="0.2">
      <c r="A324" s="6" t="s">
        <v>45</v>
      </c>
      <c r="B324" s="6">
        <v>2001</v>
      </c>
      <c r="C324" s="6"/>
      <c r="D324" s="6" t="s">
        <v>70</v>
      </c>
      <c r="E324" s="6" t="s">
        <v>2</v>
      </c>
      <c r="F324" s="6">
        <v>1</v>
      </c>
      <c r="G324" s="6">
        <v>4</v>
      </c>
      <c r="H324" s="6">
        <v>4</v>
      </c>
      <c r="I324" s="6"/>
      <c r="J324" s="6"/>
      <c r="K324" s="6"/>
      <c r="L324" s="6" t="str">
        <f t="shared" si="35"/>
        <v>11ea-aaef</v>
      </c>
      <c r="M324" s="6" t="str">
        <f t="shared" si="36"/>
        <v>Lord of the Rings (Woods, McKellen)</v>
      </c>
      <c r="N324" s="9">
        <f t="shared" si="37"/>
        <v>4</v>
      </c>
      <c r="P324" t="str">
        <f t="shared" si="38"/>
        <v>"11ea-aaef";"Lord of the Rings";"4"</v>
      </c>
      <c r="U324" t="str">
        <f t="shared" si="39"/>
        <v>11ea-aaef</v>
      </c>
      <c r="V324" t="str">
        <f t="shared" si="40"/>
        <v>Lord of the Rings</v>
      </c>
      <c r="W324">
        <f t="shared" si="41"/>
        <v>1</v>
      </c>
    </row>
    <row r="325" spans="1:23" x14ac:dyDescent="0.2">
      <c r="A325" s="6" t="s">
        <v>46</v>
      </c>
      <c r="B325" s="6">
        <v>1964</v>
      </c>
      <c r="C325" s="6"/>
      <c r="D325" s="6" t="s">
        <v>70</v>
      </c>
      <c r="E325" s="6" t="s">
        <v>3</v>
      </c>
      <c r="F325" s="6">
        <v>0</v>
      </c>
      <c r="G325" s="6"/>
      <c r="H325" s="6">
        <v>0</v>
      </c>
      <c r="I325" s="6"/>
      <c r="J325" s="6"/>
      <c r="K325" s="6"/>
      <c r="L325" s="6" t="str">
        <f t="shared" si="35"/>
        <v>11ea-aaef</v>
      </c>
      <c r="M325" s="6" t="str">
        <f t="shared" si="36"/>
        <v>Per Un Pugno Di Dollari (Eastwood, Koch)</v>
      </c>
      <c r="N325" s="9">
        <f t="shared" si="37"/>
        <v>0</v>
      </c>
      <c r="P325" t="str">
        <f t="shared" si="38"/>
        <v>"11ea-aaef";"Per Un Pugno Di Dollari";"0"</v>
      </c>
      <c r="U325" t="str">
        <f t="shared" si="39"/>
        <v>11ea-aaef</v>
      </c>
      <c r="V325" t="str">
        <f t="shared" si="40"/>
        <v>Per Un Pugno Di Dollari</v>
      </c>
      <c r="W325">
        <f t="shared" si="41"/>
        <v>0</v>
      </c>
    </row>
    <row r="326" spans="1:23" x14ac:dyDescent="0.2">
      <c r="A326" s="6" t="s">
        <v>47</v>
      </c>
      <c r="B326" s="6">
        <v>1954</v>
      </c>
      <c r="C326" s="6"/>
      <c r="D326" s="6" t="s">
        <v>70</v>
      </c>
      <c r="E326" s="6" t="s">
        <v>3</v>
      </c>
      <c r="F326" s="6">
        <v>0</v>
      </c>
      <c r="G326" s="6"/>
      <c r="H326" s="6">
        <v>0</v>
      </c>
      <c r="I326" s="6"/>
      <c r="J326" s="6"/>
      <c r="K326" s="6"/>
      <c r="L326" s="6" t="str">
        <f t="shared" si="35"/>
        <v>11ea-aaef</v>
      </c>
      <c r="M326" s="6" t="str">
        <f t="shared" si="36"/>
        <v>Rear Window (Stewart, Kelly)</v>
      </c>
      <c r="N326" s="9">
        <f t="shared" si="37"/>
        <v>0</v>
      </c>
      <c r="P326" t="str">
        <f t="shared" si="38"/>
        <v>"11ea-aaef";"Rear Window";"0"</v>
      </c>
      <c r="U326" t="str">
        <f t="shared" si="39"/>
        <v>11ea-aaef</v>
      </c>
      <c r="V326" t="str">
        <f t="shared" si="40"/>
        <v>Rear Window</v>
      </c>
      <c r="W326">
        <f t="shared" si="41"/>
        <v>0</v>
      </c>
    </row>
    <row r="327" spans="1:23" x14ac:dyDescent="0.2">
      <c r="A327" s="6" t="s">
        <v>48</v>
      </c>
      <c r="B327" s="6">
        <v>1955</v>
      </c>
      <c r="C327" s="6"/>
      <c r="D327" s="6" t="s">
        <v>70</v>
      </c>
      <c r="E327" s="6" t="s">
        <v>3</v>
      </c>
      <c r="F327" s="6">
        <v>0</v>
      </c>
      <c r="G327" s="6"/>
      <c r="H327" s="6">
        <v>0</v>
      </c>
      <c r="I327" s="6"/>
      <c r="J327" s="6"/>
      <c r="K327" s="6"/>
      <c r="L327" s="6" t="str">
        <f t="shared" si="35"/>
        <v>11ea-aaef</v>
      </c>
      <c r="M327" s="6" t="str">
        <f t="shared" si="36"/>
        <v>Rebel Without A Cause (Dean, Wood)</v>
      </c>
      <c r="N327" s="9">
        <f t="shared" si="37"/>
        <v>0</v>
      </c>
      <c r="P327" t="str">
        <f t="shared" si="38"/>
        <v>"11ea-aaef";"Rebel Without A Cause";"0"</v>
      </c>
      <c r="U327" t="str">
        <f t="shared" si="39"/>
        <v>11ea-aaef</v>
      </c>
      <c r="V327" t="str">
        <f t="shared" si="40"/>
        <v>Rebel Without A Cause</v>
      </c>
      <c r="W327">
        <f t="shared" si="41"/>
        <v>0</v>
      </c>
    </row>
    <row r="328" spans="1:23" x14ac:dyDescent="0.2">
      <c r="A328" s="6" t="s">
        <v>66</v>
      </c>
      <c r="B328" s="6">
        <v>2005</v>
      </c>
      <c r="C328" s="6"/>
      <c r="D328" s="6" t="s">
        <v>70</v>
      </c>
      <c r="E328" s="6" t="s">
        <v>3</v>
      </c>
      <c r="F328" s="6">
        <v>0</v>
      </c>
      <c r="G328" s="6"/>
      <c r="H328" s="6">
        <v>0</v>
      </c>
      <c r="I328" s="6"/>
      <c r="J328" s="6"/>
      <c r="K328" s="6"/>
      <c r="L328" s="6" t="str">
        <f t="shared" si="35"/>
        <v>11ea-aaef</v>
      </c>
      <c r="M328" s="6" t="str">
        <f t="shared" si="36"/>
        <v>Rumor has it (Aniston, Costner)</v>
      </c>
      <c r="N328" s="9">
        <f t="shared" si="37"/>
        <v>0</v>
      </c>
      <c r="P328" t="str">
        <f t="shared" si="38"/>
        <v>"11ea-aaef";"Rumor has it";"0"</v>
      </c>
      <c r="U328" t="str">
        <f t="shared" si="39"/>
        <v>11ea-aaef</v>
      </c>
      <c r="V328" t="str">
        <f t="shared" si="40"/>
        <v>Rumor has it</v>
      </c>
      <c r="W328">
        <f t="shared" si="41"/>
        <v>0</v>
      </c>
    </row>
    <row r="329" spans="1:23" x14ac:dyDescent="0.2">
      <c r="A329" s="6" t="s">
        <v>49</v>
      </c>
      <c r="B329" s="6">
        <v>1998</v>
      </c>
      <c r="C329" s="6"/>
      <c r="D329" s="6" t="s">
        <v>70</v>
      </c>
      <c r="E329" s="6" t="s">
        <v>3</v>
      </c>
      <c r="F329" s="6">
        <v>0</v>
      </c>
      <c r="G329" s="6"/>
      <c r="H329" s="6">
        <v>0</v>
      </c>
      <c r="I329" s="6"/>
      <c r="J329" s="6"/>
      <c r="K329" s="6"/>
      <c r="L329" s="6" t="str">
        <f t="shared" si="35"/>
        <v>11ea-aaef</v>
      </c>
      <c r="M329" s="6" t="str">
        <f t="shared" si="36"/>
        <v>Saving private Ryan (Hanks, Damon)</v>
      </c>
      <c r="N329" s="9">
        <f t="shared" si="37"/>
        <v>0</v>
      </c>
      <c r="P329" t="str">
        <f t="shared" si="38"/>
        <v>"11ea-aaef";"Saving private Ryan";"0"</v>
      </c>
      <c r="U329" t="str">
        <f t="shared" si="39"/>
        <v>11ea-aaef</v>
      </c>
      <c r="V329" t="str">
        <f t="shared" si="40"/>
        <v>Saving private Ryan</v>
      </c>
      <c r="W329">
        <f t="shared" si="41"/>
        <v>0</v>
      </c>
    </row>
    <row r="330" spans="1:23" x14ac:dyDescent="0.2">
      <c r="A330" s="6" t="s">
        <v>50</v>
      </c>
      <c r="B330" s="6">
        <v>1993</v>
      </c>
      <c r="C330" s="6"/>
      <c r="D330" s="6" t="s">
        <v>70</v>
      </c>
      <c r="E330" s="6" t="s">
        <v>3</v>
      </c>
      <c r="F330" s="6">
        <v>0</v>
      </c>
      <c r="G330" s="6"/>
      <c r="H330" s="6">
        <v>0</v>
      </c>
      <c r="I330" s="6"/>
      <c r="J330" s="6"/>
      <c r="K330" s="6"/>
      <c r="L330" s="6" t="str">
        <f t="shared" si="35"/>
        <v>11ea-aaef</v>
      </c>
      <c r="M330" s="6" t="str">
        <f t="shared" si="36"/>
        <v>Schindlers List (Neeson, Fiennes)</v>
      </c>
      <c r="N330" s="9">
        <f t="shared" si="37"/>
        <v>0</v>
      </c>
      <c r="P330" t="str">
        <f t="shared" si="38"/>
        <v>"11ea-aaef";"Schindlers List";"0"</v>
      </c>
      <c r="U330" t="str">
        <f t="shared" si="39"/>
        <v>11ea-aaef</v>
      </c>
      <c r="V330" t="str">
        <f t="shared" si="40"/>
        <v>Schindlers List</v>
      </c>
      <c r="W330">
        <f t="shared" si="41"/>
        <v>0</v>
      </c>
    </row>
    <row r="331" spans="1:23" x14ac:dyDescent="0.2">
      <c r="A331" s="6" t="s">
        <v>51</v>
      </c>
      <c r="B331" s="6">
        <v>1996</v>
      </c>
      <c r="C331" s="6"/>
      <c r="D331" s="6" t="s">
        <v>70</v>
      </c>
      <c r="E331" s="6" t="s">
        <v>3</v>
      </c>
      <c r="F331" s="6">
        <v>0</v>
      </c>
      <c r="G331" s="6"/>
      <c r="H331" s="6">
        <v>0</v>
      </c>
      <c r="I331" s="6"/>
      <c r="J331" s="6"/>
      <c r="K331" s="6"/>
      <c r="L331" s="6" t="str">
        <f t="shared" si="35"/>
        <v>11ea-aaef</v>
      </c>
      <c r="M331" s="6" t="str">
        <f t="shared" si="36"/>
        <v>Scream (Arquette, Campell)</v>
      </c>
      <c r="N331" s="9">
        <f t="shared" si="37"/>
        <v>0</v>
      </c>
      <c r="P331" t="str">
        <f t="shared" si="38"/>
        <v>"11ea-aaef";"Scream";"0"</v>
      </c>
      <c r="U331" t="str">
        <f t="shared" si="39"/>
        <v>11ea-aaef</v>
      </c>
      <c r="V331" t="str">
        <f t="shared" si="40"/>
        <v>Scream</v>
      </c>
      <c r="W331">
        <f t="shared" si="41"/>
        <v>0</v>
      </c>
    </row>
    <row r="332" spans="1:23" x14ac:dyDescent="0.2">
      <c r="A332" s="6" t="s">
        <v>52</v>
      </c>
      <c r="B332" s="6">
        <v>1977</v>
      </c>
      <c r="C332" s="6"/>
      <c r="D332" s="6" t="s">
        <v>70</v>
      </c>
      <c r="E332" s="6" t="s">
        <v>3</v>
      </c>
      <c r="F332" s="6">
        <v>0</v>
      </c>
      <c r="G332" s="6"/>
      <c r="H332" s="6">
        <v>0</v>
      </c>
      <c r="I332" s="6"/>
      <c r="J332" s="6"/>
      <c r="K332" s="6"/>
      <c r="L332" s="6" t="str">
        <f t="shared" si="35"/>
        <v>11ea-aaef</v>
      </c>
      <c r="M332" s="6" t="str">
        <f t="shared" si="36"/>
        <v>Star Wars IV: A new hope (Hamill, Ford)</v>
      </c>
      <c r="N332" s="9">
        <f t="shared" si="37"/>
        <v>0</v>
      </c>
      <c r="P332" t="str">
        <f t="shared" si="38"/>
        <v>"11ea-aaef";"Star Wars IV: A new hope";"0"</v>
      </c>
      <c r="U332" t="str">
        <f t="shared" si="39"/>
        <v>11ea-aaef</v>
      </c>
      <c r="V332" t="str">
        <f t="shared" si="40"/>
        <v>Star Wars IV: A new hope</v>
      </c>
      <c r="W332">
        <f t="shared" si="41"/>
        <v>0</v>
      </c>
    </row>
    <row r="333" spans="1:23" x14ac:dyDescent="0.2">
      <c r="A333" s="6" t="s">
        <v>53</v>
      </c>
      <c r="B333" s="6">
        <v>2016</v>
      </c>
      <c r="C333" s="6"/>
      <c r="D333" s="6" t="s">
        <v>70</v>
      </c>
      <c r="E333" s="6" t="s">
        <v>3</v>
      </c>
      <c r="F333" s="6">
        <v>0</v>
      </c>
      <c r="G333" s="6"/>
      <c r="H333" s="6">
        <v>0</v>
      </c>
      <c r="I333" s="6"/>
      <c r="J333" s="6"/>
      <c r="K333" s="6"/>
      <c r="L333" s="6" t="str">
        <f t="shared" si="35"/>
        <v>11ea-aaef</v>
      </c>
      <c r="M333" s="6" t="str">
        <f t="shared" si="36"/>
        <v>Suicide Squad (Smith, Robbie)</v>
      </c>
      <c r="N333" s="9">
        <f t="shared" si="37"/>
        <v>0</v>
      </c>
      <c r="P333" t="str">
        <f t="shared" si="38"/>
        <v>"11ea-aaef";"Suicide Squad";"0"</v>
      </c>
      <c r="U333" t="str">
        <f t="shared" si="39"/>
        <v>11ea-aaef</v>
      </c>
      <c r="V333" t="str">
        <f t="shared" si="40"/>
        <v>Suicide Squad</v>
      </c>
      <c r="W333">
        <f t="shared" si="41"/>
        <v>0</v>
      </c>
    </row>
    <row r="334" spans="1:23" x14ac:dyDescent="0.2">
      <c r="A334" s="6" t="s">
        <v>54</v>
      </c>
      <c r="B334" s="6">
        <v>2010</v>
      </c>
      <c r="C334" s="6"/>
      <c r="D334" s="6" t="s">
        <v>70</v>
      </c>
      <c r="E334" s="6" t="s">
        <v>2</v>
      </c>
      <c r="F334" s="6">
        <v>1</v>
      </c>
      <c r="G334" s="6">
        <v>2</v>
      </c>
      <c r="H334" s="6">
        <v>2</v>
      </c>
      <c r="I334" s="6"/>
      <c r="J334" s="6"/>
      <c r="K334" s="6"/>
      <c r="L334" s="6" t="str">
        <f t="shared" si="35"/>
        <v>11ea-aaef</v>
      </c>
      <c r="M334" s="6" t="str">
        <f t="shared" si="36"/>
        <v>Tangled (Disney)</v>
      </c>
      <c r="N334" s="9">
        <f t="shared" si="37"/>
        <v>2</v>
      </c>
      <c r="P334" t="str">
        <f t="shared" si="38"/>
        <v>"11ea-aaef";"Tangled";"2"</v>
      </c>
      <c r="U334" t="str">
        <f t="shared" si="39"/>
        <v>11ea-aaef</v>
      </c>
      <c r="V334" t="str">
        <f t="shared" si="40"/>
        <v>Tangled</v>
      </c>
      <c r="W334">
        <f t="shared" si="41"/>
        <v>1</v>
      </c>
    </row>
    <row r="335" spans="1:23" x14ac:dyDescent="0.2">
      <c r="A335" s="6" t="s">
        <v>55</v>
      </c>
      <c r="B335" s="6">
        <v>2012</v>
      </c>
      <c r="C335" s="6"/>
      <c r="D335" s="6" t="s">
        <v>70</v>
      </c>
      <c r="E335" s="6" t="s">
        <v>3</v>
      </c>
      <c r="F335" s="6">
        <v>0</v>
      </c>
      <c r="G335" s="6"/>
      <c r="H335" s="6">
        <v>0</v>
      </c>
      <c r="I335" s="6"/>
      <c r="J335" s="6"/>
      <c r="K335" s="6"/>
      <c r="L335" s="6" t="str">
        <f t="shared" si="35"/>
        <v>11ea-aaef</v>
      </c>
      <c r="M335" s="6" t="str">
        <f t="shared" si="36"/>
        <v>The Avengers (Downey Jr. Evans)</v>
      </c>
      <c r="N335" s="9">
        <f t="shared" si="37"/>
        <v>0</v>
      </c>
      <c r="P335" t="str">
        <f t="shared" si="38"/>
        <v>"11ea-aaef";"The Avengers";"0"</v>
      </c>
      <c r="U335" t="str">
        <f t="shared" si="39"/>
        <v>11ea-aaef</v>
      </c>
      <c r="V335" t="str">
        <f t="shared" si="40"/>
        <v>The Avengers</v>
      </c>
      <c r="W335">
        <f t="shared" si="41"/>
        <v>0</v>
      </c>
    </row>
    <row r="336" spans="1:23" x14ac:dyDescent="0.2">
      <c r="A336" s="6" t="s">
        <v>56</v>
      </c>
      <c r="B336" s="6">
        <v>1973</v>
      </c>
      <c r="C336" s="6"/>
      <c r="D336" s="6" t="s">
        <v>70</v>
      </c>
      <c r="E336" s="6" t="s">
        <v>3</v>
      </c>
      <c r="F336" s="6">
        <v>0</v>
      </c>
      <c r="G336" s="6"/>
      <c r="H336" s="6">
        <v>0</v>
      </c>
      <c r="I336" s="6"/>
      <c r="J336" s="6"/>
      <c r="K336" s="6"/>
      <c r="L336" s="6" t="str">
        <f t="shared" si="35"/>
        <v>11ea-aaef</v>
      </c>
      <c r="M336" s="6" t="str">
        <f t="shared" si="36"/>
        <v>The Exorcist (von Sydow, Blair)</v>
      </c>
      <c r="N336" s="9">
        <f t="shared" si="37"/>
        <v>0</v>
      </c>
      <c r="P336" t="str">
        <f t="shared" si="38"/>
        <v>"11ea-aaef";"The Exorcist";"0"</v>
      </c>
      <c r="U336" t="str">
        <f t="shared" si="39"/>
        <v>11ea-aaef</v>
      </c>
      <c r="V336" t="str">
        <f t="shared" si="40"/>
        <v>The Exorcist</v>
      </c>
      <c r="W336">
        <f t="shared" si="41"/>
        <v>0</v>
      </c>
    </row>
    <row r="337" spans="1:23" x14ac:dyDescent="0.2">
      <c r="A337" s="6" t="s">
        <v>57</v>
      </c>
      <c r="B337" s="6">
        <v>1972</v>
      </c>
      <c r="C337" s="6"/>
      <c r="D337" s="6" t="s">
        <v>70</v>
      </c>
      <c r="E337" s="6" t="s">
        <v>3</v>
      </c>
      <c r="F337" s="6">
        <v>0</v>
      </c>
      <c r="G337" s="6"/>
      <c r="H337" s="6">
        <v>0</v>
      </c>
      <c r="I337" s="6"/>
      <c r="J337" s="6"/>
      <c r="K337" s="6"/>
      <c r="L337" s="6" t="str">
        <f t="shared" si="35"/>
        <v>11ea-aaef</v>
      </c>
      <c r="M337" s="6" t="str">
        <f t="shared" si="36"/>
        <v>The Godfather (Brando, Pacino)</v>
      </c>
      <c r="N337" s="9">
        <f t="shared" si="37"/>
        <v>0</v>
      </c>
      <c r="P337" t="str">
        <f t="shared" si="38"/>
        <v>"11ea-aaef";"The Godfather";"0"</v>
      </c>
      <c r="U337" t="str">
        <f t="shared" si="39"/>
        <v>11ea-aaef</v>
      </c>
      <c r="V337" t="str">
        <f t="shared" si="40"/>
        <v>The Godfather</v>
      </c>
      <c r="W337">
        <f t="shared" si="41"/>
        <v>0</v>
      </c>
    </row>
    <row r="338" spans="1:23" x14ac:dyDescent="0.2">
      <c r="A338" s="6" t="s">
        <v>58</v>
      </c>
      <c r="B338" s="6">
        <v>1994</v>
      </c>
      <c r="C338" s="6"/>
      <c r="D338" s="6" t="s">
        <v>70</v>
      </c>
      <c r="E338" s="6" t="s">
        <v>2</v>
      </c>
      <c r="F338" s="6">
        <v>1</v>
      </c>
      <c r="G338" s="6">
        <v>4</v>
      </c>
      <c r="H338" s="6">
        <v>4</v>
      </c>
      <c r="I338" s="6"/>
      <c r="J338" s="6"/>
      <c r="K338" s="6"/>
      <c r="L338" s="6" t="str">
        <f t="shared" si="35"/>
        <v>11ea-aaef</v>
      </c>
      <c r="M338" s="6" t="str">
        <f t="shared" si="36"/>
        <v>The Lion King (Disney)</v>
      </c>
      <c r="N338" s="9">
        <f t="shared" si="37"/>
        <v>4</v>
      </c>
      <c r="P338" t="str">
        <f t="shared" si="38"/>
        <v>"11ea-aaef";"The Lion King";"4"</v>
      </c>
      <c r="U338" t="str">
        <f t="shared" si="39"/>
        <v>11ea-aaef</v>
      </c>
      <c r="V338" t="str">
        <f t="shared" si="40"/>
        <v>The Lion King</v>
      </c>
      <c r="W338">
        <f t="shared" si="41"/>
        <v>1</v>
      </c>
    </row>
    <row r="339" spans="1:23" x14ac:dyDescent="0.2">
      <c r="A339" s="6" t="s">
        <v>59</v>
      </c>
      <c r="B339" s="6">
        <v>1999</v>
      </c>
      <c r="C339" s="6"/>
      <c r="D339" s="6" t="s">
        <v>70</v>
      </c>
      <c r="E339" s="6" t="s">
        <v>2</v>
      </c>
      <c r="F339" s="6">
        <v>1</v>
      </c>
      <c r="G339" s="6">
        <v>3</v>
      </c>
      <c r="H339" s="6">
        <v>3</v>
      </c>
      <c r="I339" s="6"/>
      <c r="J339" s="6"/>
      <c r="K339" s="6"/>
      <c r="L339" s="6" t="str">
        <f t="shared" si="35"/>
        <v>11ea-aaef</v>
      </c>
      <c r="M339" s="6" t="str">
        <f t="shared" si="36"/>
        <v>The Matrix (Reeves, Fishburn)</v>
      </c>
      <c r="N339" s="9">
        <f t="shared" si="37"/>
        <v>3</v>
      </c>
      <c r="P339" t="str">
        <f t="shared" si="38"/>
        <v>"11ea-aaef";"The Matrix";"3"</v>
      </c>
      <c r="U339" t="str">
        <f t="shared" si="39"/>
        <v>11ea-aaef</v>
      </c>
      <c r="V339" t="str">
        <f t="shared" si="40"/>
        <v>The Matrix</v>
      </c>
      <c r="W339">
        <f t="shared" si="41"/>
        <v>1</v>
      </c>
    </row>
    <row r="340" spans="1:23" x14ac:dyDescent="0.2">
      <c r="A340" s="6" t="s">
        <v>60</v>
      </c>
      <c r="B340" s="6">
        <v>1980</v>
      </c>
      <c r="C340" s="6"/>
      <c r="D340" s="6" t="s">
        <v>70</v>
      </c>
      <c r="E340" s="6" t="s">
        <v>3</v>
      </c>
      <c r="F340" s="6">
        <v>0</v>
      </c>
      <c r="G340" s="6"/>
      <c r="H340" s="6">
        <v>0</v>
      </c>
      <c r="I340" s="6"/>
      <c r="J340" s="6"/>
      <c r="K340" s="6"/>
      <c r="L340" s="6" t="str">
        <f t="shared" si="35"/>
        <v>11ea-aaef</v>
      </c>
      <c r="M340" s="6" t="str">
        <f t="shared" si="36"/>
        <v>The Shining (Nicholson, Duvall)</v>
      </c>
      <c r="N340" s="9">
        <f t="shared" si="37"/>
        <v>0</v>
      </c>
      <c r="P340" t="str">
        <f t="shared" si="38"/>
        <v>"11ea-aaef";"The Shining";"0"</v>
      </c>
      <c r="U340" t="str">
        <f t="shared" si="39"/>
        <v>11ea-aaef</v>
      </c>
      <c r="V340" t="str">
        <f t="shared" si="40"/>
        <v>The Shining</v>
      </c>
      <c r="W340">
        <f t="shared" si="41"/>
        <v>0</v>
      </c>
    </row>
    <row r="341" spans="1:23" x14ac:dyDescent="0.2">
      <c r="A341" s="6" t="s">
        <v>61</v>
      </c>
      <c r="B341" s="6">
        <v>1984</v>
      </c>
      <c r="C341" s="6"/>
      <c r="D341" s="6" t="s">
        <v>70</v>
      </c>
      <c r="E341" s="6" t="s">
        <v>2</v>
      </c>
      <c r="F341" s="6">
        <v>1</v>
      </c>
      <c r="G341" s="6">
        <v>3</v>
      </c>
      <c r="H341" s="6">
        <v>3</v>
      </c>
      <c r="I341" s="6"/>
      <c r="J341" s="6"/>
      <c r="K341" s="6"/>
      <c r="L341" s="6" t="str">
        <f t="shared" si="35"/>
        <v>11ea-aaef</v>
      </c>
      <c r="M341" s="6" t="str">
        <f t="shared" si="36"/>
        <v>The Terminator (Schwarzenegger, Hamilton)</v>
      </c>
      <c r="N341" s="9">
        <f t="shared" si="37"/>
        <v>3</v>
      </c>
      <c r="P341" t="str">
        <f t="shared" si="38"/>
        <v>"11ea-aaef";"The Terminator";"3"</v>
      </c>
      <c r="U341" t="str">
        <f t="shared" si="39"/>
        <v>11ea-aaef</v>
      </c>
      <c r="V341" t="str">
        <f t="shared" si="40"/>
        <v>The Terminator</v>
      </c>
      <c r="W341">
        <f t="shared" si="41"/>
        <v>1</v>
      </c>
    </row>
    <row r="342" spans="1:23" x14ac:dyDescent="0.2">
      <c r="A342" s="6" t="s">
        <v>62</v>
      </c>
      <c r="B342" s="6">
        <v>1986</v>
      </c>
      <c r="C342" s="6"/>
      <c r="D342" s="6" t="s">
        <v>70</v>
      </c>
      <c r="E342" s="6" t="s">
        <v>3</v>
      </c>
      <c r="F342" s="6">
        <v>0</v>
      </c>
      <c r="G342" s="6"/>
      <c r="H342" s="6">
        <v>0</v>
      </c>
      <c r="I342" s="6"/>
      <c r="J342" s="6"/>
      <c r="K342" s="6"/>
      <c r="L342" s="6" t="str">
        <f t="shared" si="35"/>
        <v>11ea-aaef</v>
      </c>
      <c r="M342" s="6" t="str">
        <f t="shared" si="36"/>
        <v>Top Gun (Cruise, McGillis)</v>
      </c>
      <c r="N342" s="9">
        <f t="shared" si="37"/>
        <v>0</v>
      </c>
      <c r="P342" t="str">
        <f t="shared" si="38"/>
        <v>"11ea-aaef";"Top Gun";"0"</v>
      </c>
      <c r="U342" t="str">
        <f t="shared" si="39"/>
        <v>11ea-aaef</v>
      </c>
      <c r="V342" t="str">
        <f t="shared" si="40"/>
        <v>Top Gun</v>
      </c>
      <c r="W342">
        <f t="shared" si="41"/>
        <v>0</v>
      </c>
    </row>
    <row r="343" spans="1:23" x14ac:dyDescent="0.2">
      <c r="A343" s="6" t="s">
        <v>63</v>
      </c>
      <c r="B343" s="6">
        <v>1995</v>
      </c>
      <c r="C343" s="6"/>
      <c r="D343" s="6" t="s">
        <v>70</v>
      </c>
      <c r="E343" s="6" t="s">
        <v>2</v>
      </c>
      <c r="F343" s="6">
        <v>1</v>
      </c>
      <c r="G343" s="6">
        <v>4</v>
      </c>
      <c r="H343" s="6">
        <v>4</v>
      </c>
      <c r="I343" s="6"/>
      <c r="J343" s="6"/>
      <c r="K343" s="6"/>
      <c r="L343" s="6" t="str">
        <f t="shared" si="35"/>
        <v>11ea-aaef</v>
      </c>
      <c r="M343" s="6" t="str">
        <f t="shared" si="36"/>
        <v>Toy Story (Pixar)</v>
      </c>
      <c r="N343" s="9">
        <f t="shared" si="37"/>
        <v>4</v>
      </c>
      <c r="P343" t="str">
        <f t="shared" si="38"/>
        <v>"11ea-aaef";"Toy Story";"4"</v>
      </c>
      <c r="U343" t="str">
        <f t="shared" si="39"/>
        <v>11ea-aaef</v>
      </c>
      <c r="V343" t="str">
        <f t="shared" si="40"/>
        <v>Toy Story</v>
      </c>
      <c r="W343">
        <f t="shared" si="41"/>
        <v>1</v>
      </c>
    </row>
    <row r="344" spans="1:23" x14ac:dyDescent="0.2">
      <c r="A344" s="6" t="s">
        <v>8</v>
      </c>
      <c r="B344" s="6">
        <v>1968</v>
      </c>
      <c r="C344" s="6"/>
      <c r="D344" s="6" t="s">
        <v>71</v>
      </c>
      <c r="E344" s="6" t="s">
        <v>2</v>
      </c>
      <c r="F344" s="6">
        <v>1</v>
      </c>
      <c r="G344" s="6">
        <v>2</v>
      </c>
      <c r="H344" s="6">
        <v>2</v>
      </c>
      <c r="I344" s="6"/>
      <c r="J344" s="6"/>
      <c r="K344" s="6"/>
      <c r="L344" s="6" t="str">
        <f t="shared" si="35"/>
        <v>Manuel</v>
      </c>
      <c r="M344" s="6" t="str">
        <f t="shared" si="36"/>
        <v>2001: A Space Odyssey (Duella, Lockwood)</v>
      </c>
      <c r="N344" s="9">
        <f t="shared" si="37"/>
        <v>2</v>
      </c>
      <c r="P344" t="str">
        <f t="shared" si="38"/>
        <v>"Manuel";"2001: A Space Odyssey";"2"</v>
      </c>
      <c r="U344" t="str">
        <f t="shared" si="39"/>
        <v>Manuel</v>
      </c>
      <c r="V344" t="str">
        <f t="shared" si="40"/>
        <v>2001: A Space Odyssey</v>
      </c>
      <c r="W344">
        <f t="shared" si="41"/>
        <v>1</v>
      </c>
    </row>
    <row r="345" spans="1:23" x14ac:dyDescent="0.2">
      <c r="A345" s="6" t="s">
        <v>9</v>
      </c>
      <c r="B345" s="6">
        <v>1971</v>
      </c>
      <c r="C345" s="6"/>
      <c r="D345" s="6" t="s">
        <v>71</v>
      </c>
      <c r="E345" s="6" t="s">
        <v>3</v>
      </c>
      <c r="F345" s="6">
        <v>0</v>
      </c>
      <c r="G345" s="6"/>
      <c r="H345" s="6">
        <v>0</v>
      </c>
      <c r="I345" s="6"/>
      <c r="J345" s="6"/>
      <c r="K345" s="6"/>
      <c r="L345" s="6" t="str">
        <f t="shared" si="35"/>
        <v>Manuel</v>
      </c>
      <c r="M345" s="6" t="str">
        <f t="shared" si="36"/>
        <v>A Clockwork Orange (McDowell, Magee)</v>
      </c>
      <c r="N345" s="9">
        <f t="shared" si="37"/>
        <v>0</v>
      </c>
      <c r="P345" t="str">
        <f t="shared" si="38"/>
        <v>"Manuel";"A Clockwork Orange";"0"</v>
      </c>
      <c r="U345" t="str">
        <f t="shared" si="39"/>
        <v>Manuel</v>
      </c>
      <c r="V345" t="str">
        <f t="shared" si="40"/>
        <v>A Clockwork Orange</v>
      </c>
      <c r="W345">
        <f t="shared" si="41"/>
        <v>0</v>
      </c>
    </row>
    <row r="346" spans="1:23" x14ac:dyDescent="0.2">
      <c r="A346" s="6" t="s">
        <v>10</v>
      </c>
      <c r="B346" s="6">
        <v>2018</v>
      </c>
      <c r="C346" s="6"/>
      <c r="D346" s="6" t="s">
        <v>71</v>
      </c>
      <c r="E346" s="6" t="s">
        <v>2</v>
      </c>
      <c r="F346" s="6">
        <v>1</v>
      </c>
      <c r="G346" s="6">
        <v>4</v>
      </c>
      <c r="H346" s="6">
        <v>4</v>
      </c>
      <c r="I346" s="6"/>
      <c r="J346" s="6"/>
      <c r="K346" s="6"/>
      <c r="L346" s="6" t="str">
        <f t="shared" si="35"/>
        <v>Manuel</v>
      </c>
      <c r="M346" s="6" t="str">
        <f t="shared" si="36"/>
        <v>A star is born (Gaga, Cooper)</v>
      </c>
      <c r="N346" s="9">
        <f t="shared" si="37"/>
        <v>4</v>
      </c>
      <c r="P346" t="str">
        <f t="shared" si="38"/>
        <v>"Manuel";"A star is born";"4"</v>
      </c>
      <c r="U346" t="str">
        <f t="shared" si="39"/>
        <v>Manuel</v>
      </c>
      <c r="V346" t="str">
        <f t="shared" si="40"/>
        <v>A star is born</v>
      </c>
      <c r="W346">
        <f t="shared" si="41"/>
        <v>1</v>
      </c>
    </row>
    <row r="347" spans="1:23" x14ac:dyDescent="0.2">
      <c r="A347" s="6" t="s">
        <v>11</v>
      </c>
      <c r="B347" s="6">
        <v>2005</v>
      </c>
      <c r="C347" s="6"/>
      <c r="D347" s="6" t="s">
        <v>71</v>
      </c>
      <c r="E347" s="6" t="s">
        <v>3</v>
      </c>
      <c r="F347" s="6">
        <v>0</v>
      </c>
      <c r="G347" s="6"/>
      <c r="H347" s="6">
        <v>0</v>
      </c>
      <c r="I347" s="6"/>
      <c r="J347" s="6"/>
      <c r="K347" s="6"/>
      <c r="L347" s="6" t="str">
        <f t="shared" si="35"/>
        <v>Manuel</v>
      </c>
      <c r="M347" s="6" t="str">
        <f t="shared" si="36"/>
        <v>Aeon Flux (Theron, Csokas)</v>
      </c>
      <c r="N347" s="9">
        <f t="shared" si="37"/>
        <v>0</v>
      </c>
      <c r="P347" t="str">
        <f t="shared" si="38"/>
        <v>"Manuel";"Aeon Flux";"0"</v>
      </c>
      <c r="U347" t="str">
        <f t="shared" si="39"/>
        <v>Manuel</v>
      </c>
      <c r="V347" t="str">
        <f t="shared" si="40"/>
        <v>Aeon Flux</v>
      </c>
      <c r="W347">
        <f t="shared" si="41"/>
        <v>0</v>
      </c>
    </row>
    <row r="348" spans="1:23" x14ac:dyDescent="0.2">
      <c r="A348" s="6" t="s">
        <v>12</v>
      </c>
      <c r="B348" s="6">
        <v>1951</v>
      </c>
      <c r="C348" s="6"/>
      <c r="D348" s="6" t="s">
        <v>71</v>
      </c>
      <c r="E348" s="6" t="s">
        <v>2</v>
      </c>
      <c r="F348" s="6">
        <v>1</v>
      </c>
      <c r="G348" s="6">
        <v>4</v>
      </c>
      <c r="H348" s="6">
        <v>4</v>
      </c>
      <c r="I348" s="6"/>
      <c r="J348" s="6"/>
      <c r="K348" s="6"/>
      <c r="L348" s="6" t="str">
        <f t="shared" si="35"/>
        <v>Manuel</v>
      </c>
      <c r="M348" s="6" t="str">
        <f t="shared" si="36"/>
        <v>African Queen (Bogart, Hepburn)</v>
      </c>
      <c r="N348" s="9">
        <f t="shared" si="37"/>
        <v>4</v>
      </c>
      <c r="P348" t="str">
        <f t="shared" si="38"/>
        <v>"Manuel";"African Queen";"4"</v>
      </c>
      <c r="U348" t="str">
        <f t="shared" si="39"/>
        <v>Manuel</v>
      </c>
      <c r="V348" t="str">
        <f t="shared" si="40"/>
        <v>African Queen</v>
      </c>
      <c r="W348">
        <f t="shared" si="41"/>
        <v>1</v>
      </c>
    </row>
    <row r="349" spans="1:23" x14ac:dyDescent="0.2">
      <c r="A349" s="6" t="s">
        <v>13</v>
      </c>
      <c r="B349" s="6">
        <v>1979</v>
      </c>
      <c r="C349" s="6"/>
      <c r="D349" s="6" t="s">
        <v>71</v>
      </c>
      <c r="E349" s="6" t="s">
        <v>3</v>
      </c>
      <c r="F349" s="6">
        <v>0</v>
      </c>
      <c r="G349" s="6"/>
      <c r="H349" s="6">
        <v>0</v>
      </c>
      <c r="I349" s="6"/>
      <c r="J349" s="6"/>
      <c r="K349" s="6"/>
      <c r="L349" s="6" t="str">
        <f t="shared" si="35"/>
        <v>Manuel</v>
      </c>
      <c r="M349" s="6" t="str">
        <f t="shared" si="36"/>
        <v>Alien (Weaver, Skerritt)</v>
      </c>
      <c r="N349" s="9">
        <f t="shared" si="37"/>
        <v>0</v>
      </c>
      <c r="P349" t="str">
        <f t="shared" si="38"/>
        <v>"Manuel";"Alien";"0"</v>
      </c>
      <c r="U349" t="str">
        <f t="shared" si="39"/>
        <v>Manuel</v>
      </c>
      <c r="V349" t="str">
        <f t="shared" si="40"/>
        <v>Alien</v>
      </c>
      <c r="W349">
        <f t="shared" si="41"/>
        <v>0</v>
      </c>
    </row>
    <row r="350" spans="1:23" x14ac:dyDescent="0.2">
      <c r="A350" s="6" t="s">
        <v>14</v>
      </c>
      <c r="B350" s="6">
        <v>1960</v>
      </c>
      <c r="C350" s="6"/>
      <c r="D350" s="6" t="s">
        <v>71</v>
      </c>
      <c r="E350" s="6" t="s">
        <v>3</v>
      </c>
      <c r="F350" s="6">
        <v>0</v>
      </c>
      <c r="G350" s="6"/>
      <c r="H350" s="6">
        <v>0</v>
      </c>
      <c r="I350" s="6"/>
      <c r="J350" s="6"/>
      <c r="K350" s="6"/>
      <c r="L350" s="6" t="str">
        <f t="shared" si="35"/>
        <v>Manuel</v>
      </c>
      <c r="M350" s="6" t="str">
        <f t="shared" si="36"/>
        <v>Apartment (Lemmon, MacLaine)</v>
      </c>
      <c r="N350" s="9">
        <f t="shared" si="37"/>
        <v>0</v>
      </c>
      <c r="P350" t="str">
        <f t="shared" si="38"/>
        <v>"Manuel";"Apartment";"0"</v>
      </c>
      <c r="U350" t="str">
        <f t="shared" si="39"/>
        <v>Manuel</v>
      </c>
      <c r="V350" t="str">
        <f t="shared" si="40"/>
        <v>Apartment</v>
      </c>
      <c r="W350">
        <f t="shared" si="41"/>
        <v>0</v>
      </c>
    </row>
    <row r="351" spans="1:23" x14ac:dyDescent="0.2">
      <c r="A351" s="6" t="s">
        <v>15</v>
      </c>
      <c r="B351" s="6">
        <v>1979</v>
      </c>
      <c r="C351" s="6"/>
      <c r="D351" s="6" t="s">
        <v>71</v>
      </c>
      <c r="E351" s="6" t="s">
        <v>2</v>
      </c>
      <c r="F351" s="6">
        <v>1</v>
      </c>
      <c r="G351" s="6">
        <v>2</v>
      </c>
      <c r="H351" s="6">
        <v>2</v>
      </c>
      <c r="I351" s="6"/>
      <c r="J351" s="6"/>
      <c r="K351" s="6"/>
      <c r="L351" s="6" t="str">
        <f t="shared" si="35"/>
        <v>Manuel</v>
      </c>
      <c r="M351" s="6" t="str">
        <f t="shared" si="36"/>
        <v>Apocalypse Now (Sheen, Brando)</v>
      </c>
      <c r="N351" s="9">
        <f t="shared" si="37"/>
        <v>2</v>
      </c>
      <c r="P351" t="str">
        <f t="shared" si="38"/>
        <v>"Manuel";"Apocalypse Now";"2"</v>
      </c>
      <c r="U351" t="str">
        <f t="shared" si="39"/>
        <v>Manuel</v>
      </c>
      <c r="V351" t="str">
        <f t="shared" si="40"/>
        <v>Apocalypse Now</v>
      </c>
      <c r="W351">
        <f t="shared" si="41"/>
        <v>1</v>
      </c>
    </row>
    <row r="352" spans="1:23" x14ac:dyDescent="0.2">
      <c r="A352" s="6" t="s">
        <v>16</v>
      </c>
      <c r="B352" s="6">
        <v>1956</v>
      </c>
      <c r="C352" s="6"/>
      <c r="D352" s="6" t="s">
        <v>71</v>
      </c>
      <c r="E352" s="6" t="s">
        <v>3</v>
      </c>
      <c r="F352" s="6">
        <v>0</v>
      </c>
      <c r="G352" s="6"/>
      <c r="H352" s="6">
        <v>0</v>
      </c>
      <c r="I352" s="6"/>
      <c r="J352" s="6"/>
      <c r="K352" s="6"/>
      <c r="L352" s="6" t="str">
        <f t="shared" si="35"/>
        <v>Manuel</v>
      </c>
      <c r="M352" s="6" t="str">
        <f t="shared" si="36"/>
        <v>Around The World In 80 Days (Niven, Cantinflas)</v>
      </c>
      <c r="N352" s="9">
        <f t="shared" si="37"/>
        <v>0</v>
      </c>
      <c r="P352" t="str">
        <f t="shared" si="38"/>
        <v>"Manuel";"Around The World In 80 Days";"0"</v>
      </c>
      <c r="U352" t="str">
        <f t="shared" si="39"/>
        <v>Manuel</v>
      </c>
      <c r="V352" t="str">
        <f t="shared" si="40"/>
        <v>Around The World In 80 Days</v>
      </c>
      <c r="W352">
        <f t="shared" si="41"/>
        <v>0</v>
      </c>
    </row>
    <row r="353" spans="1:23" x14ac:dyDescent="0.2">
      <c r="A353" s="6" t="s">
        <v>17</v>
      </c>
      <c r="B353" s="6">
        <v>2009</v>
      </c>
      <c r="C353" s="6"/>
      <c r="D353" s="6" t="s">
        <v>71</v>
      </c>
      <c r="E353" s="6" t="s">
        <v>2</v>
      </c>
      <c r="F353" s="6">
        <v>1</v>
      </c>
      <c r="G353" s="6">
        <v>4</v>
      </c>
      <c r="H353" s="6">
        <v>4</v>
      </c>
      <c r="I353" s="6"/>
      <c r="J353" s="6"/>
      <c r="K353" s="6"/>
      <c r="L353" s="6" t="str">
        <f t="shared" si="35"/>
        <v>Manuel</v>
      </c>
      <c r="M353" s="6" t="str">
        <f t="shared" si="36"/>
        <v>Avatar (Worthington, Saldana)</v>
      </c>
      <c r="N353" s="9">
        <f t="shared" si="37"/>
        <v>4</v>
      </c>
      <c r="P353" t="str">
        <f t="shared" si="38"/>
        <v>"Manuel";"Avatar";"4"</v>
      </c>
      <c r="U353" t="str">
        <f t="shared" si="39"/>
        <v>Manuel</v>
      </c>
      <c r="V353" t="str">
        <f t="shared" si="40"/>
        <v>Avatar</v>
      </c>
      <c r="W353">
        <f t="shared" si="41"/>
        <v>1</v>
      </c>
    </row>
    <row r="354" spans="1:23" x14ac:dyDescent="0.2">
      <c r="A354" s="6" t="s">
        <v>18</v>
      </c>
      <c r="B354" s="6">
        <v>1989</v>
      </c>
      <c r="C354" s="6"/>
      <c r="D354" s="6" t="s">
        <v>71</v>
      </c>
      <c r="E354" s="6" t="s">
        <v>2</v>
      </c>
      <c r="F354" s="6">
        <v>1</v>
      </c>
      <c r="G354" s="6">
        <v>4</v>
      </c>
      <c r="H354" s="6">
        <v>4</v>
      </c>
      <c r="I354" s="6"/>
      <c r="J354" s="6"/>
      <c r="K354" s="6"/>
      <c r="L354" s="6" t="str">
        <f t="shared" si="35"/>
        <v>Manuel</v>
      </c>
      <c r="M354" s="6" t="str">
        <f t="shared" si="36"/>
        <v>Batman (Keaton, Nicholson, Basinger)</v>
      </c>
      <c r="N354" s="9">
        <f t="shared" si="37"/>
        <v>4</v>
      </c>
      <c r="P354" t="str">
        <f t="shared" si="38"/>
        <v>"Manuel";"Batman";"4"</v>
      </c>
      <c r="U354" t="str">
        <f t="shared" si="39"/>
        <v>Manuel</v>
      </c>
      <c r="V354" t="str">
        <f t="shared" si="40"/>
        <v>Batman</v>
      </c>
      <c r="W354">
        <f t="shared" si="41"/>
        <v>1</v>
      </c>
    </row>
    <row r="355" spans="1:23" x14ac:dyDescent="0.2">
      <c r="A355" s="6" t="s">
        <v>19</v>
      </c>
      <c r="B355" s="6">
        <v>1982</v>
      </c>
      <c r="C355" s="6"/>
      <c r="D355" s="6" t="s">
        <v>71</v>
      </c>
      <c r="E355" s="6" t="s">
        <v>2</v>
      </c>
      <c r="F355" s="6">
        <v>1</v>
      </c>
      <c r="G355" s="6">
        <v>2</v>
      </c>
      <c r="H355" s="6">
        <v>2</v>
      </c>
      <c r="I355" s="6"/>
      <c r="J355" s="6"/>
      <c r="K355" s="6"/>
      <c r="L355" s="6" t="str">
        <f t="shared" si="35"/>
        <v>Manuel</v>
      </c>
      <c r="M355" s="6" t="str">
        <f t="shared" si="36"/>
        <v>Blade Runner (Ford, Hauer)</v>
      </c>
      <c r="N355" s="9">
        <f t="shared" si="37"/>
        <v>2</v>
      </c>
      <c r="P355" t="str">
        <f t="shared" si="38"/>
        <v>"Manuel";"Blade Runner";"2"</v>
      </c>
      <c r="U355" t="str">
        <f t="shared" si="39"/>
        <v>Manuel</v>
      </c>
      <c r="V355" t="str">
        <f t="shared" si="40"/>
        <v>Blade Runner</v>
      </c>
      <c r="W355">
        <f t="shared" si="41"/>
        <v>1</v>
      </c>
    </row>
    <row r="356" spans="1:23" x14ac:dyDescent="0.2">
      <c r="A356" s="6" t="s">
        <v>20</v>
      </c>
      <c r="B356" s="6">
        <v>2018</v>
      </c>
      <c r="C356" s="6"/>
      <c r="D356" s="6" t="s">
        <v>71</v>
      </c>
      <c r="E356" s="6" t="s">
        <v>3</v>
      </c>
      <c r="F356" s="6">
        <v>0</v>
      </c>
      <c r="G356" s="6"/>
      <c r="H356" s="6">
        <v>0</v>
      </c>
      <c r="I356" s="6"/>
      <c r="J356" s="6"/>
      <c r="K356" s="6"/>
      <c r="L356" s="6" t="str">
        <f t="shared" si="35"/>
        <v>Manuel</v>
      </c>
      <c r="M356" s="6" t="str">
        <f t="shared" si="36"/>
        <v>Bohemian Rhapsody (Malek, Boynton)</v>
      </c>
      <c r="N356" s="9">
        <f t="shared" si="37"/>
        <v>0</v>
      </c>
      <c r="P356" t="str">
        <f t="shared" si="38"/>
        <v>"Manuel";"Bohemian Rhapsody";"0"</v>
      </c>
      <c r="U356" t="str">
        <f t="shared" si="39"/>
        <v>Manuel</v>
      </c>
      <c r="V356" t="str">
        <f t="shared" si="40"/>
        <v>Bohemian Rhapsody</v>
      </c>
      <c r="W356">
        <f t="shared" si="41"/>
        <v>0</v>
      </c>
    </row>
    <row r="357" spans="1:23" x14ac:dyDescent="0.2">
      <c r="A357" s="6" t="s">
        <v>21</v>
      </c>
      <c r="B357" s="6">
        <v>2011</v>
      </c>
      <c r="C357" s="6"/>
      <c r="D357" s="6" t="s">
        <v>71</v>
      </c>
      <c r="E357" s="6" t="s">
        <v>3</v>
      </c>
      <c r="F357" s="6">
        <v>0</v>
      </c>
      <c r="G357" s="6"/>
      <c r="H357" s="6">
        <v>0</v>
      </c>
      <c r="I357" s="6"/>
      <c r="J357" s="6"/>
      <c r="K357" s="6"/>
      <c r="L357" s="6" t="str">
        <f t="shared" si="35"/>
        <v>Manuel</v>
      </c>
      <c r="M357" s="6" t="str">
        <f t="shared" si="36"/>
        <v>Captain America (Evans, Waeving)</v>
      </c>
      <c r="N357" s="9">
        <f t="shared" si="37"/>
        <v>0</v>
      </c>
      <c r="P357" t="str">
        <f t="shared" si="38"/>
        <v>"Manuel";"Captain America";"0"</v>
      </c>
      <c r="U357" t="str">
        <f t="shared" si="39"/>
        <v>Manuel</v>
      </c>
      <c r="V357" t="str">
        <f t="shared" si="40"/>
        <v>Captain America</v>
      </c>
      <c r="W357">
        <f t="shared" si="41"/>
        <v>0</v>
      </c>
    </row>
    <row r="358" spans="1:23" x14ac:dyDescent="0.2">
      <c r="A358" s="6" t="s">
        <v>22</v>
      </c>
      <c r="B358" s="6">
        <v>2000</v>
      </c>
      <c r="C358" s="6"/>
      <c r="D358" s="6" t="s">
        <v>71</v>
      </c>
      <c r="E358" s="6" t="s">
        <v>2</v>
      </c>
      <c r="F358" s="6">
        <v>1</v>
      </c>
      <c r="G358" s="6">
        <v>4</v>
      </c>
      <c r="H358" s="6">
        <v>4</v>
      </c>
      <c r="I358" s="6"/>
      <c r="J358" s="6"/>
      <c r="K358" s="6"/>
      <c r="L358" s="6" t="str">
        <f t="shared" si="35"/>
        <v>Manuel</v>
      </c>
      <c r="M358" s="6" t="str">
        <f t="shared" si="36"/>
        <v>Cast Away (Hanks, Hunt)</v>
      </c>
      <c r="N358" s="9">
        <f t="shared" si="37"/>
        <v>4</v>
      </c>
      <c r="P358" t="str">
        <f t="shared" si="38"/>
        <v>"Manuel";"Cast Away";"4"</v>
      </c>
      <c r="U358" t="str">
        <f t="shared" si="39"/>
        <v>Manuel</v>
      </c>
      <c r="V358" t="str">
        <f t="shared" si="40"/>
        <v>Cast Away</v>
      </c>
      <c r="W358">
        <f t="shared" si="41"/>
        <v>1</v>
      </c>
    </row>
    <row r="359" spans="1:23" x14ac:dyDescent="0.2">
      <c r="A359" s="6" t="s">
        <v>23</v>
      </c>
      <c r="B359" s="6">
        <v>1958</v>
      </c>
      <c r="C359" s="6"/>
      <c r="D359" s="6" t="s">
        <v>71</v>
      </c>
      <c r="E359" s="6" t="s">
        <v>3</v>
      </c>
      <c r="F359" s="6">
        <v>0</v>
      </c>
      <c r="G359" s="6"/>
      <c r="H359" s="6">
        <v>0</v>
      </c>
      <c r="I359" s="6"/>
      <c r="J359" s="6"/>
      <c r="K359" s="6"/>
      <c r="L359" s="6" t="str">
        <f t="shared" si="35"/>
        <v>Manuel</v>
      </c>
      <c r="M359" s="6" t="str">
        <f t="shared" si="36"/>
        <v>Cat On Hot Tin Roof (Taylor, Newman)</v>
      </c>
      <c r="N359" s="9">
        <f t="shared" si="37"/>
        <v>0</v>
      </c>
      <c r="P359" t="str">
        <f t="shared" si="38"/>
        <v>"Manuel";"Cat On Hot Tin Roof";"0"</v>
      </c>
      <c r="U359" t="str">
        <f t="shared" si="39"/>
        <v>Manuel</v>
      </c>
      <c r="V359" t="str">
        <f t="shared" si="40"/>
        <v>Cat On Hot Tin Roof</v>
      </c>
      <c r="W359">
        <f t="shared" si="41"/>
        <v>0</v>
      </c>
    </row>
    <row r="360" spans="1:23" x14ac:dyDescent="0.2">
      <c r="A360" s="6" t="s">
        <v>24</v>
      </c>
      <c r="B360" s="6">
        <v>1963</v>
      </c>
      <c r="C360" s="6"/>
      <c r="D360" s="6" t="s">
        <v>71</v>
      </c>
      <c r="E360" s="6" t="s">
        <v>3</v>
      </c>
      <c r="F360" s="6">
        <v>0</v>
      </c>
      <c r="G360" s="6"/>
      <c r="H360" s="6">
        <v>0</v>
      </c>
      <c r="I360" s="6"/>
      <c r="J360" s="6"/>
      <c r="K360" s="6"/>
      <c r="L360" s="6" t="str">
        <f t="shared" si="35"/>
        <v>Manuel</v>
      </c>
      <c r="M360" s="6" t="str">
        <f t="shared" si="36"/>
        <v>Charade (Grant, Hepburn)</v>
      </c>
      <c r="N360" s="9">
        <f t="shared" si="37"/>
        <v>0</v>
      </c>
      <c r="P360" t="str">
        <f t="shared" si="38"/>
        <v>"Manuel";"Charade";"0"</v>
      </c>
      <c r="U360" t="str">
        <f t="shared" si="39"/>
        <v>Manuel</v>
      </c>
      <c r="V360" t="str">
        <f t="shared" si="40"/>
        <v>Charade</v>
      </c>
      <c r="W360">
        <f t="shared" si="41"/>
        <v>0</v>
      </c>
    </row>
    <row r="361" spans="1:23" x14ac:dyDescent="0.2">
      <c r="A361" s="6" t="s">
        <v>25</v>
      </c>
      <c r="B361" s="6">
        <v>2000</v>
      </c>
      <c r="C361" s="6"/>
      <c r="D361" s="6" t="s">
        <v>71</v>
      </c>
      <c r="E361" s="6" t="s">
        <v>2</v>
      </c>
      <c r="F361" s="6">
        <v>1</v>
      </c>
      <c r="G361" s="6">
        <v>2</v>
      </c>
      <c r="H361" s="6">
        <v>2</v>
      </c>
      <c r="I361" s="6"/>
      <c r="J361" s="6"/>
      <c r="K361" s="6"/>
      <c r="L361" s="6" t="str">
        <f t="shared" si="35"/>
        <v>Manuel</v>
      </c>
      <c r="M361" s="6" t="str">
        <f t="shared" si="36"/>
        <v>Charlies Angels (Diaz, Barrymore, Liu)</v>
      </c>
      <c r="N361" s="9">
        <f t="shared" si="37"/>
        <v>2</v>
      </c>
      <c r="P361" t="str">
        <f t="shared" si="38"/>
        <v>"Manuel";"Charlies Angels";"2"</v>
      </c>
      <c r="U361" t="str">
        <f t="shared" si="39"/>
        <v>Manuel</v>
      </c>
      <c r="V361" t="str">
        <f t="shared" si="40"/>
        <v>Charlies Angels</v>
      </c>
      <c r="W361">
        <f t="shared" si="41"/>
        <v>1</v>
      </c>
    </row>
    <row r="362" spans="1:23" x14ac:dyDescent="0.2">
      <c r="A362" s="6" t="s">
        <v>26</v>
      </c>
      <c r="B362" s="6">
        <v>1974</v>
      </c>
      <c r="C362" s="6"/>
      <c r="D362" s="6" t="s">
        <v>71</v>
      </c>
      <c r="E362" s="6" t="s">
        <v>3</v>
      </c>
      <c r="F362" s="6">
        <v>0</v>
      </c>
      <c r="G362" s="6"/>
      <c r="H362" s="6">
        <v>0</v>
      </c>
      <c r="I362" s="6"/>
      <c r="J362" s="6"/>
      <c r="K362" s="6"/>
      <c r="L362" s="6" t="str">
        <f t="shared" si="35"/>
        <v>Manuel</v>
      </c>
      <c r="M362" s="6" t="str">
        <f t="shared" si="36"/>
        <v>Chinatown (Nicholson, Dunaway)</v>
      </c>
      <c r="N362" s="9">
        <f t="shared" si="37"/>
        <v>0</v>
      </c>
      <c r="P362" t="str">
        <f t="shared" si="38"/>
        <v>"Manuel";"Chinatown";"0"</v>
      </c>
      <c r="U362" t="str">
        <f t="shared" si="39"/>
        <v>Manuel</v>
      </c>
      <c r="V362" t="str">
        <f t="shared" si="40"/>
        <v>Chinatown</v>
      </c>
      <c r="W362">
        <f t="shared" si="41"/>
        <v>0</v>
      </c>
    </row>
    <row r="363" spans="1:23" x14ac:dyDescent="0.2">
      <c r="A363" s="6" t="s">
        <v>27</v>
      </c>
      <c r="B363" s="6">
        <v>1986</v>
      </c>
      <c r="C363" s="6"/>
      <c r="D363" s="6" t="s">
        <v>71</v>
      </c>
      <c r="E363" s="6" t="s">
        <v>3</v>
      </c>
      <c r="F363" s="6">
        <v>0</v>
      </c>
      <c r="G363" s="6"/>
      <c r="H363" s="6">
        <v>0</v>
      </c>
      <c r="I363" s="6"/>
      <c r="J363" s="6"/>
      <c r="K363" s="6"/>
      <c r="L363" s="6" t="str">
        <f t="shared" si="35"/>
        <v>Manuel</v>
      </c>
      <c r="M363" s="6" t="str">
        <f t="shared" si="36"/>
        <v>Clockwise (Gleese, Leatherbarrow)</v>
      </c>
      <c r="N363" s="9">
        <f t="shared" si="37"/>
        <v>0</v>
      </c>
      <c r="P363" t="str">
        <f t="shared" si="38"/>
        <v>"Manuel";"Clockwise";"0"</v>
      </c>
      <c r="U363" t="str">
        <f t="shared" si="39"/>
        <v>Manuel</v>
      </c>
      <c r="V363" t="str">
        <f t="shared" si="40"/>
        <v>Clockwise</v>
      </c>
      <c r="W363">
        <f t="shared" si="41"/>
        <v>0</v>
      </c>
    </row>
    <row r="364" spans="1:23" x14ac:dyDescent="0.2">
      <c r="A364" s="6" t="s">
        <v>28</v>
      </c>
      <c r="B364" s="6">
        <v>2011</v>
      </c>
      <c r="C364" s="6"/>
      <c r="D364" s="6" t="s">
        <v>71</v>
      </c>
      <c r="E364" s="6" t="s">
        <v>3</v>
      </c>
      <c r="F364" s="6">
        <v>0</v>
      </c>
      <c r="G364" s="6"/>
      <c r="H364" s="6">
        <v>0</v>
      </c>
      <c r="I364" s="6"/>
      <c r="J364" s="6"/>
      <c r="K364" s="6"/>
      <c r="L364" s="6" t="str">
        <f t="shared" si="35"/>
        <v>Manuel</v>
      </c>
      <c r="M364" s="6" t="str">
        <f t="shared" si="36"/>
        <v>Colombiana (Saldana, Molla)</v>
      </c>
      <c r="N364" s="9">
        <f t="shared" si="37"/>
        <v>0</v>
      </c>
      <c r="P364" t="str">
        <f t="shared" si="38"/>
        <v>"Manuel";"Colombiana";"0"</v>
      </c>
      <c r="U364" t="str">
        <f t="shared" si="39"/>
        <v>Manuel</v>
      </c>
      <c r="V364" t="str">
        <f t="shared" si="40"/>
        <v>Colombiana</v>
      </c>
      <c r="W364">
        <f t="shared" si="41"/>
        <v>0</v>
      </c>
    </row>
    <row r="365" spans="1:23" x14ac:dyDescent="0.2">
      <c r="A365" s="6" t="s">
        <v>29</v>
      </c>
      <c r="B365" s="6">
        <v>1962</v>
      </c>
      <c r="C365" s="6"/>
      <c r="D365" s="6" t="s">
        <v>71</v>
      </c>
      <c r="E365" s="6" t="s">
        <v>2</v>
      </c>
      <c r="F365" s="6">
        <v>1</v>
      </c>
      <c r="G365" s="6">
        <v>4</v>
      </c>
      <c r="H365" s="6">
        <v>4</v>
      </c>
      <c r="I365" s="6"/>
      <c r="J365" s="6"/>
      <c r="K365" s="6"/>
      <c r="L365" s="6" t="str">
        <f t="shared" si="35"/>
        <v>Manuel</v>
      </c>
      <c r="M365" s="6" t="str">
        <f t="shared" si="36"/>
        <v>Doctor No (Connery, Andress)</v>
      </c>
      <c r="N365" s="9">
        <f t="shared" si="37"/>
        <v>4</v>
      </c>
      <c r="P365" t="str">
        <f t="shared" si="38"/>
        <v>"Manuel";"Doctor No";"4"</v>
      </c>
      <c r="U365" t="str">
        <f t="shared" si="39"/>
        <v>Manuel</v>
      </c>
      <c r="V365" t="str">
        <f t="shared" si="40"/>
        <v>Doctor No</v>
      </c>
      <c r="W365">
        <f t="shared" si="41"/>
        <v>1</v>
      </c>
    </row>
    <row r="366" spans="1:23" x14ac:dyDescent="0.2">
      <c r="A366" s="6" t="s">
        <v>30</v>
      </c>
      <c r="B366" s="6">
        <v>1965</v>
      </c>
      <c r="C366" s="6"/>
      <c r="D366" s="6" t="s">
        <v>71</v>
      </c>
      <c r="E366" s="6" t="s">
        <v>3</v>
      </c>
      <c r="F366" s="6">
        <v>0</v>
      </c>
      <c r="G366" s="6"/>
      <c r="H366" s="6">
        <v>0</v>
      </c>
      <c r="I366" s="6"/>
      <c r="J366" s="6"/>
      <c r="K366" s="6"/>
      <c r="L366" s="6" t="str">
        <f t="shared" si="35"/>
        <v>Manuel</v>
      </c>
      <c r="M366" s="6" t="str">
        <f t="shared" si="36"/>
        <v>Doctor Zhiwago (Sharif, Christie)</v>
      </c>
      <c r="N366" s="9">
        <f t="shared" si="37"/>
        <v>0</v>
      </c>
      <c r="P366" t="str">
        <f t="shared" si="38"/>
        <v>"Manuel";"Doctor Zhiwago";"0"</v>
      </c>
      <c r="U366" t="str">
        <f t="shared" si="39"/>
        <v>Manuel</v>
      </c>
      <c r="V366" t="str">
        <f t="shared" si="40"/>
        <v>Doctor Zhiwago</v>
      </c>
      <c r="W366">
        <f t="shared" si="41"/>
        <v>0</v>
      </c>
    </row>
    <row r="367" spans="1:23" x14ac:dyDescent="0.2">
      <c r="A367" s="6" t="s">
        <v>31</v>
      </c>
      <c r="B367" s="6">
        <v>1964</v>
      </c>
      <c r="C367" s="6"/>
      <c r="D367" s="6" t="s">
        <v>71</v>
      </c>
      <c r="E367" s="6" t="s">
        <v>3</v>
      </c>
      <c r="F367" s="6">
        <v>0</v>
      </c>
      <c r="G367" s="6"/>
      <c r="H367" s="6">
        <v>0</v>
      </c>
      <c r="I367" s="6"/>
      <c r="J367" s="6"/>
      <c r="K367" s="6"/>
      <c r="L367" s="6" t="str">
        <f t="shared" si="35"/>
        <v>Manuel</v>
      </c>
      <c r="M367" s="6" t="str">
        <f t="shared" si="36"/>
        <v>Dr. Strangelove… (Sellers, Scott)</v>
      </c>
      <c r="N367" s="9">
        <f t="shared" si="37"/>
        <v>0</v>
      </c>
      <c r="P367" t="str">
        <f t="shared" si="38"/>
        <v>"Manuel";"Dr. Strangelove…";"0"</v>
      </c>
      <c r="U367" t="str">
        <f t="shared" si="39"/>
        <v>Manuel</v>
      </c>
      <c r="V367" t="str">
        <f t="shared" si="40"/>
        <v>Dr. Strangelove…</v>
      </c>
      <c r="W367">
        <f t="shared" si="41"/>
        <v>0</v>
      </c>
    </row>
    <row r="368" spans="1:23" x14ac:dyDescent="0.2">
      <c r="A368" s="6" t="s">
        <v>32</v>
      </c>
      <c r="B368" s="6">
        <v>2000</v>
      </c>
      <c r="C368" s="6"/>
      <c r="D368" s="6" t="s">
        <v>71</v>
      </c>
      <c r="E368" s="6" t="s">
        <v>3</v>
      </c>
      <c r="F368" s="6">
        <v>0</v>
      </c>
      <c r="G368" s="6"/>
      <c r="H368" s="6">
        <v>0</v>
      </c>
      <c r="I368" s="6"/>
      <c r="J368" s="6"/>
      <c r="K368" s="6"/>
      <c r="L368" s="6" t="str">
        <f t="shared" si="35"/>
        <v>Manuel</v>
      </c>
      <c r="M368" s="6" t="str">
        <f t="shared" si="36"/>
        <v>Dr. T and the women (Gere, Hunt)</v>
      </c>
      <c r="N368" s="9">
        <f t="shared" si="37"/>
        <v>0</v>
      </c>
      <c r="P368" t="str">
        <f t="shared" si="38"/>
        <v>"Manuel";"Dr. T and the women";"0"</v>
      </c>
      <c r="U368" t="str">
        <f t="shared" si="39"/>
        <v>Manuel</v>
      </c>
      <c r="V368" t="str">
        <f t="shared" si="40"/>
        <v>Dr. T and the women</v>
      </c>
      <c r="W368">
        <f t="shared" si="41"/>
        <v>0</v>
      </c>
    </row>
    <row r="369" spans="1:23" x14ac:dyDescent="0.2">
      <c r="A369" s="6" t="s">
        <v>33</v>
      </c>
      <c r="B369" s="6">
        <v>1953</v>
      </c>
      <c r="C369" s="6"/>
      <c r="D369" s="6" t="s">
        <v>71</v>
      </c>
      <c r="E369" s="6" t="s">
        <v>3</v>
      </c>
      <c r="F369" s="6">
        <v>0</v>
      </c>
      <c r="G369" s="6"/>
      <c r="H369" s="6">
        <v>0</v>
      </c>
      <c r="I369" s="6"/>
      <c r="J369" s="6"/>
      <c r="K369" s="6"/>
      <c r="L369" s="6" t="str">
        <f t="shared" si="35"/>
        <v>Manuel</v>
      </c>
      <c r="M369" s="6" t="str">
        <f t="shared" si="36"/>
        <v>Gentlemen Prefer Blondes (Monroe, Russell)</v>
      </c>
      <c r="N369" s="9">
        <f t="shared" si="37"/>
        <v>0</v>
      </c>
      <c r="P369" t="str">
        <f t="shared" si="38"/>
        <v>"Manuel";"Gentlemen Prefer Blondes";"0"</v>
      </c>
      <c r="U369" t="str">
        <f t="shared" si="39"/>
        <v>Manuel</v>
      </c>
      <c r="V369" t="str">
        <f t="shared" si="40"/>
        <v>Gentlemen Prefer Blondes</v>
      </c>
      <c r="W369">
        <f t="shared" si="41"/>
        <v>0</v>
      </c>
    </row>
    <row r="370" spans="1:23" x14ac:dyDescent="0.2">
      <c r="A370" s="6" t="s">
        <v>34</v>
      </c>
      <c r="B370" s="6">
        <v>2014</v>
      </c>
      <c r="C370" s="6"/>
      <c r="D370" s="6" t="s">
        <v>71</v>
      </c>
      <c r="E370" s="6" t="s">
        <v>3</v>
      </c>
      <c r="F370" s="6">
        <v>0</v>
      </c>
      <c r="G370" s="6"/>
      <c r="H370" s="6">
        <v>0</v>
      </c>
      <c r="I370" s="6"/>
      <c r="J370" s="6"/>
      <c r="K370" s="6"/>
      <c r="L370" s="6" t="str">
        <f t="shared" si="35"/>
        <v>Manuel</v>
      </c>
      <c r="M370" s="6" t="str">
        <f t="shared" si="36"/>
        <v>Grand Budapest Hotel (Fiennes, Abraham)</v>
      </c>
      <c r="N370" s="9">
        <f t="shared" si="37"/>
        <v>0</v>
      </c>
      <c r="P370" t="str">
        <f t="shared" si="38"/>
        <v>"Manuel";"Grand Budapest Hotel";"0"</v>
      </c>
      <c r="U370" t="str">
        <f t="shared" si="39"/>
        <v>Manuel</v>
      </c>
      <c r="V370" t="str">
        <f t="shared" si="40"/>
        <v>Grand Budapest Hotel</v>
      </c>
      <c r="W370">
        <f t="shared" si="41"/>
        <v>0</v>
      </c>
    </row>
    <row r="371" spans="1:23" x14ac:dyDescent="0.2">
      <c r="A371" s="6" t="s">
        <v>35</v>
      </c>
      <c r="B371" s="6">
        <v>2001</v>
      </c>
      <c r="C371" s="6"/>
      <c r="D371" s="6" t="s">
        <v>71</v>
      </c>
      <c r="E371" s="6" t="s">
        <v>2</v>
      </c>
      <c r="F371" s="6">
        <v>1</v>
      </c>
      <c r="G371" s="6">
        <v>3</v>
      </c>
      <c r="H371" s="6">
        <v>3</v>
      </c>
      <c r="I371" s="6"/>
      <c r="J371" s="6"/>
      <c r="K371" s="6"/>
      <c r="L371" s="6" t="str">
        <f t="shared" si="35"/>
        <v>Manuel</v>
      </c>
      <c r="M371" s="6" t="str">
        <f t="shared" si="36"/>
        <v>Harry Potter and the Philosopher's Stone (Radcliff, Harris)</v>
      </c>
      <c r="N371" s="9">
        <f t="shared" si="37"/>
        <v>3</v>
      </c>
      <c r="P371" t="str">
        <f t="shared" si="38"/>
        <v>"Manuel";"Harry Potter and the Philosopher's Stone";"3"</v>
      </c>
      <c r="U371" t="str">
        <f t="shared" si="39"/>
        <v>Manuel</v>
      </c>
      <c r="V371" t="str">
        <f t="shared" si="40"/>
        <v>Harry Potter and the Philosopher's Stone</v>
      </c>
      <c r="W371">
        <f t="shared" si="41"/>
        <v>1</v>
      </c>
    </row>
    <row r="372" spans="1:23" x14ac:dyDescent="0.2">
      <c r="A372" s="6" t="s">
        <v>36</v>
      </c>
      <c r="B372" s="6">
        <v>1950</v>
      </c>
      <c r="C372" s="6"/>
      <c r="D372" s="6" t="s">
        <v>71</v>
      </c>
      <c r="E372" s="6" t="s">
        <v>3</v>
      </c>
      <c r="F372" s="6">
        <v>0</v>
      </c>
      <c r="G372" s="6"/>
      <c r="H372" s="6">
        <v>0</v>
      </c>
      <c r="I372" s="6"/>
      <c r="J372" s="6"/>
      <c r="K372" s="6"/>
      <c r="L372" s="6" t="str">
        <f t="shared" si="35"/>
        <v>Manuel</v>
      </c>
      <c r="M372" s="6" t="str">
        <f t="shared" si="36"/>
        <v>Harvey (Stewart, Hull)</v>
      </c>
      <c r="N372" s="9">
        <f t="shared" si="37"/>
        <v>0</v>
      </c>
      <c r="P372" t="str">
        <f t="shared" si="38"/>
        <v>"Manuel";"Harvey";"0"</v>
      </c>
      <c r="U372" t="str">
        <f t="shared" si="39"/>
        <v>Manuel</v>
      </c>
      <c r="V372" t="str">
        <f t="shared" si="40"/>
        <v>Harvey</v>
      </c>
      <c r="W372">
        <f t="shared" si="41"/>
        <v>0</v>
      </c>
    </row>
    <row r="373" spans="1:23" x14ac:dyDescent="0.2">
      <c r="A373" s="6" t="s">
        <v>37</v>
      </c>
      <c r="B373" s="6">
        <v>1962</v>
      </c>
      <c r="C373" s="6"/>
      <c r="D373" s="6" t="s">
        <v>71</v>
      </c>
      <c r="E373" s="6" t="s">
        <v>3</v>
      </c>
      <c r="F373" s="6">
        <v>0</v>
      </c>
      <c r="G373" s="6"/>
      <c r="H373" s="6">
        <v>0</v>
      </c>
      <c r="I373" s="6"/>
      <c r="J373" s="6"/>
      <c r="K373" s="6"/>
      <c r="L373" s="6" t="str">
        <f t="shared" si="35"/>
        <v>Manuel</v>
      </c>
      <c r="M373" s="6" t="str">
        <f t="shared" si="36"/>
        <v>Hatari! (Wayne, Martinelli)</v>
      </c>
      <c r="N373" s="9">
        <f t="shared" si="37"/>
        <v>0</v>
      </c>
      <c r="P373" t="str">
        <f t="shared" si="38"/>
        <v>"Manuel";"Hatari!";"0"</v>
      </c>
      <c r="U373" t="str">
        <f t="shared" si="39"/>
        <v>Manuel</v>
      </c>
      <c r="V373" t="str">
        <f t="shared" si="40"/>
        <v>Hatari!</v>
      </c>
      <c r="W373">
        <f t="shared" si="41"/>
        <v>0</v>
      </c>
    </row>
    <row r="374" spans="1:23" x14ac:dyDescent="0.2">
      <c r="A374" s="6" t="s">
        <v>38</v>
      </c>
      <c r="B374" s="6">
        <v>1990</v>
      </c>
      <c r="C374" s="6"/>
      <c r="D374" s="6" t="s">
        <v>71</v>
      </c>
      <c r="E374" s="6" t="s">
        <v>2</v>
      </c>
      <c r="F374" s="6">
        <v>1</v>
      </c>
      <c r="G374" s="6">
        <v>3</v>
      </c>
      <c r="H374" s="6">
        <v>3</v>
      </c>
      <c r="I374" s="6"/>
      <c r="J374" s="6"/>
      <c r="K374" s="6"/>
      <c r="L374" s="6" t="str">
        <f t="shared" si="35"/>
        <v>Manuel</v>
      </c>
      <c r="M374" s="6" t="str">
        <f t="shared" si="36"/>
        <v>Home alone (Culkin, Pesci)</v>
      </c>
      <c r="N374" s="9">
        <f t="shared" si="37"/>
        <v>3</v>
      </c>
      <c r="P374" t="str">
        <f t="shared" si="38"/>
        <v>"Manuel";"Home alone";"3"</v>
      </c>
      <c r="U374" t="str">
        <f t="shared" si="39"/>
        <v>Manuel</v>
      </c>
      <c r="V374" t="str">
        <f t="shared" si="40"/>
        <v>Home alone</v>
      </c>
      <c r="W374">
        <f t="shared" si="41"/>
        <v>1</v>
      </c>
    </row>
    <row r="375" spans="1:23" x14ac:dyDescent="0.2">
      <c r="A375" s="6" t="s">
        <v>39</v>
      </c>
      <c r="B375" s="6">
        <v>2004</v>
      </c>
      <c r="C375" s="6"/>
      <c r="D375" s="6" t="s">
        <v>71</v>
      </c>
      <c r="E375" s="6" t="s">
        <v>2</v>
      </c>
      <c r="F375" s="6">
        <v>1</v>
      </c>
      <c r="G375" s="6">
        <v>4</v>
      </c>
      <c r="H375" s="6">
        <v>4</v>
      </c>
      <c r="I375" s="6"/>
      <c r="J375" s="6"/>
      <c r="K375" s="6"/>
      <c r="L375" s="6" t="str">
        <f t="shared" si="35"/>
        <v>Manuel</v>
      </c>
      <c r="M375" s="6" t="str">
        <f t="shared" si="36"/>
        <v>I, Robot (Smith, Moynahan)</v>
      </c>
      <c r="N375" s="9">
        <f t="shared" si="37"/>
        <v>4</v>
      </c>
      <c r="P375" t="str">
        <f t="shared" si="38"/>
        <v>"Manuel";"I, Robot";"4"</v>
      </c>
      <c r="U375" t="str">
        <f t="shared" si="39"/>
        <v>Manuel</v>
      </c>
      <c r="V375" t="str">
        <f t="shared" si="40"/>
        <v>I, Robot</v>
      </c>
      <c r="W375">
        <f t="shared" si="41"/>
        <v>1</v>
      </c>
    </row>
    <row r="376" spans="1:23" x14ac:dyDescent="0.2">
      <c r="A376" s="6" t="s">
        <v>40</v>
      </c>
      <c r="B376" s="6">
        <v>1967</v>
      </c>
      <c r="C376" s="6"/>
      <c r="D376" s="6" t="s">
        <v>71</v>
      </c>
      <c r="E376" s="6" t="s">
        <v>3</v>
      </c>
      <c r="F376" s="6">
        <v>0</v>
      </c>
      <c r="G376" s="6"/>
      <c r="H376" s="6">
        <v>0</v>
      </c>
      <c r="I376" s="6"/>
      <c r="J376" s="6"/>
      <c r="K376" s="6"/>
      <c r="L376" s="6" t="str">
        <f t="shared" si="35"/>
        <v>Manuel</v>
      </c>
      <c r="M376" s="6" t="str">
        <f t="shared" si="36"/>
        <v>In The Heat Of The Night (Poitier, Steiger)</v>
      </c>
      <c r="N376" s="9">
        <f t="shared" si="37"/>
        <v>0</v>
      </c>
      <c r="P376" t="str">
        <f t="shared" si="38"/>
        <v>"Manuel";"In The Heat Of The Night";"0"</v>
      </c>
      <c r="U376" t="str">
        <f t="shared" si="39"/>
        <v>Manuel</v>
      </c>
      <c r="V376" t="str">
        <f t="shared" si="40"/>
        <v>In The Heat Of The Night</v>
      </c>
      <c r="W376">
        <f t="shared" si="41"/>
        <v>0</v>
      </c>
    </row>
    <row r="377" spans="1:23" x14ac:dyDescent="0.2">
      <c r="A377" s="6" t="s">
        <v>41</v>
      </c>
      <c r="B377" s="6">
        <v>2014</v>
      </c>
      <c r="C377" s="6"/>
      <c r="D377" s="6" t="s">
        <v>71</v>
      </c>
      <c r="E377" s="6" t="s">
        <v>3</v>
      </c>
      <c r="F377" s="6">
        <v>0</v>
      </c>
      <c r="G377" s="6"/>
      <c r="H377" s="6">
        <v>0</v>
      </c>
      <c r="I377" s="6"/>
      <c r="J377" s="6"/>
      <c r="K377" s="6"/>
      <c r="L377" s="6" t="str">
        <f t="shared" si="35"/>
        <v>Manuel</v>
      </c>
      <c r="M377" s="6" t="str">
        <f t="shared" si="36"/>
        <v>Jack Ryan: Shadow Recruite (Pine, Costner)</v>
      </c>
      <c r="N377" s="9">
        <f t="shared" si="37"/>
        <v>0</v>
      </c>
      <c r="P377" t="str">
        <f t="shared" si="38"/>
        <v>"Manuel";"Jack Ryan: Shadow Recruite";"0"</v>
      </c>
      <c r="U377" t="str">
        <f t="shared" si="39"/>
        <v>Manuel</v>
      </c>
      <c r="V377" t="str">
        <f t="shared" si="40"/>
        <v>Jack Ryan: Shadow Recruite</v>
      </c>
      <c r="W377">
        <f t="shared" si="41"/>
        <v>0</v>
      </c>
    </row>
    <row r="378" spans="1:23" x14ac:dyDescent="0.2">
      <c r="A378" s="6" t="s">
        <v>42</v>
      </c>
      <c r="B378" s="6">
        <v>1995</v>
      </c>
      <c r="C378" s="6"/>
      <c r="D378" s="6" t="s">
        <v>71</v>
      </c>
      <c r="E378" s="6" t="s">
        <v>3</v>
      </c>
      <c r="F378" s="6">
        <v>0</v>
      </c>
      <c r="G378" s="6"/>
      <c r="H378" s="6">
        <v>0</v>
      </c>
      <c r="I378" s="6"/>
      <c r="J378" s="6"/>
      <c r="K378" s="6"/>
      <c r="L378" s="6" t="str">
        <f t="shared" si="35"/>
        <v>Manuel</v>
      </c>
      <c r="M378" s="6" t="str">
        <f t="shared" si="36"/>
        <v>Jumanji (Williams, Dunst)</v>
      </c>
      <c r="N378" s="9">
        <f t="shared" si="37"/>
        <v>0</v>
      </c>
      <c r="P378" t="str">
        <f t="shared" si="38"/>
        <v>"Manuel";"Jumanji";"0"</v>
      </c>
      <c r="U378" t="str">
        <f t="shared" si="39"/>
        <v>Manuel</v>
      </c>
      <c r="V378" t="str">
        <f t="shared" si="40"/>
        <v>Jumanji</v>
      </c>
      <c r="W378">
        <f t="shared" si="41"/>
        <v>0</v>
      </c>
    </row>
    <row r="379" spans="1:23" x14ac:dyDescent="0.2">
      <c r="A379" s="6" t="s">
        <v>43</v>
      </c>
      <c r="B379" s="6">
        <v>2005</v>
      </c>
      <c r="C379" s="6"/>
      <c r="D379" s="6" t="s">
        <v>71</v>
      </c>
      <c r="E379" s="6" t="s">
        <v>2</v>
      </c>
      <c r="F379" s="6">
        <v>1</v>
      </c>
      <c r="G379" s="6">
        <v>2</v>
      </c>
      <c r="H379" s="6">
        <v>2</v>
      </c>
      <c r="I379" s="6"/>
      <c r="J379" s="6"/>
      <c r="K379" s="6"/>
      <c r="L379" s="6" t="str">
        <f t="shared" si="35"/>
        <v>Manuel</v>
      </c>
      <c r="M379" s="6" t="str">
        <f t="shared" si="36"/>
        <v>King Kong (Watts, Black)</v>
      </c>
      <c r="N379" s="9">
        <f t="shared" si="37"/>
        <v>2</v>
      </c>
      <c r="P379" t="str">
        <f t="shared" si="38"/>
        <v>"Manuel";"King Kong";"2"</v>
      </c>
      <c r="U379" t="str">
        <f t="shared" si="39"/>
        <v>Manuel</v>
      </c>
      <c r="V379" t="str">
        <f t="shared" si="40"/>
        <v>King Kong</v>
      </c>
      <c r="W379">
        <f t="shared" si="41"/>
        <v>1</v>
      </c>
    </row>
    <row r="380" spans="1:23" x14ac:dyDescent="0.2">
      <c r="A380" s="6" t="s">
        <v>44</v>
      </c>
      <c r="B380" s="6">
        <v>2016</v>
      </c>
      <c r="C380" s="6"/>
      <c r="D380" s="6" t="s">
        <v>71</v>
      </c>
      <c r="E380" s="6" t="s">
        <v>3</v>
      </c>
      <c r="F380" s="6">
        <v>0</v>
      </c>
      <c r="G380" s="6"/>
      <c r="H380" s="6">
        <v>0</v>
      </c>
      <c r="I380" s="6"/>
      <c r="J380" s="6"/>
      <c r="K380" s="6"/>
      <c r="L380" s="6" t="str">
        <f t="shared" si="35"/>
        <v>Manuel</v>
      </c>
      <c r="M380" s="6" t="str">
        <f t="shared" si="36"/>
        <v>La La Land (Gosling, Stone)</v>
      </c>
      <c r="N380" s="9">
        <f t="shared" si="37"/>
        <v>0</v>
      </c>
      <c r="P380" t="str">
        <f t="shared" si="38"/>
        <v>"Manuel";"La La Land";"0"</v>
      </c>
      <c r="U380" t="str">
        <f t="shared" si="39"/>
        <v>Manuel</v>
      </c>
      <c r="V380" t="str">
        <f t="shared" si="40"/>
        <v>La La Land</v>
      </c>
      <c r="W380">
        <f t="shared" si="41"/>
        <v>0</v>
      </c>
    </row>
    <row r="381" spans="1:23" x14ac:dyDescent="0.2">
      <c r="A381" s="6" t="s">
        <v>45</v>
      </c>
      <c r="B381" s="6">
        <v>2001</v>
      </c>
      <c r="C381" s="6"/>
      <c r="D381" s="6" t="s">
        <v>71</v>
      </c>
      <c r="E381" s="6" t="s">
        <v>2</v>
      </c>
      <c r="F381" s="6">
        <v>1</v>
      </c>
      <c r="G381" s="6">
        <v>5</v>
      </c>
      <c r="H381" s="6">
        <v>5</v>
      </c>
      <c r="I381" s="6"/>
      <c r="J381" s="6"/>
      <c r="K381" s="6"/>
      <c r="L381" s="6" t="str">
        <f t="shared" si="35"/>
        <v>Manuel</v>
      </c>
      <c r="M381" s="6" t="str">
        <f t="shared" si="36"/>
        <v>Lord of the Rings (Woods, McKellen)</v>
      </c>
      <c r="N381" s="9">
        <f t="shared" si="37"/>
        <v>5</v>
      </c>
      <c r="P381" t="str">
        <f t="shared" si="38"/>
        <v>"Manuel";"Lord of the Rings";"5"</v>
      </c>
      <c r="U381" t="str">
        <f t="shared" si="39"/>
        <v>Manuel</v>
      </c>
      <c r="V381" t="str">
        <f t="shared" si="40"/>
        <v>Lord of the Rings</v>
      </c>
      <c r="W381">
        <f t="shared" si="41"/>
        <v>1</v>
      </c>
    </row>
    <row r="382" spans="1:23" x14ac:dyDescent="0.2">
      <c r="A382" s="6" t="s">
        <v>46</v>
      </c>
      <c r="B382" s="6">
        <v>1964</v>
      </c>
      <c r="C382" s="6"/>
      <c r="D382" s="6" t="s">
        <v>71</v>
      </c>
      <c r="E382" s="6" t="s">
        <v>3</v>
      </c>
      <c r="F382" s="6">
        <v>0</v>
      </c>
      <c r="G382" s="6"/>
      <c r="H382" s="6">
        <v>0</v>
      </c>
      <c r="I382" s="6"/>
      <c r="J382" s="6"/>
      <c r="K382" s="6"/>
      <c r="L382" s="6" t="str">
        <f t="shared" si="35"/>
        <v>Manuel</v>
      </c>
      <c r="M382" s="6" t="str">
        <f t="shared" si="36"/>
        <v>Per Un Pugno Di Dollari (Eastwood, Koch)</v>
      </c>
      <c r="N382" s="9">
        <f t="shared" si="37"/>
        <v>0</v>
      </c>
      <c r="P382" t="str">
        <f t="shared" si="38"/>
        <v>"Manuel";"Per Un Pugno Di Dollari";"0"</v>
      </c>
      <c r="U382" t="str">
        <f t="shared" si="39"/>
        <v>Manuel</v>
      </c>
      <c r="V382" t="str">
        <f t="shared" si="40"/>
        <v>Per Un Pugno Di Dollari</v>
      </c>
      <c r="W382">
        <f t="shared" si="41"/>
        <v>0</v>
      </c>
    </row>
    <row r="383" spans="1:23" x14ac:dyDescent="0.2">
      <c r="A383" s="6" t="s">
        <v>47</v>
      </c>
      <c r="B383" s="6">
        <v>1954</v>
      </c>
      <c r="C383" s="6"/>
      <c r="D383" s="6" t="s">
        <v>71</v>
      </c>
      <c r="E383" s="6" t="s">
        <v>2</v>
      </c>
      <c r="F383" s="6">
        <v>1</v>
      </c>
      <c r="G383" s="6">
        <v>4</v>
      </c>
      <c r="H383" s="6">
        <v>4</v>
      </c>
      <c r="I383" s="6"/>
      <c r="J383" s="6"/>
      <c r="K383" s="6"/>
      <c r="L383" s="6" t="str">
        <f t="shared" si="35"/>
        <v>Manuel</v>
      </c>
      <c r="M383" s="6" t="str">
        <f t="shared" si="36"/>
        <v>Rear Window (Stewart, Kelly)</v>
      </c>
      <c r="N383" s="9">
        <f t="shared" si="37"/>
        <v>4</v>
      </c>
      <c r="P383" t="str">
        <f t="shared" si="38"/>
        <v>"Manuel";"Rear Window";"4"</v>
      </c>
      <c r="U383" t="str">
        <f t="shared" si="39"/>
        <v>Manuel</v>
      </c>
      <c r="V383" t="str">
        <f t="shared" si="40"/>
        <v>Rear Window</v>
      </c>
      <c r="W383">
        <f t="shared" si="41"/>
        <v>1</v>
      </c>
    </row>
    <row r="384" spans="1:23" x14ac:dyDescent="0.2">
      <c r="A384" s="6" t="s">
        <v>48</v>
      </c>
      <c r="B384" s="6">
        <v>1955</v>
      </c>
      <c r="C384" s="6"/>
      <c r="D384" s="6" t="s">
        <v>71</v>
      </c>
      <c r="E384" s="6" t="s">
        <v>3</v>
      </c>
      <c r="F384" s="6">
        <v>0</v>
      </c>
      <c r="G384" s="6"/>
      <c r="H384" s="6">
        <v>0</v>
      </c>
      <c r="I384" s="6"/>
      <c r="J384" s="6"/>
      <c r="K384" s="6"/>
      <c r="L384" s="6" t="str">
        <f t="shared" si="35"/>
        <v>Manuel</v>
      </c>
      <c r="M384" s="6" t="str">
        <f t="shared" si="36"/>
        <v>Rebel Without A Cause (Dean, Wood)</v>
      </c>
      <c r="N384" s="9">
        <f t="shared" si="37"/>
        <v>0</v>
      </c>
      <c r="P384" t="str">
        <f t="shared" si="38"/>
        <v>"Manuel";"Rebel Without A Cause";"0"</v>
      </c>
      <c r="U384" t="str">
        <f t="shared" si="39"/>
        <v>Manuel</v>
      </c>
      <c r="V384" t="str">
        <f t="shared" si="40"/>
        <v>Rebel Without A Cause</v>
      </c>
      <c r="W384">
        <f t="shared" si="41"/>
        <v>0</v>
      </c>
    </row>
    <row r="385" spans="1:23" x14ac:dyDescent="0.2">
      <c r="A385" s="6" t="s">
        <v>66</v>
      </c>
      <c r="B385" s="6">
        <v>2005</v>
      </c>
      <c r="C385" s="6"/>
      <c r="D385" s="6" t="s">
        <v>71</v>
      </c>
      <c r="E385" s="6" t="s">
        <v>2</v>
      </c>
      <c r="F385" s="6">
        <v>1</v>
      </c>
      <c r="G385" s="6">
        <v>3</v>
      </c>
      <c r="H385" s="6">
        <v>3</v>
      </c>
      <c r="I385" s="6"/>
      <c r="J385" s="6"/>
      <c r="K385" s="6"/>
      <c r="L385" s="6" t="str">
        <f t="shared" si="35"/>
        <v>Manuel</v>
      </c>
      <c r="M385" s="6" t="str">
        <f t="shared" si="36"/>
        <v>Rumor has it (Aniston, Costner)</v>
      </c>
      <c r="N385" s="9">
        <f t="shared" si="37"/>
        <v>3</v>
      </c>
      <c r="P385" t="str">
        <f t="shared" si="38"/>
        <v>"Manuel";"Rumor has it";"3"</v>
      </c>
      <c r="U385" t="str">
        <f t="shared" si="39"/>
        <v>Manuel</v>
      </c>
      <c r="V385" t="str">
        <f t="shared" si="40"/>
        <v>Rumor has it</v>
      </c>
      <c r="W385">
        <f t="shared" si="41"/>
        <v>1</v>
      </c>
    </row>
    <row r="386" spans="1:23" x14ac:dyDescent="0.2">
      <c r="A386" s="6" t="s">
        <v>49</v>
      </c>
      <c r="B386" s="6">
        <v>1998</v>
      </c>
      <c r="C386" s="6"/>
      <c r="D386" s="6" t="s">
        <v>71</v>
      </c>
      <c r="E386" s="6" t="s">
        <v>2</v>
      </c>
      <c r="F386" s="6">
        <v>1</v>
      </c>
      <c r="G386" s="6">
        <v>4</v>
      </c>
      <c r="H386" s="6">
        <v>4</v>
      </c>
      <c r="I386" s="6"/>
      <c r="J386" s="6"/>
      <c r="K386" s="6"/>
      <c r="L386" s="6" t="str">
        <f t="shared" si="35"/>
        <v>Manuel</v>
      </c>
      <c r="M386" s="6" t="str">
        <f t="shared" si="36"/>
        <v>Saving private Ryan (Hanks, Damon)</v>
      </c>
      <c r="N386" s="9">
        <f t="shared" si="37"/>
        <v>4</v>
      </c>
      <c r="P386" t="str">
        <f t="shared" si="38"/>
        <v>"Manuel";"Saving private Ryan";"4"</v>
      </c>
      <c r="U386" t="str">
        <f t="shared" si="39"/>
        <v>Manuel</v>
      </c>
      <c r="V386" t="str">
        <f t="shared" si="40"/>
        <v>Saving private Ryan</v>
      </c>
      <c r="W386">
        <f t="shared" si="41"/>
        <v>1</v>
      </c>
    </row>
    <row r="387" spans="1:23" x14ac:dyDescent="0.2">
      <c r="A387" s="6" t="s">
        <v>50</v>
      </c>
      <c r="B387" s="6">
        <v>1993</v>
      </c>
      <c r="C387" s="6"/>
      <c r="D387" s="6" t="s">
        <v>71</v>
      </c>
      <c r="E387" s="6" t="s">
        <v>2</v>
      </c>
      <c r="F387" s="6">
        <v>1</v>
      </c>
      <c r="G387" s="6">
        <v>5</v>
      </c>
      <c r="H387" s="6">
        <v>5</v>
      </c>
      <c r="I387" s="6"/>
      <c r="J387" s="6"/>
      <c r="K387" s="6"/>
      <c r="L387" s="6" t="str">
        <f t="shared" ref="L387:L450" si="42">D387</f>
        <v>Manuel</v>
      </c>
      <c r="M387" s="6" t="str">
        <f t="shared" ref="M387:M450" si="43">A387</f>
        <v>Schindlers List (Neeson, Fiennes)</v>
      </c>
      <c r="N387" s="9">
        <f t="shared" ref="N387:N450" si="44">H387</f>
        <v>5</v>
      </c>
      <c r="P387" t="str">
        <f t="shared" ref="P387:P450" si="45">""""&amp;L387&amp;""";"""&amp;LEFT(M387,FIND("(",M387)-2)&amp;""";"""&amp;SUBSTITUTE(N387,",",".")&amp;""""</f>
        <v>"Manuel";"Schindlers List";"5"</v>
      </c>
      <c r="U387" t="str">
        <f t="shared" ref="U387:U450" si="46">D387</f>
        <v>Manuel</v>
      </c>
      <c r="V387" t="str">
        <f t="shared" ref="V387:V450" si="47">LEFT(A387,FIND("(",A387)-2)</f>
        <v>Schindlers List</v>
      </c>
      <c r="W387">
        <f t="shared" ref="W387:W450" si="48">F387</f>
        <v>1</v>
      </c>
    </row>
    <row r="388" spans="1:23" x14ac:dyDescent="0.2">
      <c r="A388" s="6" t="s">
        <v>51</v>
      </c>
      <c r="B388" s="6">
        <v>1996</v>
      </c>
      <c r="C388" s="6"/>
      <c r="D388" s="6" t="s">
        <v>71</v>
      </c>
      <c r="E388" s="6" t="s">
        <v>2</v>
      </c>
      <c r="F388" s="6">
        <v>1</v>
      </c>
      <c r="G388" s="6">
        <v>2</v>
      </c>
      <c r="H388" s="6">
        <v>2</v>
      </c>
      <c r="I388" s="6"/>
      <c r="J388" s="6"/>
      <c r="K388" s="6"/>
      <c r="L388" s="6" t="str">
        <f t="shared" si="42"/>
        <v>Manuel</v>
      </c>
      <c r="M388" s="6" t="str">
        <f t="shared" si="43"/>
        <v>Scream (Arquette, Campell)</v>
      </c>
      <c r="N388" s="9">
        <f t="shared" si="44"/>
        <v>2</v>
      </c>
      <c r="P388" t="str">
        <f t="shared" si="45"/>
        <v>"Manuel";"Scream";"2"</v>
      </c>
      <c r="U388" t="str">
        <f t="shared" si="46"/>
        <v>Manuel</v>
      </c>
      <c r="V388" t="str">
        <f t="shared" si="47"/>
        <v>Scream</v>
      </c>
      <c r="W388">
        <f t="shared" si="48"/>
        <v>1</v>
      </c>
    </row>
    <row r="389" spans="1:23" x14ac:dyDescent="0.2">
      <c r="A389" s="6" t="s">
        <v>52</v>
      </c>
      <c r="B389" s="6">
        <v>1977</v>
      </c>
      <c r="C389" s="6"/>
      <c r="D389" s="6" t="s">
        <v>71</v>
      </c>
      <c r="E389" s="6" t="s">
        <v>3</v>
      </c>
      <c r="F389" s="6">
        <v>0</v>
      </c>
      <c r="G389" s="6"/>
      <c r="H389" s="6">
        <v>0</v>
      </c>
      <c r="I389" s="6"/>
      <c r="J389" s="6"/>
      <c r="K389" s="6"/>
      <c r="L389" s="6" t="str">
        <f t="shared" si="42"/>
        <v>Manuel</v>
      </c>
      <c r="M389" s="6" t="str">
        <f t="shared" si="43"/>
        <v>Star Wars IV: A new hope (Hamill, Ford)</v>
      </c>
      <c r="N389" s="9">
        <f t="shared" si="44"/>
        <v>0</v>
      </c>
      <c r="P389" t="str">
        <f t="shared" si="45"/>
        <v>"Manuel";"Star Wars IV: A new hope";"0"</v>
      </c>
      <c r="U389" t="str">
        <f t="shared" si="46"/>
        <v>Manuel</v>
      </c>
      <c r="V389" t="str">
        <f t="shared" si="47"/>
        <v>Star Wars IV: A new hope</v>
      </c>
      <c r="W389">
        <f t="shared" si="48"/>
        <v>0</v>
      </c>
    </row>
    <row r="390" spans="1:23" x14ac:dyDescent="0.2">
      <c r="A390" s="6" t="s">
        <v>53</v>
      </c>
      <c r="B390" s="6">
        <v>2016</v>
      </c>
      <c r="C390" s="6"/>
      <c r="D390" s="6" t="s">
        <v>71</v>
      </c>
      <c r="E390" s="6" t="s">
        <v>3</v>
      </c>
      <c r="F390" s="6">
        <v>0</v>
      </c>
      <c r="G390" s="6"/>
      <c r="H390" s="6">
        <v>0</v>
      </c>
      <c r="I390" s="6"/>
      <c r="J390" s="6"/>
      <c r="K390" s="6"/>
      <c r="L390" s="6" t="str">
        <f t="shared" si="42"/>
        <v>Manuel</v>
      </c>
      <c r="M390" s="6" t="str">
        <f t="shared" si="43"/>
        <v>Suicide Squad (Smith, Robbie)</v>
      </c>
      <c r="N390" s="9">
        <f t="shared" si="44"/>
        <v>0</v>
      </c>
      <c r="P390" t="str">
        <f t="shared" si="45"/>
        <v>"Manuel";"Suicide Squad";"0"</v>
      </c>
      <c r="U390" t="str">
        <f t="shared" si="46"/>
        <v>Manuel</v>
      </c>
      <c r="V390" t="str">
        <f t="shared" si="47"/>
        <v>Suicide Squad</v>
      </c>
      <c r="W390">
        <f t="shared" si="48"/>
        <v>0</v>
      </c>
    </row>
    <row r="391" spans="1:23" x14ac:dyDescent="0.2">
      <c r="A391" s="6" t="s">
        <v>54</v>
      </c>
      <c r="B391" s="6">
        <v>2010</v>
      </c>
      <c r="C391" s="6"/>
      <c r="D391" s="6" t="s">
        <v>71</v>
      </c>
      <c r="E391" s="6" t="s">
        <v>3</v>
      </c>
      <c r="F391" s="6">
        <v>0</v>
      </c>
      <c r="G391" s="6"/>
      <c r="H391" s="6">
        <v>0</v>
      </c>
      <c r="I391" s="6"/>
      <c r="J391" s="6"/>
      <c r="K391" s="6"/>
      <c r="L391" s="6" t="str">
        <f t="shared" si="42"/>
        <v>Manuel</v>
      </c>
      <c r="M391" s="6" t="str">
        <f t="shared" si="43"/>
        <v>Tangled (Disney)</v>
      </c>
      <c r="N391" s="9">
        <f t="shared" si="44"/>
        <v>0</v>
      </c>
      <c r="P391" t="str">
        <f t="shared" si="45"/>
        <v>"Manuel";"Tangled";"0"</v>
      </c>
      <c r="U391" t="str">
        <f t="shared" si="46"/>
        <v>Manuel</v>
      </c>
      <c r="V391" t="str">
        <f t="shared" si="47"/>
        <v>Tangled</v>
      </c>
      <c r="W391">
        <f t="shared" si="48"/>
        <v>0</v>
      </c>
    </row>
    <row r="392" spans="1:23" x14ac:dyDescent="0.2">
      <c r="A392" s="6" t="s">
        <v>55</v>
      </c>
      <c r="B392" s="6">
        <v>2012</v>
      </c>
      <c r="C392" s="6"/>
      <c r="D392" s="6" t="s">
        <v>71</v>
      </c>
      <c r="E392" s="6" t="s">
        <v>2</v>
      </c>
      <c r="F392" s="6">
        <v>1</v>
      </c>
      <c r="G392" s="6">
        <v>3</v>
      </c>
      <c r="H392" s="6">
        <v>3</v>
      </c>
      <c r="I392" s="6"/>
      <c r="J392" s="6"/>
      <c r="K392" s="6"/>
      <c r="L392" s="6" t="str">
        <f t="shared" si="42"/>
        <v>Manuel</v>
      </c>
      <c r="M392" s="6" t="str">
        <f t="shared" si="43"/>
        <v>The Avengers (Downey Jr. Evans)</v>
      </c>
      <c r="N392" s="9">
        <f t="shared" si="44"/>
        <v>3</v>
      </c>
      <c r="P392" t="str">
        <f t="shared" si="45"/>
        <v>"Manuel";"The Avengers";"3"</v>
      </c>
      <c r="U392" t="str">
        <f t="shared" si="46"/>
        <v>Manuel</v>
      </c>
      <c r="V392" t="str">
        <f t="shared" si="47"/>
        <v>The Avengers</v>
      </c>
      <c r="W392">
        <f t="shared" si="48"/>
        <v>1</v>
      </c>
    </row>
    <row r="393" spans="1:23" x14ac:dyDescent="0.2">
      <c r="A393" s="6" t="s">
        <v>56</v>
      </c>
      <c r="B393" s="6">
        <v>1973</v>
      </c>
      <c r="C393" s="6"/>
      <c r="D393" s="6" t="s">
        <v>71</v>
      </c>
      <c r="E393" s="6" t="s">
        <v>2</v>
      </c>
      <c r="F393" s="6">
        <v>1</v>
      </c>
      <c r="G393" s="6">
        <v>4</v>
      </c>
      <c r="H393" s="6">
        <v>4</v>
      </c>
      <c r="I393" s="6"/>
      <c r="J393" s="6"/>
      <c r="K393" s="6"/>
      <c r="L393" s="6" t="str">
        <f t="shared" si="42"/>
        <v>Manuel</v>
      </c>
      <c r="M393" s="6" t="str">
        <f t="shared" si="43"/>
        <v>The Exorcist (von Sydow, Blair)</v>
      </c>
      <c r="N393" s="9">
        <f t="shared" si="44"/>
        <v>4</v>
      </c>
      <c r="P393" t="str">
        <f t="shared" si="45"/>
        <v>"Manuel";"The Exorcist";"4"</v>
      </c>
      <c r="U393" t="str">
        <f t="shared" si="46"/>
        <v>Manuel</v>
      </c>
      <c r="V393" t="str">
        <f t="shared" si="47"/>
        <v>The Exorcist</v>
      </c>
      <c r="W393">
        <f t="shared" si="48"/>
        <v>1</v>
      </c>
    </row>
    <row r="394" spans="1:23" x14ac:dyDescent="0.2">
      <c r="A394" s="6" t="s">
        <v>57</v>
      </c>
      <c r="B394" s="6">
        <v>1972</v>
      </c>
      <c r="C394" s="6"/>
      <c r="D394" s="6" t="s">
        <v>71</v>
      </c>
      <c r="E394" s="6" t="s">
        <v>2</v>
      </c>
      <c r="F394" s="6">
        <v>1</v>
      </c>
      <c r="G394" s="6">
        <v>4</v>
      </c>
      <c r="H394" s="6">
        <v>4</v>
      </c>
      <c r="I394" s="6"/>
      <c r="J394" s="6"/>
      <c r="K394" s="6"/>
      <c r="L394" s="6" t="str">
        <f t="shared" si="42"/>
        <v>Manuel</v>
      </c>
      <c r="M394" s="6" t="str">
        <f t="shared" si="43"/>
        <v>The Godfather (Brando, Pacino)</v>
      </c>
      <c r="N394" s="9">
        <f t="shared" si="44"/>
        <v>4</v>
      </c>
      <c r="P394" t="str">
        <f t="shared" si="45"/>
        <v>"Manuel";"The Godfather";"4"</v>
      </c>
      <c r="U394" t="str">
        <f t="shared" si="46"/>
        <v>Manuel</v>
      </c>
      <c r="V394" t="str">
        <f t="shared" si="47"/>
        <v>The Godfather</v>
      </c>
      <c r="W394">
        <f t="shared" si="48"/>
        <v>1</v>
      </c>
    </row>
    <row r="395" spans="1:23" x14ac:dyDescent="0.2">
      <c r="A395" s="6" t="s">
        <v>58</v>
      </c>
      <c r="B395" s="6">
        <v>1994</v>
      </c>
      <c r="C395" s="6"/>
      <c r="D395" s="6" t="s">
        <v>71</v>
      </c>
      <c r="E395" s="6" t="s">
        <v>2</v>
      </c>
      <c r="F395" s="6">
        <v>1</v>
      </c>
      <c r="G395" s="6">
        <v>4</v>
      </c>
      <c r="H395" s="6">
        <v>4</v>
      </c>
      <c r="I395" s="6"/>
      <c r="J395" s="6"/>
      <c r="K395" s="6"/>
      <c r="L395" s="6" t="str">
        <f t="shared" si="42"/>
        <v>Manuel</v>
      </c>
      <c r="M395" s="6" t="str">
        <f t="shared" si="43"/>
        <v>The Lion King (Disney)</v>
      </c>
      <c r="N395" s="9">
        <f t="shared" si="44"/>
        <v>4</v>
      </c>
      <c r="P395" t="str">
        <f t="shared" si="45"/>
        <v>"Manuel";"The Lion King";"4"</v>
      </c>
      <c r="U395" t="str">
        <f t="shared" si="46"/>
        <v>Manuel</v>
      </c>
      <c r="V395" t="str">
        <f t="shared" si="47"/>
        <v>The Lion King</v>
      </c>
      <c r="W395">
        <f t="shared" si="48"/>
        <v>1</v>
      </c>
    </row>
    <row r="396" spans="1:23" x14ac:dyDescent="0.2">
      <c r="A396" s="6" t="s">
        <v>59</v>
      </c>
      <c r="B396" s="6">
        <v>1999</v>
      </c>
      <c r="C396" s="6"/>
      <c r="D396" s="6" t="s">
        <v>71</v>
      </c>
      <c r="E396" s="6" t="s">
        <v>2</v>
      </c>
      <c r="F396" s="6">
        <v>1</v>
      </c>
      <c r="G396" s="6">
        <v>2</v>
      </c>
      <c r="H396" s="6">
        <v>2</v>
      </c>
      <c r="I396" s="6"/>
      <c r="J396" s="6"/>
      <c r="K396" s="6"/>
      <c r="L396" s="6" t="str">
        <f t="shared" si="42"/>
        <v>Manuel</v>
      </c>
      <c r="M396" s="6" t="str">
        <f t="shared" si="43"/>
        <v>The Matrix (Reeves, Fishburn)</v>
      </c>
      <c r="N396" s="9">
        <f t="shared" si="44"/>
        <v>2</v>
      </c>
      <c r="P396" t="str">
        <f t="shared" si="45"/>
        <v>"Manuel";"The Matrix";"2"</v>
      </c>
      <c r="U396" t="str">
        <f t="shared" si="46"/>
        <v>Manuel</v>
      </c>
      <c r="V396" t="str">
        <f t="shared" si="47"/>
        <v>The Matrix</v>
      </c>
      <c r="W396">
        <f t="shared" si="48"/>
        <v>1</v>
      </c>
    </row>
    <row r="397" spans="1:23" x14ac:dyDescent="0.2">
      <c r="A397" s="6" t="s">
        <v>60</v>
      </c>
      <c r="B397" s="6">
        <v>1980</v>
      </c>
      <c r="C397" s="6"/>
      <c r="D397" s="6" t="s">
        <v>71</v>
      </c>
      <c r="E397" s="6" t="s">
        <v>3</v>
      </c>
      <c r="F397" s="6">
        <v>0</v>
      </c>
      <c r="G397" s="6"/>
      <c r="H397" s="6">
        <v>0</v>
      </c>
      <c r="I397" s="6"/>
      <c r="J397" s="6"/>
      <c r="K397" s="6"/>
      <c r="L397" s="6" t="str">
        <f t="shared" si="42"/>
        <v>Manuel</v>
      </c>
      <c r="M397" s="6" t="str">
        <f t="shared" si="43"/>
        <v>The Shining (Nicholson, Duvall)</v>
      </c>
      <c r="N397" s="9">
        <f t="shared" si="44"/>
        <v>0</v>
      </c>
      <c r="P397" t="str">
        <f t="shared" si="45"/>
        <v>"Manuel";"The Shining";"0"</v>
      </c>
      <c r="U397" t="str">
        <f t="shared" si="46"/>
        <v>Manuel</v>
      </c>
      <c r="V397" t="str">
        <f t="shared" si="47"/>
        <v>The Shining</v>
      </c>
      <c r="W397">
        <f t="shared" si="48"/>
        <v>0</v>
      </c>
    </row>
    <row r="398" spans="1:23" x14ac:dyDescent="0.2">
      <c r="A398" s="6" t="s">
        <v>61</v>
      </c>
      <c r="B398" s="6">
        <v>1984</v>
      </c>
      <c r="C398" s="6"/>
      <c r="D398" s="6" t="s">
        <v>71</v>
      </c>
      <c r="E398" s="6" t="s">
        <v>2</v>
      </c>
      <c r="F398" s="6">
        <v>1</v>
      </c>
      <c r="G398" s="6">
        <v>2</v>
      </c>
      <c r="H398" s="6">
        <v>2</v>
      </c>
      <c r="I398" s="6"/>
      <c r="J398" s="6"/>
      <c r="K398" s="6"/>
      <c r="L398" s="6" t="str">
        <f t="shared" si="42"/>
        <v>Manuel</v>
      </c>
      <c r="M398" s="6" t="str">
        <f t="shared" si="43"/>
        <v>The Terminator (Schwarzenegger, Hamilton)</v>
      </c>
      <c r="N398" s="9">
        <f t="shared" si="44"/>
        <v>2</v>
      </c>
      <c r="P398" t="str">
        <f t="shared" si="45"/>
        <v>"Manuel";"The Terminator";"2"</v>
      </c>
      <c r="U398" t="str">
        <f t="shared" si="46"/>
        <v>Manuel</v>
      </c>
      <c r="V398" t="str">
        <f t="shared" si="47"/>
        <v>The Terminator</v>
      </c>
      <c r="W398">
        <f t="shared" si="48"/>
        <v>1</v>
      </c>
    </row>
    <row r="399" spans="1:23" x14ac:dyDescent="0.2">
      <c r="A399" s="6" t="s">
        <v>62</v>
      </c>
      <c r="B399" s="6">
        <v>1986</v>
      </c>
      <c r="C399" s="6"/>
      <c r="D399" s="6" t="s">
        <v>71</v>
      </c>
      <c r="E399" s="6" t="s">
        <v>2</v>
      </c>
      <c r="F399" s="6">
        <v>1</v>
      </c>
      <c r="G399" s="6">
        <v>4</v>
      </c>
      <c r="H399" s="6">
        <v>4</v>
      </c>
      <c r="I399" s="6"/>
      <c r="J399" s="6"/>
      <c r="K399" s="6"/>
      <c r="L399" s="6" t="str">
        <f t="shared" si="42"/>
        <v>Manuel</v>
      </c>
      <c r="M399" s="6" t="str">
        <f t="shared" si="43"/>
        <v>Top Gun (Cruise, McGillis)</v>
      </c>
      <c r="N399" s="9">
        <f t="shared" si="44"/>
        <v>4</v>
      </c>
      <c r="P399" t="str">
        <f t="shared" si="45"/>
        <v>"Manuel";"Top Gun";"4"</v>
      </c>
      <c r="U399" t="str">
        <f t="shared" si="46"/>
        <v>Manuel</v>
      </c>
      <c r="V399" t="str">
        <f t="shared" si="47"/>
        <v>Top Gun</v>
      </c>
      <c r="W399">
        <f t="shared" si="48"/>
        <v>1</v>
      </c>
    </row>
    <row r="400" spans="1:23" x14ac:dyDescent="0.2">
      <c r="A400" s="6" t="s">
        <v>63</v>
      </c>
      <c r="B400" s="6">
        <v>1995</v>
      </c>
      <c r="C400" s="6"/>
      <c r="D400" s="6" t="s">
        <v>71</v>
      </c>
      <c r="E400" s="6" t="s">
        <v>2</v>
      </c>
      <c r="F400" s="6">
        <v>1</v>
      </c>
      <c r="G400" s="6">
        <v>3</v>
      </c>
      <c r="H400" s="6">
        <v>3</v>
      </c>
      <c r="I400" s="6"/>
      <c r="J400" s="6"/>
      <c r="K400" s="6"/>
      <c r="L400" s="6" t="str">
        <f t="shared" si="42"/>
        <v>Manuel</v>
      </c>
      <c r="M400" s="6" t="str">
        <f t="shared" si="43"/>
        <v>Toy Story (Pixar)</v>
      </c>
      <c r="N400" s="9">
        <f t="shared" si="44"/>
        <v>3</v>
      </c>
      <c r="P400" t="str">
        <f t="shared" si="45"/>
        <v>"Manuel";"Toy Story";"3"</v>
      </c>
      <c r="U400" t="str">
        <f t="shared" si="46"/>
        <v>Manuel</v>
      </c>
      <c r="V400" t="str">
        <f t="shared" si="47"/>
        <v>Toy Story</v>
      </c>
      <c r="W400">
        <f t="shared" si="48"/>
        <v>1</v>
      </c>
    </row>
    <row r="401" spans="1:23" x14ac:dyDescent="0.2">
      <c r="A401" s="6" t="s">
        <v>8</v>
      </c>
      <c r="B401" s="6">
        <v>1968</v>
      </c>
      <c r="C401" s="6"/>
      <c r="D401" s="6" t="s">
        <v>72</v>
      </c>
      <c r="E401" s="6" t="s">
        <v>3</v>
      </c>
      <c r="F401" s="6">
        <v>0</v>
      </c>
      <c r="G401" s="6"/>
      <c r="H401" s="6">
        <v>0</v>
      </c>
      <c r="I401" s="6"/>
      <c r="J401" s="6"/>
      <c r="K401" s="6"/>
      <c r="L401" s="6" t="str">
        <f t="shared" si="42"/>
        <v>Stefan Gallistl</v>
      </c>
      <c r="M401" s="6" t="str">
        <f t="shared" si="43"/>
        <v>2001: A Space Odyssey (Duella, Lockwood)</v>
      </c>
      <c r="N401" s="9">
        <f t="shared" si="44"/>
        <v>0</v>
      </c>
      <c r="P401" t="str">
        <f t="shared" si="45"/>
        <v>"Stefan Gallistl";"2001: A Space Odyssey";"0"</v>
      </c>
      <c r="U401" t="str">
        <f t="shared" si="46"/>
        <v>Stefan Gallistl</v>
      </c>
      <c r="V401" t="str">
        <f t="shared" si="47"/>
        <v>2001: A Space Odyssey</v>
      </c>
      <c r="W401">
        <f t="shared" si="48"/>
        <v>0</v>
      </c>
    </row>
    <row r="402" spans="1:23" x14ac:dyDescent="0.2">
      <c r="A402" s="6" t="s">
        <v>9</v>
      </c>
      <c r="B402" s="6">
        <v>1971</v>
      </c>
      <c r="C402" s="6"/>
      <c r="D402" s="6" t="s">
        <v>72</v>
      </c>
      <c r="E402" s="6" t="s">
        <v>3</v>
      </c>
      <c r="F402" s="6">
        <v>0</v>
      </c>
      <c r="G402" s="6"/>
      <c r="H402" s="6">
        <v>0</v>
      </c>
      <c r="I402" s="6"/>
      <c r="J402" s="6"/>
      <c r="K402" s="6"/>
      <c r="L402" s="6" t="str">
        <f t="shared" si="42"/>
        <v>Stefan Gallistl</v>
      </c>
      <c r="M402" s="6" t="str">
        <f t="shared" si="43"/>
        <v>A Clockwork Orange (McDowell, Magee)</v>
      </c>
      <c r="N402" s="9">
        <f t="shared" si="44"/>
        <v>0</v>
      </c>
      <c r="P402" t="str">
        <f t="shared" si="45"/>
        <v>"Stefan Gallistl";"A Clockwork Orange";"0"</v>
      </c>
      <c r="U402" t="str">
        <f t="shared" si="46"/>
        <v>Stefan Gallistl</v>
      </c>
      <c r="V402" t="str">
        <f t="shared" si="47"/>
        <v>A Clockwork Orange</v>
      </c>
      <c r="W402">
        <f t="shared" si="48"/>
        <v>0</v>
      </c>
    </row>
    <row r="403" spans="1:23" x14ac:dyDescent="0.2">
      <c r="A403" s="6" t="s">
        <v>10</v>
      </c>
      <c r="B403" s="6">
        <v>2018</v>
      </c>
      <c r="C403" s="6"/>
      <c r="D403" s="6" t="s">
        <v>72</v>
      </c>
      <c r="E403" s="6" t="s">
        <v>3</v>
      </c>
      <c r="F403" s="6">
        <v>0</v>
      </c>
      <c r="G403" s="6"/>
      <c r="H403" s="6">
        <v>0</v>
      </c>
      <c r="I403" s="6"/>
      <c r="J403" s="6"/>
      <c r="K403" s="6"/>
      <c r="L403" s="6" t="str">
        <f t="shared" si="42"/>
        <v>Stefan Gallistl</v>
      </c>
      <c r="M403" s="6" t="str">
        <f t="shared" si="43"/>
        <v>A star is born (Gaga, Cooper)</v>
      </c>
      <c r="N403" s="9">
        <f t="shared" si="44"/>
        <v>0</v>
      </c>
      <c r="P403" t="str">
        <f t="shared" si="45"/>
        <v>"Stefan Gallistl";"A star is born";"0"</v>
      </c>
      <c r="U403" t="str">
        <f t="shared" si="46"/>
        <v>Stefan Gallistl</v>
      </c>
      <c r="V403" t="str">
        <f t="shared" si="47"/>
        <v>A star is born</v>
      </c>
      <c r="W403">
        <f t="shared" si="48"/>
        <v>0</v>
      </c>
    </row>
    <row r="404" spans="1:23" x14ac:dyDescent="0.2">
      <c r="A404" s="6" t="s">
        <v>11</v>
      </c>
      <c r="B404" s="6">
        <v>2005</v>
      </c>
      <c r="C404" s="6"/>
      <c r="D404" s="6" t="s">
        <v>72</v>
      </c>
      <c r="E404" s="6" t="s">
        <v>2</v>
      </c>
      <c r="F404" s="6">
        <v>1</v>
      </c>
      <c r="G404" s="6">
        <v>4</v>
      </c>
      <c r="H404" s="6">
        <v>4</v>
      </c>
      <c r="I404" s="6"/>
      <c r="J404" s="6"/>
      <c r="K404" s="6"/>
      <c r="L404" s="6" t="str">
        <f t="shared" si="42"/>
        <v>Stefan Gallistl</v>
      </c>
      <c r="M404" s="6" t="str">
        <f t="shared" si="43"/>
        <v>Aeon Flux (Theron, Csokas)</v>
      </c>
      <c r="N404" s="9">
        <f t="shared" si="44"/>
        <v>4</v>
      </c>
      <c r="P404" t="str">
        <f t="shared" si="45"/>
        <v>"Stefan Gallistl";"Aeon Flux";"4"</v>
      </c>
      <c r="U404" t="str">
        <f t="shared" si="46"/>
        <v>Stefan Gallistl</v>
      </c>
      <c r="V404" t="str">
        <f t="shared" si="47"/>
        <v>Aeon Flux</v>
      </c>
      <c r="W404">
        <f t="shared" si="48"/>
        <v>1</v>
      </c>
    </row>
    <row r="405" spans="1:23" x14ac:dyDescent="0.2">
      <c r="A405" s="6" t="s">
        <v>12</v>
      </c>
      <c r="B405" s="6">
        <v>1951</v>
      </c>
      <c r="C405" s="6"/>
      <c r="D405" s="6" t="s">
        <v>72</v>
      </c>
      <c r="E405" s="6" t="s">
        <v>3</v>
      </c>
      <c r="F405" s="6">
        <v>0</v>
      </c>
      <c r="G405" s="6"/>
      <c r="H405" s="6">
        <v>0</v>
      </c>
      <c r="I405" s="6"/>
      <c r="J405" s="6"/>
      <c r="K405" s="6"/>
      <c r="L405" s="6" t="str">
        <f t="shared" si="42"/>
        <v>Stefan Gallistl</v>
      </c>
      <c r="M405" s="6" t="str">
        <f t="shared" si="43"/>
        <v>African Queen (Bogart, Hepburn)</v>
      </c>
      <c r="N405" s="9">
        <f t="shared" si="44"/>
        <v>0</v>
      </c>
      <c r="P405" t="str">
        <f t="shared" si="45"/>
        <v>"Stefan Gallistl";"African Queen";"0"</v>
      </c>
      <c r="U405" t="str">
        <f t="shared" si="46"/>
        <v>Stefan Gallistl</v>
      </c>
      <c r="V405" t="str">
        <f t="shared" si="47"/>
        <v>African Queen</v>
      </c>
      <c r="W405">
        <f t="shared" si="48"/>
        <v>0</v>
      </c>
    </row>
    <row r="406" spans="1:23" x14ac:dyDescent="0.2">
      <c r="A406" s="6" t="s">
        <v>13</v>
      </c>
      <c r="B406" s="6">
        <v>1979</v>
      </c>
      <c r="C406" s="6"/>
      <c r="D406" s="6" t="s">
        <v>72</v>
      </c>
      <c r="E406" s="6" t="s">
        <v>2</v>
      </c>
      <c r="F406" s="6">
        <v>1</v>
      </c>
      <c r="G406" s="6">
        <v>4</v>
      </c>
      <c r="H406" s="6">
        <v>4</v>
      </c>
      <c r="I406" s="6"/>
      <c r="J406" s="6"/>
      <c r="K406" s="6"/>
      <c r="L406" s="6" t="str">
        <f t="shared" si="42"/>
        <v>Stefan Gallistl</v>
      </c>
      <c r="M406" s="6" t="str">
        <f t="shared" si="43"/>
        <v>Alien (Weaver, Skerritt)</v>
      </c>
      <c r="N406" s="9">
        <f t="shared" si="44"/>
        <v>4</v>
      </c>
      <c r="P406" t="str">
        <f t="shared" si="45"/>
        <v>"Stefan Gallistl";"Alien";"4"</v>
      </c>
      <c r="U406" t="str">
        <f t="shared" si="46"/>
        <v>Stefan Gallistl</v>
      </c>
      <c r="V406" t="str">
        <f t="shared" si="47"/>
        <v>Alien</v>
      </c>
      <c r="W406">
        <f t="shared" si="48"/>
        <v>1</v>
      </c>
    </row>
    <row r="407" spans="1:23" x14ac:dyDescent="0.2">
      <c r="A407" s="6" t="s">
        <v>14</v>
      </c>
      <c r="B407" s="6">
        <v>1960</v>
      </c>
      <c r="C407" s="6"/>
      <c r="D407" s="6" t="s">
        <v>72</v>
      </c>
      <c r="E407" s="6" t="s">
        <v>3</v>
      </c>
      <c r="F407" s="6">
        <v>0</v>
      </c>
      <c r="G407" s="6"/>
      <c r="H407" s="6">
        <v>0</v>
      </c>
      <c r="I407" s="6"/>
      <c r="J407" s="6"/>
      <c r="K407" s="6"/>
      <c r="L407" s="6" t="str">
        <f t="shared" si="42"/>
        <v>Stefan Gallistl</v>
      </c>
      <c r="M407" s="6" t="str">
        <f t="shared" si="43"/>
        <v>Apartment (Lemmon, MacLaine)</v>
      </c>
      <c r="N407" s="9">
        <f t="shared" si="44"/>
        <v>0</v>
      </c>
      <c r="P407" t="str">
        <f t="shared" si="45"/>
        <v>"Stefan Gallistl";"Apartment";"0"</v>
      </c>
      <c r="U407" t="str">
        <f t="shared" si="46"/>
        <v>Stefan Gallistl</v>
      </c>
      <c r="V407" t="str">
        <f t="shared" si="47"/>
        <v>Apartment</v>
      </c>
      <c r="W407">
        <f t="shared" si="48"/>
        <v>0</v>
      </c>
    </row>
    <row r="408" spans="1:23" x14ac:dyDescent="0.2">
      <c r="A408" s="6" t="s">
        <v>15</v>
      </c>
      <c r="B408" s="6">
        <v>1979</v>
      </c>
      <c r="C408" s="6"/>
      <c r="D408" s="6" t="s">
        <v>72</v>
      </c>
      <c r="E408" s="6" t="s">
        <v>3</v>
      </c>
      <c r="F408" s="6">
        <v>0</v>
      </c>
      <c r="G408" s="6"/>
      <c r="H408" s="6">
        <v>0</v>
      </c>
      <c r="I408" s="6"/>
      <c r="J408" s="6"/>
      <c r="K408" s="6"/>
      <c r="L408" s="6" t="str">
        <f t="shared" si="42"/>
        <v>Stefan Gallistl</v>
      </c>
      <c r="M408" s="6" t="str">
        <f t="shared" si="43"/>
        <v>Apocalypse Now (Sheen, Brando)</v>
      </c>
      <c r="N408" s="9">
        <f t="shared" si="44"/>
        <v>0</v>
      </c>
      <c r="P408" t="str">
        <f t="shared" si="45"/>
        <v>"Stefan Gallistl";"Apocalypse Now";"0"</v>
      </c>
      <c r="U408" t="str">
        <f t="shared" si="46"/>
        <v>Stefan Gallistl</v>
      </c>
      <c r="V408" t="str">
        <f t="shared" si="47"/>
        <v>Apocalypse Now</v>
      </c>
      <c r="W408">
        <f t="shared" si="48"/>
        <v>0</v>
      </c>
    </row>
    <row r="409" spans="1:23" x14ac:dyDescent="0.2">
      <c r="A409" s="6" t="s">
        <v>16</v>
      </c>
      <c r="B409" s="6">
        <v>1956</v>
      </c>
      <c r="C409" s="6"/>
      <c r="D409" s="6" t="s">
        <v>72</v>
      </c>
      <c r="E409" s="6" t="s">
        <v>3</v>
      </c>
      <c r="F409" s="6">
        <v>0</v>
      </c>
      <c r="G409" s="6"/>
      <c r="H409" s="6">
        <v>0</v>
      </c>
      <c r="I409" s="6"/>
      <c r="J409" s="6"/>
      <c r="K409" s="6"/>
      <c r="L409" s="6" t="str">
        <f t="shared" si="42"/>
        <v>Stefan Gallistl</v>
      </c>
      <c r="M409" s="6" t="str">
        <f t="shared" si="43"/>
        <v>Around The World In 80 Days (Niven, Cantinflas)</v>
      </c>
      <c r="N409" s="9">
        <f t="shared" si="44"/>
        <v>0</v>
      </c>
      <c r="P409" t="str">
        <f t="shared" si="45"/>
        <v>"Stefan Gallistl";"Around The World In 80 Days";"0"</v>
      </c>
      <c r="U409" t="str">
        <f t="shared" si="46"/>
        <v>Stefan Gallistl</v>
      </c>
      <c r="V409" t="str">
        <f t="shared" si="47"/>
        <v>Around The World In 80 Days</v>
      </c>
      <c r="W409">
        <f t="shared" si="48"/>
        <v>0</v>
      </c>
    </row>
    <row r="410" spans="1:23" x14ac:dyDescent="0.2">
      <c r="A410" s="6" t="s">
        <v>17</v>
      </c>
      <c r="B410" s="6">
        <v>2009</v>
      </c>
      <c r="C410" s="6"/>
      <c r="D410" s="6" t="s">
        <v>72</v>
      </c>
      <c r="E410" s="6" t="s">
        <v>2</v>
      </c>
      <c r="F410" s="6">
        <v>1</v>
      </c>
      <c r="G410" s="6">
        <v>5</v>
      </c>
      <c r="H410" s="6">
        <v>5</v>
      </c>
      <c r="I410" s="6"/>
      <c r="J410" s="6"/>
      <c r="K410" s="6"/>
      <c r="L410" s="6" t="str">
        <f t="shared" si="42"/>
        <v>Stefan Gallistl</v>
      </c>
      <c r="M410" s="6" t="str">
        <f t="shared" si="43"/>
        <v>Avatar (Worthington, Saldana)</v>
      </c>
      <c r="N410" s="9">
        <f t="shared" si="44"/>
        <v>5</v>
      </c>
      <c r="P410" t="str">
        <f t="shared" si="45"/>
        <v>"Stefan Gallistl";"Avatar";"5"</v>
      </c>
      <c r="U410" t="str">
        <f t="shared" si="46"/>
        <v>Stefan Gallistl</v>
      </c>
      <c r="V410" t="str">
        <f t="shared" si="47"/>
        <v>Avatar</v>
      </c>
      <c r="W410">
        <f t="shared" si="48"/>
        <v>1</v>
      </c>
    </row>
    <row r="411" spans="1:23" x14ac:dyDescent="0.2">
      <c r="A411" s="6" t="s">
        <v>18</v>
      </c>
      <c r="B411" s="6">
        <v>1989</v>
      </c>
      <c r="C411" s="6"/>
      <c r="D411" s="6" t="s">
        <v>72</v>
      </c>
      <c r="E411" s="6" t="s">
        <v>3</v>
      </c>
      <c r="F411" s="6">
        <v>0</v>
      </c>
      <c r="G411" s="6"/>
      <c r="H411" s="6">
        <v>0</v>
      </c>
      <c r="I411" s="6"/>
      <c r="J411" s="6"/>
      <c r="K411" s="6"/>
      <c r="L411" s="6" t="str">
        <f t="shared" si="42"/>
        <v>Stefan Gallistl</v>
      </c>
      <c r="M411" s="6" t="str">
        <f t="shared" si="43"/>
        <v>Batman (Keaton, Nicholson, Basinger)</v>
      </c>
      <c r="N411" s="9">
        <f t="shared" si="44"/>
        <v>0</v>
      </c>
      <c r="P411" t="str">
        <f t="shared" si="45"/>
        <v>"Stefan Gallistl";"Batman";"0"</v>
      </c>
      <c r="U411" t="str">
        <f t="shared" si="46"/>
        <v>Stefan Gallistl</v>
      </c>
      <c r="V411" t="str">
        <f t="shared" si="47"/>
        <v>Batman</v>
      </c>
      <c r="W411">
        <f t="shared" si="48"/>
        <v>0</v>
      </c>
    </row>
    <row r="412" spans="1:23" x14ac:dyDescent="0.2">
      <c r="A412" s="6" t="s">
        <v>19</v>
      </c>
      <c r="B412" s="6">
        <v>1982</v>
      </c>
      <c r="C412" s="6"/>
      <c r="D412" s="6" t="s">
        <v>72</v>
      </c>
      <c r="E412" s="6" t="s">
        <v>3</v>
      </c>
      <c r="F412" s="6">
        <v>0</v>
      </c>
      <c r="G412" s="6"/>
      <c r="H412" s="6">
        <v>0</v>
      </c>
      <c r="I412" s="6"/>
      <c r="J412" s="6"/>
      <c r="K412" s="6"/>
      <c r="L412" s="6" t="str">
        <f t="shared" si="42"/>
        <v>Stefan Gallistl</v>
      </c>
      <c r="M412" s="6" t="str">
        <f t="shared" si="43"/>
        <v>Blade Runner (Ford, Hauer)</v>
      </c>
      <c r="N412" s="9">
        <f t="shared" si="44"/>
        <v>0</v>
      </c>
      <c r="P412" t="str">
        <f t="shared" si="45"/>
        <v>"Stefan Gallistl";"Blade Runner";"0"</v>
      </c>
      <c r="U412" t="str">
        <f t="shared" si="46"/>
        <v>Stefan Gallistl</v>
      </c>
      <c r="V412" t="str">
        <f t="shared" si="47"/>
        <v>Blade Runner</v>
      </c>
      <c r="W412">
        <f t="shared" si="48"/>
        <v>0</v>
      </c>
    </row>
    <row r="413" spans="1:23" x14ac:dyDescent="0.2">
      <c r="A413" s="6" t="s">
        <v>20</v>
      </c>
      <c r="B413" s="6">
        <v>2018</v>
      </c>
      <c r="C413" s="6"/>
      <c r="D413" s="6" t="s">
        <v>72</v>
      </c>
      <c r="E413" s="6" t="s">
        <v>3</v>
      </c>
      <c r="F413" s="6">
        <v>0</v>
      </c>
      <c r="G413" s="6"/>
      <c r="H413" s="6">
        <v>0</v>
      </c>
      <c r="I413" s="6"/>
      <c r="J413" s="6"/>
      <c r="K413" s="6"/>
      <c r="L413" s="6" t="str">
        <f t="shared" si="42"/>
        <v>Stefan Gallistl</v>
      </c>
      <c r="M413" s="6" t="str">
        <f t="shared" si="43"/>
        <v>Bohemian Rhapsody (Malek, Boynton)</v>
      </c>
      <c r="N413" s="9">
        <f t="shared" si="44"/>
        <v>0</v>
      </c>
      <c r="P413" t="str">
        <f t="shared" si="45"/>
        <v>"Stefan Gallistl";"Bohemian Rhapsody";"0"</v>
      </c>
      <c r="U413" t="str">
        <f t="shared" si="46"/>
        <v>Stefan Gallistl</v>
      </c>
      <c r="V413" t="str">
        <f t="shared" si="47"/>
        <v>Bohemian Rhapsody</v>
      </c>
      <c r="W413">
        <f t="shared" si="48"/>
        <v>0</v>
      </c>
    </row>
    <row r="414" spans="1:23" x14ac:dyDescent="0.2">
      <c r="A414" s="6" t="s">
        <v>21</v>
      </c>
      <c r="B414" s="6">
        <v>2011</v>
      </c>
      <c r="C414" s="6"/>
      <c r="D414" s="6" t="s">
        <v>72</v>
      </c>
      <c r="E414" s="6" t="s">
        <v>2</v>
      </c>
      <c r="F414" s="6">
        <v>1</v>
      </c>
      <c r="G414" s="6">
        <v>4</v>
      </c>
      <c r="H414" s="6">
        <v>4</v>
      </c>
      <c r="I414" s="6"/>
      <c r="J414" s="6"/>
      <c r="K414" s="6"/>
      <c r="L414" s="6" t="str">
        <f t="shared" si="42"/>
        <v>Stefan Gallistl</v>
      </c>
      <c r="M414" s="6" t="str">
        <f t="shared" si="43"/>
        <v>Captain America (Evans, Waeving)</v>
      </c>
      <c r="N414" s="9">
        <f t="shared" si="44"/>
        <v>4</v>
      </c>
      <c r="P414" t="str">
        <f t="shared" si="45"/>
        <v>"Stefan Gallistl";"Captain America";"4"</v>
      </c>
      <c r="U414" t="str">
        <f t="shared" si="46"/>
        <v>Stefan Gallistl</v>
      </c>
      <c r="V414" t="str">
        <f t="shared" si="47"/>
        <v>Captain America</v>
      </c>
      <c r="W414">
        <f t="shared" si="48"/>
        <v>1</v>
      </c>
    </row>
    <row r="415" spans="1:23" x14ac:dyDescent="0.2">
      <c r="A415" s="6" t="s">
        <v>22</v>
      </c>
      <c r="B415" s="6">
        <v>2000</v>
      </c>
      <c r="C415" s="6"/>
      <c r="D415" s="6" t="s">
        <v>72</v>
      </c>
      <c r="E415" s="6" t="s">
        <v>2</v>
      </c>
      <c r="F415" s="6">
        <v>1</v>
      </c>
      <c r="G415" s="6">
        <v>5</v>
      </c>
      <c r="H415" s="6">
        <v>5</v>
      </c>
      <c r="I415" s="6"/>
      <c r="J415" s="6"/>
      <c r="K415" s="6"/>
      <c r="L415" s="6" t="str">
        <f t="shared" si="42"/>
        <v>Stefan Gallistl</v>
      </c>
      <c r="M415" s="6" t="str">
        <f t="shared" si="43"/>
        <v>Cast Away (Hanks, Hunt)</v>
      </c>
      <c r="N415" s="9">
        <f t="shared" si="44"/>
        <v>5</v>
      </c>
      <c r="P415" t="str">
        <f t="shared" si="45"/>
        <v>"Stefan Gallistl";"Cast Away";"5"</v>
      </c>
      <c r="U415" t="str">
        <f t="shared" si="46"/>
        <v>Stefan Gallistl</v>
      </c>
      <c r="V415" t="str">
        <f t="shared" si="47"/>
        <v>Cast Away</v>
      </c>
      <c r="W415">
        <f t="shared" si="48"/>
        <v>1</v>
      </c>
    </row>
    <row r="416" spans="1:23" x14ac:dyDescent="0.2">
      <c r="A416" s="6" t="s">
        <v>23</v>
      </c>
      <c r="B416" s="6">
        <v>1958</v>
      </c>
      <c r="C416" s="6"/>
      <c r="D416" s="6" t="s">
        <v>72</v>
      </c>
      <c r="E416" s="6" t="s">
        <v>3</v>
      </c>
      <c r="F416" s="6">
        <v>0</v>
      </c>
      <c r="G416" s="6"/>
      <c r="H416" s="6">
        <v>0</v>
      </c>
      <c r="I416" s="6"/>
      <c r="J416" s="6"/>
      <c r="K416" s="6"/>
      <c r="L416" s="6" t="str">
        <f t="shared" si="42"/>
        <v>Stefan Gallistl</v>
      </c>
      <c r="M416" s="6" t="str">
        <f t="shared" si="43"/>
        <v>Cat On Hot Tin Roof (Taylor, Newman)</v>
      </c>
      <c r="N416" s="9">
        <f t="shared" si="44"/>
        <v>0</v>
      </c>
      <c r="P416" t="str">
        <f t="shared" si="45"/>
        <v>"Stefan Gallistl";"Cat On Hot Tin Roof";"0"</v>
      </c>
      <c r="U416" t="str">
        <f t="shared" si="46"/>
        <v>Stefan Gallistl</v>
      </c>
      <c r="V416" t="str">
        <f t="shared" si="47"/>
        <v>Cat On Hot Tin Roof</v>
      </c>
      <c r="W416">
        <f t="shared" si="48"/>
        <v>0</v>
      </c>
    </row>
    <row r="417" spans="1:23" x14ac:dyDescent="0.2">
      <c r="A417" s="6" t="s">
        <v>24</v>
      </c>
      <c r="B417" s="6">
        <v>1963</v>
      </c>
      <c r="C417" s="6"/>
      <c r="D417" s="6" t="s">
        <v>72</v>
      </c>
      <c r="E417" s="6" t="s">
        <v>3</v>
      </c>
      <c r="F417" s="6">
        <v>0</v>
      </c>
      <c r="G417" s="6"/>
      <c r="H417" s="6">
        <v>0</v>
      </c>
      <c r="I417" s="6"/>
      <c r="J417" s="6"/>
      <c r="K417" s="6"/>
      <c r="L417" s="6" t="str">
        <f t="shared" si="42"/>
        <v>Stefan Gallistl</v>
      </c>
      <c r="M417" s="6" t="str">
        <f t="shared" si="43"/>
        <v>Charade (Grant, Hepburn)</v>
      </c>
      <c r="N417" s="9">
        <f t="shared" si="44"/>
        <v>0</v>
      </c>
      <c r="P417" t="str">
        <f t="shared" si="45"/>
        <v>"Stefan Gallistl";"Charade";"0"</v>
      </c>
      <c r="U417" t="str">
        <f t="shared" si="46"/>
        <v>Stefan Gallistl</v>
      </c>
      <c r="V417" t="str">
        <f t="shared" si="47"/>
        <v>Charade</v>
      </c>
      <c r="W417">
        <f t="shared" si="48"/>
        <v>0</v>
      </c>
    </row>
    <row r="418" spans="1:23" x14ac:dyDescent="0.2">
      <c r="A418" s="6" t="s">
        <v>25</v>
      </c>
      <c r="B418" s="6">
        <v>2000</v>
      </c>
      <c r="C418" s="6"/>
      <c r="D418" s="6" t="s">
        <v>72</v>
      </c>
      <c r="E418" s="6" t="s">
        <v>2</v>
      </c>
      <c r="F418" s="6">
        <v>1</v>
      </c>
      <c r="G418" s="6">
        <v>3</v>
      </c>
      <c r="H418" s="6">
        <v>3</v>
      </c>
      <c r="I418" s="6"/>
      <c r="J418" s="6"/>
      <c r="K418" s="6"/>
      <c r="L418" s="6" t="str">
        <f t="shared" si="42"/>
        <v>Stefan Gallistl</v>
      </c>
      <c r="M418" s="6" t="str">
        <f t="shared" si="43"/>
        <v>Charlies Angels (Diaz, Barrymore, Liu)</v>
      </c>
      <c r="N418" s="9">
        <f t="shared" si="44"/>
        <v>3</v>
      </c>
      <c r="P418" t="str">
        <f t="shared" si="45"/>
        <v>"Stefan Gallistl";"Charlies Angels";"3"</v>
      </c>
      <c r="U418" t="str">
        <f t="shared" si="46"/>
        <v>Stefan Gallistl</v>
      </c>
      <c r="V418" t="str">
        <f t="shared" si="47"/>
        <v>Charlies Angels</v>
      </c>
      <c r="W418">
        <f t="shared" si="48"/>
        <v>1</v>
      </c>
    </row>
    <row r="419" spans="1:23" x14ac:dyDescent="0.2">
      <c r="A419" s="6" t="s">
        <v>26</v>
      </c>
      <c r="B419" s="6">
        <v>1974</v>
      </c>
      <c r="C419" s="6"/>
      <c r="D419" s="6" t="s">
        <v>72</v>
      </c>
      <c r="E419" s="6" t="s">
        <v>3</v>
      </c>
      <c r="F419" s="6">
        <v>0</v>
      </c>
      <c r="G419" s="6"/>
      <c r="H419" s="6">
        <v>0</v>
      </c>
      <c r="I419" s="6"/>
      <c r="J419" s="6"/>
      <c r="K419" s="6"/>
      <c r="L419" s="6" t="str">
        <f t="shared" si="42"/>
        <v>Stefan Gallistl</v>
      </c>
      <c r="M419" s="6" t="str">
        <f t="shared" si="43"/>
        <v>Chinatown (Nicholson, Dunaway)</v>
      </c>
      <c r="N419" s="9">
        <f t="shared" si="44"/>
        <v>0</v>
      </c>
      <c r="P419" t="str">
        <f t="shared" si="45"/>
        <v>"Stefan Gallistl";"Chinatown";"0"</v>
      </c>
      <c r="U419" t="str">
        <f t="shared" si="46"/>
        <v>Stefan Gallistl</v>
      </c>
      <c r="V419" t="str">
        <f t="shared" si="47"/>
        <v>Chinatown</v>
      </c>
      <c r="W419">
        <f t="shared" si="48"/>
        <v>0</v>
      </c>
    </row>
    <row r="420" spans="1:23" x14ac:dyDescent="0.2">
      <c r="A420" s="6" t="s">
        <v>27</v>
      </c>
      <c r="B420" s="6">
        <v>1986</v>
      </c>
      <c r="C420" s="6"/>
      <c r="D420" s="6" t="s">
        <v>72</v>
      </c>
      <c r="E420" s="6" t="s">
        <v>3</v>
      </c>
      <c r="F420" s="6">
        <v>0</v>
      </c>
      <c r="G420" s="6"/>
      <c r="H420" s="6">
        <v>0</v>
      </c>
      <c r="I420" s="6"/>
      <c r="J420" s="6"/>
      <c r="K420" s="6"/>
      <c r="L420" s="6" t="str">
        <f t="shared" si="42"/>
        <v>Stefan Gallistl</v>
      </c>
      <c r="M420" s="6" t="str">
        <f t="shared" si="43"/>
        <v>Clockwise (Gleese, Leatherbarrow)</v>
      </c>
      <c r="N420" s="9">
        <f t="shared" si="44"/>
        <v>0</v>
      </c>
      <c r="P420" t="str">
        <f t="shared" si="45"/>
        <v>"Stefan Gallistl";"Clockwise";"0"</v>
      </c>
      <c r="U420" t="str">
        <f t="shared" si="46"/>
        <v>Stefan Gallistl</v>
      </c>
      <c r="V420" t="str">
        <f t="shared" si="47"/>
        <v>Clockwise</v>
      </c>
      <c r="W420">
        <f t="shared" si="48"/>
        <v>0</v>
      </c>
    </row>
    <row r="421" spans="1:23" x14ac:dyDescent="0.2">
      <c r="A421" s="6" t="s">
        <v>28</v>
      </c>
      <c r="B421" s="6">
        <v>2011</v>
      </c>
      <c r="C421" s="6"/>
      <c r="D421" s="6" t="s">
        <v>72</v>
      </c>
      <c r="E421" s="6" t="s">
        <v>2</v>
      </c>
      <c r="F421" s="6">
        <v>1</v>
      </c>
      <c r="G421" s="6">
        <v>3</v>
      </c>
      <c r="H421" s="6">
        <v>3</v>
      </c>
      <c r="I421" s="6"/>
      <c r="J421" s="6"/>
      <c r="K421" s="6"/>
      <c r="L421" s="6" t="str">
        <f t="shared" si="42"/>
        <v>Stefan Gallistl</v>
      </c>
      <c r="M421" s="6" t="str">
        <f t="shared" si="43"/>
        <v>Colombiana (Saldana, Molla)</v>
      </c>
      <c r="N421" s="9">
        <f t="shared" si="44"/>
        <v>3</v>
      </c>
      <c r="P421" t="str">
        <f t="shared" si="45"/>
        <v>"Stefan Gallistl";"Colombiana";"3"</v>
      </c>
      <c r="U421" t="str">
        <f t="shared" si="46"/>
        <v>Stefan Gallistl</v>
      </c>
      <c r="V421" t="str">
        <f t="shared" si="47"/>
        <v>Colombiana</v>
      </c>
      <c r="W421">
        <f t="shared" si="48"/>
        <v>1</v>
      </c>
    </row>
    <row r="422" spans="1:23" x14ac:dyDescent="0.2">
      <c r="A422" s="6" t="s">
        <v>29</v>
      </c>
      <c r="B422" s="6">
        <v>1962</v>
      </c>
      <c r="C422" s="6"/>
      <c r="D422" s="6" t="s">
        <v>72</v>
      </c>
      <c r="E422" s="6" t="s">
        <v>3</v>
      </c>
      <c r="F422" s="6">
        <v>0</v>
      </c>
      <c r="G422" s="6"/>
      <c r="H422" s="6">
        <v>0</v>
      </c>
      <c r="I422" s="6"/>
      <c r="J422" s="6"/>
      <c r="K422" s="6"/>
      <c r="L422" s="6" t="str">
        <f t="shared" si="42"/>
        <v>Stefan Gallistl</v>
      </c>
      <c r="M422" s="6" t="str">
        <f t="shared" si="43"/>
        <v>Doctor No (Connery, Andress)</v>
      </c>
      <c r="N422" s="9">
        <f t="shared" si="44"/>
        <v>0</v>
      </c>
      <c r="P422" t="str">
        <f t="shared" si="45"/>
        <v>"Stefan Gallistl";"Doctor No";"0"</v>
      </c>
      <c r="U422" t="str">
        <f t="shared" si="46"/>
        <v>Stefan Gallistl</v>
      </c>
      <c r="V422" t="str">
        <f t="shared" si="47"/>
        <v>Doctor No</v>
      </c>
      <c r="W422">
        <f t="shared" si="48"/>
        <v>0</v>
      </c>
    </row>
    <row r="423" spans="1:23" x14ac:dyDescent="0.2">
      <c r="A423" s="6" t="s">
        <v>30</v>
      </c>
      <c r="B423" s="6">
        <v>1965</v>
      </c>
      <c r="C423" s="6"/>
      <c r="D423" s="6" t="s">
        <v>72</v>
      </c>
      <c r="E423" s="6" t="s">
        <v>3</v>
      </c>
      <c r="F423" s="6">
        <v>0</v>
      </c>
      <c r="G423" s="6"/>
      <c r="H423" s="6">
        <v>0</v>
      </c>
      <c r="I423" s="6"/>
      <c r="J423" s="6"/>
      <c r="K423" s="6"/>
      <c r="L423" s="6" t="str">
        <f t="shared" si="42"/>
        <v>Stefan Gallistl</v>
      </c>
      <c r="M423" s="6" t="str">
        <f t="shared" si="43"/>
        <v>Doctor Zhiwago (Sharif, Christie)</v>
      </c>
      <c r="N423" s="9">
        <f t="shared" si="44"/>
        <v>0</v>
      </c>
      <c r="P423" t="str">
        <f t="shared" si="45"/>
        <v>"Stefan Gallistl";"Doctor Zhiwago";"0"</v>
      </c>
      <c r="U423" t="str">
        <f t="shared" si="46"/>
        <v>Stefan Gallistl</v>
      </c>
      <c r="V423" t="str">
        <f t="shared" si="47"/>
        <v>Doctor Zhiwago</v>
      </c>
      <c r="W423">
        <f t="shared" si="48"/>
        <v>0</v>
      </c>
    </row>
    <row r="424" spans="1:23" x14ac:dyDescent="0.2">
      <c r="A424" s="6" t="s">
        <v>31</v>
      </c>
      <c r="B424" s="6">
        <v>1964</v>
      </c>
      <c r="C424" s="6"/>
      <c r="D424" s="6" t="s">
        <v>72</v>
      </c>
      <c r="E424" s="6" t="s">
        <v>3</v>
      </c>
      <c r="F424" s="6">
        <v>0</v>
      </c>
      <c r="G424" s="6"/>
      <c r="H424" s="6">
        <v>0</v>
      </c>
      <c r="I424" s="6"/>
      <c r="J424" s="6"/>
      <c r="K424" s="6"/>
      <c r="L424" s="6" t="str">
        <f t="shared" si="42"/>
        <v>Stefan Gallistl</v>
      </c>
      <c r="M424" s="6" t="str">
        <f t="shared" si="43"/>
        <v>Dr. Strangelove… (Sellers, Scott)</v>
      </c>
      <c r="N424" s="9">
        <f t="shared" si="44"/>
        <v>0</v>
      </c>
      <c r="P424" t="str">
        <f t="shared" si="45"/>
        <v>"Stefan Gallistl";"Dr. Strangelove…";"0"</v>
      </c>
      <c r="U424" t="str">
        <f t="shared" si="46"/>
        <v>Stefan Gallistl</v>
      </c>
      <c r="V424" t="str">
        <f t="shared" si="47"/>
        <v>Dr. Strangelove…</v>
      </c>
      <c r="W424">
        <f t="shared" si="48"/>
        <v>0</v>
      </c>
    </row>
    <row r="425" spans="1:23" x14ac:dyDescent="0.2">
      <c r="A425" s="6" t="s">
        <v>32</v>
      </c>
      <c r="B425" s="6">
        <v>2000</v>
      </c>
      <c r="C425" s="6"/>
      <c r="D425" s="6" t="s">
        <v>72</v>
      </c>
      <c r="E425" s="6" t="s">
        <v>3</v>
      </c>
      <c r="F425" s="6">
        <v>0</v>
      </c>
      <c r="G425" s="6"/>
      <c r="H425" s="6">
        <v>0</v>
      </c>
      <c r="I425" s="6"/>
      <c r="J425" s="6"/>
      <c r="K425" s="6"/>
      <c r="L425" s="6" t="str">
        <f t="shared" si="42"/>
        <v>Stefan Gallistl</v>
      </c>
      <c r="M425" s="6" t="str">
        <f t="shared" si="43"/>
        <v>Dr. T and the women (Gere, Hunt)</v>
      </c>
      <c r="N425" s="9">
        <f t="shared" si="44"/>
        <v>0</v>
      </c>
      <c r="P425" t="str">
        <f t="shared" si="45"/>
        <v>"Stefan Gallistl";"Dr. T and the women";"0"</v>
      </c>
      <c r="U425" t="str">
        <f t="shared" si="46"/>
        <v>Stefan Gallistl</v>
      </c>
      <c r="V425" t="str">
        <f t="shared" si="47"/>
        <v>Dr. T and the women</v>
      </c>
      <c r="W425">
        <f t="shared" si="48"/>
        <v>0</v>
      </c>
    </row>
    <row r="426" spans="1:23" x14ac:dyDescent="0.2">
      <c r="A426" s="6" t="s">
        <v>33</v>
      </c>
      <c r="B426" s="6">
        <v>1953</v>
      </c>
      <c r="C426" s="6"/>
      <c r="D426" s="6" t="s">
        <v>72</v>
      </c>
      <c r="E426" s="6" t="s">
        <v>3</v>
      </c>
      <c r="F426" s="6">
        <v>0</v>
      </c>
      <c r="G426" s="6"/>
      <c r="H426" s="6">
        <v>0</v>
      </c>
      <c r="I426" s="6"/>
      <c r="J426" s="6"/>
      <c r="K426" s="6"/>
      <c r="L426" s="6" t="str">
        <f t="shared" si="42"/>
        <v>Stefan Gallistl</v>
      </c>
      <c r="M426" s="6" t="str">
        <f t="shared" si="43"/>
        <v>Gentlemen Prefer Blondes (Monroe, Russell)</v>
      </c>
      <c r="N426" s="9">
        <f t="shared" si="44"/>
        <v>0</v>
      </c>
      <c r="P426" t="str">
        <f t="shared" si="45"/>
        <v>"Stefan Gallistl";"Gentlemen Prefer Blondes";"0"</v>
      </c>
      <c r="U426" t="str">
        <f t="shared" si="46"/>
        <v>Stefan Gallistl</v>
      </c>
      <c r="V426" t="str">
        <f t="shared" si="47"/>
        <v>Gentlemen Prefer Blondes</v>
      </c>
      <c r="W426">
        <f t="shared" si="48"/>
        <v>0</v>
      </c>
    </row>
    <row r="427" spans="1:23" x14ac:dyDescent="0.2">
      <c r="A427" s="6" t="s">
        <v>34</v>
      </c>
      <c r="B427" s="6">
        <v>2014</v>
      </c>
      <c r="C427" s="6"/>
      <c r="D427" s="6" t="s">
        <v>72</v>
      </c>
      <c r="E427" s="6" t="s">
        <v>2</v>
      </c>
      <c r="F427" s="6">
        <v>1</v>
      </c>
      <c r="G427" s="6">
        <v>4</v>
      </c>
      <c r="H427" s="6">
        <v>4</v>
      </c>
      <c r="I427" s="6"/>
      <c r="J427" s="6"/>
      <c r="K427" s="6"/>
      <c r="L427" s="6" t="str">
        <f t="shared" si="42"/>
        <v>Stefan Gallistl</v>
      </c>
      <c r="M427" s="6" t="str">
        <f t="shared" si="43"/>
        <v>Grand Budapest Hotel (Fiennes, Abraham)</v>
      </c>
      <c r="N427" s="9">
        <f t="shared" si="44"/>
        <v>4</v>
      </c>
      <c r="P427" t="str">
        <f t="shared" si="45"/>
        <v>"Stefan Gallistl";"Grand Budapest Hotel";"4"</v>
      </c>
      <c r="U427" t="str">
        <f t="shared" si="46"/>
        <v>Stefan Gallistl</v>
      </c>
      <c r="V427" t="str">
        <f t="shared" si="47"/>
        <v>Grand Budapest Hotel</v>
      </c>
      <c r="W427">
        <f t="shared" si="48"/>
        <v>1</v>
      </c>
    </row>
    <row r="428" spans="1:23" x14ac:dyDescent="0.2">
      <c r="A428" s="6" t="s">
        <v>35</v>
      </c>
      <c r="B428" s="6">
        <v>2001</v>
      </c>
      <c r="C428" s="6"/>
      <c r="D428" s="6" t="s">
        <v>72</v>
      </c>
      <c r="E428" s="6" t="s">
        <v>2</v>
      </c>
      <c r="F428" s="6">
        <v>1</v>
      </c>
      <c r="G428" s="6">
        <v>3</v>
      </c>
      <c r="H428" s="6">
        <v>3</v>
      </c>
      <c r="I428" s="6"/>
      <c r="J428" s="6"/>
      <c r="K428" s="6"/>
      <c r="L428" s="6" t="str">
        <f t="shared" si="42"/>
        <v>Stefan Gallistl</v>
      </c>
      <c r="M428" s="6" t="str">
        <f t="shared" si="43"/>
        <v>Harry Potter and the Philosopher's Stone (Radcliff, Harris)</v>
      </c>
      <c r="N428" s="9">
        <f t="shared" si="44"/>
        <v>3</v>
      </c>
      <c r="P428" t="str">
        <f t="shared" si="45"/>
        <v>"Stefan Gallistl";"Harry Potter and the Philosopher's Stone";"3"</v>
      </c>
      <c r="U428" t="str">
        <f t="shared" si="46"/>
        <v>Stefan Gallistl</v>
      </c>
      <c r="V428" t="str">
        <f t="shared" si="47"/>
        <v>Harry Potter and the Philosopher's Stone</v>
      </c>
      <c r="W428">
        <f t="shared" si="48"/>
        <v>1</v>
      </c>
    </row>
    <row r="429" spans="1:23" x14ac:dyDescent="0.2">
      <c r="A429" s="6" t="s">
        <v>36</v>
      </c>
      <c r="B429" s="6">
        <v>1950</v>
      </c>
      <c r="C429" s="6"/>
      <c r="D429" s="6" t="s">
        <v>72</v>
      </c>
      <c r="E429" s="6" t="s">
        <v>3</v>
      </c>
      <c r="F429" s="6">
        <v>0</v>
      </c>
      <c r="G429" s="6"/>
      <c r="H429" s="6">
        <v>0</v>
      </c>
      <c r="I429" s="6"/>
      <c r="J429" s="6"/>
      <c r="K429" s="6"/>
      <c r="L429" s="6" t="str">
        <f t="shared" si="42"/>
        <v>Stefan Gallistl</v>
      </c>
      <c r="M429" s="6" t="str">
        <f t="shared" si="43"/>
        <v>Harvey (Stewart, Hull)</v>
      </c>
      <c r="N429" s="9">
        <f t="shared" si="44"/>
        <v>0</v>
      </c>
      <c r="P429" t="str">
        <f t="shared" si="45"/>
        <v>"Stefan Gallistl";"Harvey";"0"</v>
      </c>
      <c r="U429" t="str">
        <f t="shared" si="46"/>
        <v>Stefan Gallistl</v>
      </c>
      <c r="V429" t="str">
        <f t="shared" si="47"/>
        <v>Harvey</v>
      </c>
      <c r="W429">
        <f t="shared" si="48"/>
        <v>0</v>
      </c>
    </row>
    <row r="430" spans="1:23" x14ac:dyDescent="0.2">
      <c r="A430" s="6" t="s">
        <v>37</v>
      </c>
      <c r="B430" s="6">
        <v>1962</v>
      </c>
      <c r="C430" s="6"/>
      <c r="D430" s="6" t="s">
        <v>72</v>
      </c>
      <c r="E430" s="6" t="s">
        <v>3</v>
      </c>
      <c r="F430" s="6">
        <v>0</v>
      </c>
      <c r="G430" s="6"/>
      <c r="H430" s="6">
        <v>0</v>
      </c>
      <c r="I430" s="6"/>
      <c r="J430" s="6"/>
      <c r="K430" s="6"/>
      <c r="L430" s="6" t="str">
        <f t="shared" si="42"/>
        <v>Stefan Gallistl</v>
      </c>
      <c r="M430" s="6" t="str">
        <f t="shared" si="43"/>
        <v>Hatari! (Wayne, Martinelli)</v>
      </c>
      <c r="N430" s="9">
        <f t="shared" si="44"/>
        <v>0</v>
      </c>
      <c r="P430" t="str">
        <f t="shared" si="45"/>
        <v>"Stefan Gallistl";"Hatari!";"0"</v>
      </c>
      <c r="U430" t="str">
        <f t="shared" si="46"/>
        <v>Stefan Gallistl</v>
      </c>
      <c r="V430" t="str">
        <f t="shared" si="47"/>
        <v>Hatari!</v>
      </c>
      <c r="W430">
        <f t="shared" si="48"/>
        <v>0</v>
      </c>
    </row>
    <row r="431" spans="1:23" x14ac:dyDescent="0.2">
      <c r="A431" s="6" t="s">
        <v>38</v>
      </c>
      <c r="B431" s="6">
        <v>1990</v>
      </c>
      <c r="C431" s="6"/>
      <c r="D431" s="6" t="s">
        <v>72</v>
      </c>
      <c r="E431" s="6" t="s">
        <v>2</v>
      </c>
      <c r="F431" s="6">
        <v>1</v>
      </c>
      <c r="G431" s="6">
        <v>4</v>
      </c>
      <c r="H431" s="6">
        <v>4</v>
      </c>
      <c r="I431" s="6"/>
      <c r="J431" s="6"/>
      <c r="K431" s="6"/>
      <c r="L431" s="6" t="str">
        <f t="shared" si="42"/>
        <v>Stefan Gallistl</v>
      </c>
      <c r="M431" s="6" t="str">
        <f t="shared" si="43"/>
        <v>Home alone (Culkin, Pesci)</v>
      </c>
      <c r="N431" s="9">
        <f t="shared" si="44"/>
        <v>4</v>
      </c>
      <c r="P431" t="str">
        <f t="shared" si="45"/>
        <v>"Stefan Gallistl";"Home alone";"4"</v>
      </c>
      <c r="U431" t="str">
        <f t="shared" si="46"/>
        <v>Stefan Gallistl</v>
      </c>
      <c r="V431" t="str">
        <f t="shared" si="47"/>
        <v>Home alone</v>
      </c>
      <c r="W431">
        <f t="shared" si="48"/>
        <v>1</v>
      </c>
    </row>
    <row r="432" spans="1:23" x14ac:dyDescent="0.2">
      <c r="A432" s="6" t="s">
        <v>39</v>
      </c>
      <c r="B432" s="6">
        <v>2004</v>
      </c>
      <c r="C432" s="6"/>
      <c r="D432" s="6" t="s">
        <v>72</v>
      </c>
      <c r="E432" s="6" t="s">
        <v>2</v>
      </c>
      <c r="F432" s="6">
        <v>1</v>
      </c>
      <c r="G432" s="6">
        <v>4</v>
      </c>
      <c r="H432" s="6">
        <v>4</v>
      </c>
      <c r="I432" s="6"/>
      <c r="J432" s="6"/>
      <c r="K432" s="6"/>
      <c r="L432" s="6" t="str">
        <f t="shared" si="42"/>
        <v>Stefan Gallistl</v>
      </c>
      <c r="M432" s="6" t="str">
        <f t="shared" si="43"/>
        <v>I, Robot (Smith, Moynahan)</v>
      </c>
      <c r="N432" s="9">
        <f t="shared" si="44"/>
        <v>4</v>
      </c>
      <c r="P432" t="str">
        <f t="shared" si="45"/>
        <v>"Stefan Gallistl";"I, Robot";"4"</v>
      </c>
      <c r="U432" t="str">
        <f t="shared" si="46"/>
        <v>Stefan Gallistl</v>
      </c>
      <c r="V432" t="str">
        <f t="shared" si="47"/>
        <v>I, Robot</v>
      </c>
      <c r="W432">
        <f t="shared" si="48"/>
        <v>1</v>
      </c>
    </row>
    <row r="433" spans="1:23" x14ac:dyDescent="0.2">
      <c r="A433" s="6" t="s">
        <v>40</v>
      </c>
      <c r="B433" s="6">
        <v>1967</v>
      </c>
      <c r="C433" s="6"/>
      <c r="D433" s="6" t="s">
        <v>72</v>
      </c>
      <c r="E433" s="6" t="s">
        <v>3</v>
      </c>
      <c r="F433" s="6">
        <v>0</v>
      </c>
      <c r="G433" s="6"/>
      <c r="H433" s="6">
        <v>0</v>
      </c>
      <c r="I433" s="6"/>
      <c r="J433" s="6"/>
      <c r="K433" s="6"/>
      <c r="L433" s="6" t="str">
        <f t="shared" si="42"/>
        <v>Stefan Gallistl</v>
      </c>
      <c r="M433" s="6" t="str">
        <f t="shared" si="43"/>
        <v>In The Heat Of The Night (Poitier, Steiger)</v>
      </c>
      <c r="N433" s="9">
        <f t="shared" si="44"/>
        <v>0</v>
      </c>
      <c r="P433" t="str">
        <f t="shared" si="45"/>
        <v>"Stefan Gallistl";"In The Heat Of The Night";"0"</v>
      </c>
      <c r="U433" t="str">
        <f t="shared" si="46"/>
        <v>Stefan Gallistl</v>
      </c>
      <c r="V433" t="str">
        <f t="shared" si="47"/>
        <v>In The Heat Of The Night</v>
      </c>
      <c r="W433">
        <f t="shared" si="48"/>
        <v>0</v>
      </c>
    </row>
    <row r="434" spans="1:23" x14ac:dyDescent="0.2">
      <c r="A434" s="6" t="s">
        <v>41</v>
      </c>
      <c r="B434" s="6">
        <v>2014</v>
      </c>
      <c r="C434" s="6"/>
      <c r="D434" s="6" t="s">
        <v>72</v>
      </c>
      <c r="E434" s="6" t="s">
        <v>2</v>
      </c>
      <c r="F434" s="6">
        <v>1</v>
      </c>
      <c r="G434" s="6">
        <v>3</v>
      </c>
      <c r="H434" s="6">
        <v>3</v>
      </c>
      <c r="I434" s="6"/>
      <c r="J434" s="6"/>
      <c r="K434" s="6"/>
      <c r="L434" s="6" t="str">
        <f t="shared" si="42"/>
        <v>Stefan Gallistl</v>
      </c>
      <c r="M434" s="6" t="str">
        <f t="shared" si="43"/>
        <v>Jack Ryan: Shadow Recruite (Pine, Costner)</v>
      </c>
      <c r="N434" s="9">
        <f t="shared" si="44"/>
        <v>3</v>
      </c>
      <c r="P434" t="str">
        <f t="shared" si="45"/>
        <v>"Stefan Gallistl";"Jack Ryan: Shadow Recruite";"3"</v>
      </c>
      <c r="U434" t="str">
        <f t="shared" si="46"/>
        <v>Stefan Gallistl</v>
      </c>
      <c r="V434" t="str">
        <f t="shared" si="47"/>
        <v>Jack Ryan: Shadow Recruite</v>
      </c>
      <c r="W434">
        <f t="shared" si="48"/>
        <v>1</v>
      </c>
    </row>
    <row r="435" spans="1:23" x14ac:dyDescent="0.2">
      <c r="A435" s="6" t="s">
        <v>42</v>
      </c>
      <c r="B435" s="6">
        <v>1995</v>
      </c>
      <c r="C435" s="6"/>
      <c r="D435" s="6" t="s">
        <v>72</v>
      </c>
      <c r="E435" s="6" t="s">
        <v>3</v>
      </c>
      <c r="F435" s="6">
        <v>0</v>
      </c>
      <c r="G435" s="6"/>
      <c r="H435" s="6">
        <v>0</v>
      </c>
      <c r="I435" s="6"/>
      <c r="J435" s="6"/>
      <c r="K435" s="6"/>
      <c r="L435" s="6" t="str">
        <f t="shared" si="42"/>
        <v>Stefan Gallistl</v>
      </c>
      <c r="M435" s="6" t="str">
        <f t="shared" si="43"/>
        <v>Jumanji (Williams, Dunst)</v>
      </c>
      <c r="N435" s="9">
        <f t="shared" si="44"/>
        <v>0</v>
      </c>
      <c r="P435" t="str">
        <f t="shared" si="45"/>
        <v>"Stefan Gallistl";"Jumanji";"0"</v>
      </c>
      <c r="U435" t="str">
        <f t="shared" si="46"/>
        <v>Stefan Gallistl</v>
      </c>
      <c r="V435" t="str">
        <f t="shared" si="47"/>
        <v>Jumanji</v>
      </c>
      <c r="W435">
        <f t="shared" si="48"/>
        <v>0</v>
      </c>
    </row>
    <row r="436" spans="1:23" x14ac:dyDescent="0.2">
      <c r="A436" s="6" t="s">
        <v>43</v>
      </c>
      <c r="B436" s="6">
        <v>2005</v>
      </c>
      <c r="C436" s="6"/>
      <c r="D436" s="6" t="s">
        <v>72</v>
      </c>
      <c r="E436" s="6" t="s">
        <v>2</v>
      </c>
      <c r="F436" s="6">
        <v>1</v>
      </c>
      <c r="G436" s="6">
        <v>4</v>
      </c>
      <c r="H436" s="6">
        <v>4</v>
      </c>
      <c r="I436" s="6"/>
      <c r="J436" s="6"/>
      <c r="K436" s="6"/>
      <c r="L436" s="6" t="str">
        <f t="shared" si="42"/>
        <v>Stefan Gallistl</v>
      </c>
      <c r="M436" s="6" t="str">
        <f t="shared" si="43"/>
        <v>King Kong (Watts, Black)</v>
      </c>
      <c r="N436" s="9">
        <f t="shared" si="44"/>
        <v>4</v>
      </c>
      <c r="P436" t="str">
        <f t="shared" si="45"/>
        <v>"Stefan Gallistl";"King Kong";"4"</v>
      </c>
      <c r="U436" t="str">
        <f t="shared" si="46"/>
        <v>Stefan Gallistl</v>
      </c>
      <c r="V436" t="str">
        <f t="shared" si="47"/>
        <v>King Kong</v>
      </c>
      <c r="W436">
        <f t="shared" si="48"/>
        <v>1</v>
      </c>
    </row>
    <row r="437" spans="1:23" x14ac:dyDescent="0.2">
      <c r="A437" s="6" t="s">
        <v>44</v>
      </c>
      <c r="B437" s="6">
        <v>2016</v>
      </c>
      <c r="C437" s="6"/>
      <c r="D437" s="6" t="s">
        <v>72</v>
      </c>
      <c r="E437" s="6" t="s">
        <v>3</v>
      </c>
      <c r="F437" s="6">
        <v>0</v>
      </c>
      <c r="G437" s="6"/>
      <c r="H437" s="6">
        <v>0</v>
      </c>
      <c r="I437" s="6"/>
      <c r="J437" s="6"/>
      <c r="K437" s="6"/>
      <c r="L437" s="6" t="str">
        <f t="shared" si="42"/>
        <v>Stefan Gallistl</v>
      </c>
      <c r="M437" s="6" t="str">
        <f t="shared" si="43"/>
        <v>La La Land (Gosling, Stone)</v>
      </c>
      <c r="N437" s="9">
        <f t="shared" si="44"/>
        <v>0</v>
      </c>
      <c r="P437" t="str">
        <f t="shared" si="45"/>
        <v>"Stefan Gallistl";"La La Land";"0"</v>
      </c>
      <c r="U437" t="str">
        <f t="shared" si="46"/>
        <v>Stefan Gallistl</v>
      </c>
      <c r="V437" t="str">
        <f t="shared" si="47"/>
        <v>La La Land</v>
      </c>
      <c r="W437">
        <f t="shared" si="48"/>
        <v>0</v>
      </c>
    </row>
    <row r="438" spans="1:23" x14ac:dyDescent="0.2">
      <c r="A438" s="6" t="s">
        <v>45</v>
      </c>
      <c r="B438" s="6">
        <v>2001</v>
      </c>
      <c r="C438" s="6"/>
      <c r="D438" s="6" t="s">
        <v>72</v>
      </c>
      <c r="E438" s="6" t="s">
        <v>2</v>
      </c>
      <c r="F438" s="6">
        <v>1</v>
      </c>
      <c r="G438" s="6">
        <v>4</v>
      </c>
      <c r="H438" s="6">
        <v>4</v>
      </c>
      <c r="I438" s="6"/>
      <c r="J438" s="6"/>
      <c r="K438" s="6"/>
      <c r="L438" s="6" t="str">
        <f t="shared" si="42"/>
        <v>Stefan Gallistl</v>
      </c>
      <c r="M438" s="6" t="str">
        <f t="shared" si="43"/>
        <v>Lord of the Rings (Woods, McKellen)</v>
      </c>
      <c r="N438" s="9">
        <f t="shared" si="44"/>
        <v>4</v>
      </c>
      <c r="P438" t="str">
        <f t="shared" si="45"/>
        <v>"Stefan Gallistl";"Lord of the Rings";"4"</v>
      </c>
      <c r="U438" t="str">
        <f t="shared" si="46"/>
        <v>Stefan Gallistl</v>
      </c>
      <c r="V438" t="str">
        <f t="shared" si="47"/>
        <v>Lord of the Rings</v>
      </c>
      <c r="W438">
        <f t="shared" si="48"/>
        <v>1</v>
      </c>
    </row>
    <row r="439" spans="1:23" x14ac:dyDescent="0.2">
      <c r="A439" s="6" t="s">
        <v>46</v>
      </c>
      <c r="B439" s="6">
        <v>1964</v>
      </c>
      <c r="C439" s="6"/>
      <c r="D439" s="6" t="s">
        <v>72</v>
      </c>
      <c r="E439" s="6" t="s">
        <v>3</v>
      </c>
      <c r="F439" s="6">
        <v>0</v>
      </c>
      <c r="G439" s="6"/>
      <c r="H439" s="6">
        <v>0</v>
      </c>
      <c r="I439" s="6"/>
      <c r="J439" s="6"/>
      <c r="K439" s="6"/>
      <c r="L439" s="6" t="str">
        <f t="shared" si="42"/>
        <v>Stefan Gallistl</v>
      </c>
      <c r="M439" s="6" t="str">
        <f t="shared" si="43"/>
        <v>Per Un Pugno Di Dollari (Eastwood, Koch)</v>
      </c>
      <c r="N439" s="9">
        <f t="shared" si="44"/>
        <v>0</v>
      </c>
      <c r="P439" t="str">
        <f t="shared" si="45"/>
        <v>"Stefan Gallistl";"Per Un Pugno Di Dollari";"0"</v>
      </c>
      <c r="U439" t="str">
        <f t="shared" si="46"/>
        <v>Stefan Gallistl</v>
      </c>
      <c r="V439" t="str">
        <f t="shared" si="47"/>
        <v>Per Un Pugno Di Dollari</v>
      </c>
      <c r="W439">
        <f t="shared" si="48"/>
        <v>0</v>
      </c>
    </row>
    <row r="440" spans="1:23" x14ac:dyDescent="0.2">
      <c r="A440" s="6" t="s">
        <v>47</v>
      </c>
      <c r="B440" s="6">
        <v>1954</v>
      </c>
      <c r="C440" s="6"/>
      <c r="D440" s="6" t="s">
        <v>72</v>
      </c>
      <c r="E440" s="6" t="s">
        <v>3</v>
      </c>
      <c r="F440" s="6">
        <v>0</v>
      </c>
      <c r="G440" s="6"/>
      <c r="H440" s="6">
        <v>0</v>
      </c>
      <c r="I440" s="6"/>
      <c r="J440" s="6"/>
      <c r="K440" s="6"/>
      <c r="L440" s="6" t="str">
        <f t="shared" si="42"/>
        <v>Stefan Gallistl</v>
      </c>
      <c r="M440" s="6" t="str">
        <f t="shared" si="43"/>
        <v>Rear Window (Stewart, Kelly)</v>
      </c>
      <c r="N440" s="9">
        <f t="shared" si="44"/>
        <v>0</v>
      </c>
      <c r="P440" t="str">
        <f t="shared" si="45"/>
        <v>"Stefan Gallistl";"Rear Window";"0"</v>
      </c>
      <c r="U440" t="str">
        <f t="shared" si="46"/>
        <v>Stefan Gallistl</v>
      </c>
      <c r="V440" t="str">
        <f t="shared" si="47"/>
        <v>Rear Window</v>
      </c>
      <c r="W440">
        <f t="shared" si="48"/>
        <v>0</v>
      </c>
    </row>
    <row r="441" spans="1:23" x14ac:dyDescent="0.2">
      <c r="A441" s="6" t="s">
        <v>48</v>
      </c>
      <c r="B441" s="6">
        <v>1955</v>
      </c>
      <c r="C441" s="6"/>
      <c r="D441" s="6" t="s">
        <v>72</v>
      </c>
      <c r="E441" s="6" t="s">
        <v>3</v>
      </c>
      <c r="F441" s="6">
        <v>0</v>
      </c>
      <c r="G441" s="6"/>
      <c r="H441" s="6">
        <v>0</v>
      </c>
      <c r="I441" s="6"/>
      <c r="J441" s="6"/>
      <c r="K441" s="6"/>
      <c r="L441" s="6" t="str">
        <f t="shared" si="42"/>
        <v>Stefan Gallistl</v>
      </c>
      <c r="M441" s="6" t="str">
        <f t="shared" si="43"/>
        <v>Rebel Without A Cause (Dean, Wood)</v>
      </c>
      <c r="N441" s="9">
        <f t="shared" si="44"/>
        <v>0</v>
      </c>
      <c r="P441" t="str">
        <f t="shared" si="45"/>
        <v>"Stefan Gallistl";"Rebel Without A Cause";"0"</v>
      </c>
      <c r="U441" t="str">
        <f t="shared" si="46"/>
        <v>Stefan Gallistl</v>
      </c>
      <c r="V441" t="str">
        <f t="shared" si="47"/>
        <v>Rebel Without A Cause</v>
      </c>
      <c r="W441">
        <f t="shared" si="48"/>
        <v>0</v>
      </c>
    </row>
    <row r="442" spans="1:23" x14ac:dyDescent="0.2">
      <c r="A442" s="6" t="s">
        <v>66</v>
      </c>
      <c r="B442" s="6">
        <v>2005</v>
      </c>
      <c r="C442" s="6"/>
      <c r="D442" s="6" t="s">
        <v>72</v>
      </c>
      <c r="E442" s="6" t="s">
        <v>3</v>
      </c>
      <c r="F442" s="6">
        <v>0</v>
      </c>
      <c r="G442" s="6"/>
      <c r="H442" s="6">
        <v>0</v>
      </c>
      <c r="I442" s="6"/>
      <c r="J442" s="6"/>
      <c r="K442" s="6"/>
      <c r="L442" s="6" t="str">
        <f t="shared" si="42"/>
        <v>Stefan Gallistl</v>
      </c>
      <c r="M442" s="6" t="str">
        <f t="shared" si="43"/>
        <v>Rumor has it (Aniston, Costner)</v>
      </c>
      <c r="N442" s="9">
        <f t="shared" si="44"/>
        <v>0</v>
      </c>
      <c r="P442" t="str">
        <f t="shared" si="45"/>
        <v>"Stefan Gallistl";"Rumor has it";"0"</v>
      </c>
      <c r="U442" t="str">
        <f t="shared" si="46"/>
        <v>Stefan Gallistl</v>
      </c>
      <c r="V442" t="str">
        <f t="shared" si="47"/>
        <v>Rumor has it</v>
      </c>
      <c r="W442">
        <f t="shared" si="48"/>
        <v>0</v>
      </c>
    </row>
    <row r="443" spans="1:23" x14ac:dyDescent="0.2">
      <c r="A443" s="6" t="s">
        <v>49</v>
      </c>
      <c r="B443" s="6">
        <v>1998</v>
      </c>
      <c r="C443" s="6"/>
      <c r="D443" s="6" t="s">
        <v>72</v>
      </c>
      <c r="E443" s="6" t="s">
        <v>3</v>
      </c>
      <c r="F443" s="6">
        <v>0</v>
      </c>
      <c r="G443" s="6"/>
      <c r="H443" s="6">
        <v>0</v>
      </c>
      <c r="I443" s="6"/>
      <c r="J443" s="6"/>
      <c r="K443" s="6"/>
      <c r="L443" s="6" t="str">
        <f t="shared" si="42"/>
        <v>Stefan Gallistl</v>
      </c>
      <c r="M443" s="6" t="str">
        <f t="shared" si="43"/>
        <v>Saving private Ryan (Hanks, Damon)</v>
      </c>
      <c r="N443" s="9">
        <f t="shared" si="44"/>
        <v>0</v>
      </c>
      <c r="P443" t="str">
        <f t="shared" si="45"/>
        <v>"Stefan Gallistl";"Saving private Ryan";"0"</v>
      </c>
      <c r="U443" t="str">
        <f t="shared" si="46"/>
        <v>Stefan Gallistl</v>
      </c>
      <c r="V443" t="str">
        <f t="shared" si="47"/>
        <v>Saving private Ryan</v>
      </c>
      <c r="W443">
        <f t="shared" si="48"/>
        <v>0</v>
      </c>
    </row>
    <row r="444" spans="1:23" x14ac:dyDescent="0.2">
      <c r="A444" s="6" t="s">
        <v>50</v>
      </c>
      <c r="B444" s="6">
        <v>1993</v>
      </c>
      <c r="C444" s="6"/>
      <c r="D444" s="6" t="s">
        <v>72</v>
      </c>
      <c r="E444" s="6" t="s">
        <v>2</v>
      </c>
      <c r="F444" s="6">
        <v>1</v>
      </c>
      <c r="G444" s="6">
        <v>5</v>
      </c>
      <c r="H444" s="6">
        <v>5</v>
      </c>
      <c r="I444" s="6"/>
      <c r="J444" s="6"/>
      <c r="K444" s="6"/>
      <c r="L444" s="6" t="str">
        <f t="shared" si="42"/>
        <v>Stefan Gallistl</v>
      </c>
      <c r="M444" s="6" t="str">
        <f t="shared" si="43"/>
        <v>Schindlers List (Neeson, Fiennes)</v>
      </c>
      <c r="N444" s="9">
        <f t="shared" si="44"/>
        <v>5</v>
      </c>
      <c r="P444" t="str">
        <f t="shared" si="45"/>
        <v>"Stefan Gallistl";"Schindlers List";"5"</v>
      </c>
      <c r="U444" t="str">
        <f t="shared" si="46"/>
        <v>Stefan Gallistl</v>
      </c>
      <c r="V444" t="str">
        <f t="shared" si="47"/>
        <v>Schindlers List</v>
      </c>
      <c r="W444">
        <f t="shared" si="48"/>
        <v>1</v>
      </c>
    </row>
    <row r="445" spans="1:23" x14ac:dyDescent="0.2">
      <c r="A445" s="6" t="s">
        <v>51</v>
      </c>
      <c r="B445" s="6">
        <v>1996</v>
      </c>
      <c r="C445" s="6"/>
      <c r="D445" s="6" t="s">
        <v>72</v>
      </c>
      <c r="E445" s="6" t="s">
        <v>2</v>
      </c>
      <c r="F445" s="6">
        <v>1</v>
      </c>
      <c r="G445" s="6">
        <v>3</v>
      </c>
      <c r="H445" s="6">
        <v>3</v>
      </c>
      <c r="I445" s="6"/>
      <c r="J445" s="6"/>
      <c r="K445" s="6"/>
      <c r="L445" s="6" t="str">
        <f t="shared" si="42"/>
        <v>Stefan Gallistl</v>
      </c>
      <c r="M445" s="6" t="str">
        <f t="shared" si="43"/>
        <v>Scream (Arquette, Campell)</v>
      </c>
      <c r="N445" s="9">
        <f t="shared" si="44"/>
        <v>3</v>
      </c>
      <c r="P445" t="str">
        <f t="shared" si="45"/>
        <v>"Stefan Gallistl";"Scream";"3"</v>
      </c>
      <c r="U445" t="str">
        <f t="shared" si="46"/>
        <v>Stefan Gallistl</v>
      </c>
      <c r="V445" t="str">
        <f t="shared" si="47"/>
        <v>Scream</v>
      </c>
      <c r="W445">
        <f t="shared" si="48"/>
        <v>1</v>
      </c>
    </row>
    <row r="446" spans="1:23" x14ac:dyDescent="0.2">
      <c r="A446" s="6" t="s">
        <v>52</v>
      </c>
      <c r="B446" s="6">
        <v>1977</v>
      </c>
      <c r="C446" s="6"/>
      <c r="D446" s="6" t="s">
        <v>72</v>
      </c>
      <c r="E446" s="6" t="s">
        <v>2</v>
      </c>
      <c r="F446" s="6">
        <v>1</v>
      </c>
      <c r="G446" s="6">
        <v>3</v>
      </c>
      <c r="H446" s="6">
        <v>3</v>
      </c>
      <c r="I446" s="6"/>
      <c r="J446" s="6"/>
      <c r="K446" s="6"/>
      <c r="L446" s="6" t="str">
        <f t="shared" si="42"/>
        <v>Stefan Gallistl</v>
      </c>
      <c r="M446" s="6" t="str">
        <f t="shared" si="43"/>
        <v>Star Wars IV: A new hope (Hamill, Ford)</v>
      </c>
      <c r="N446" s="9">
        <f t="shared" si="44"/>
        <v>3</v>
      </c>
      <c r="P446" t="str">
        <f t="shared" si="45"/>
        <v>"Stefan Gallistl";"Star Wars IV: A new hope";"3"</v>
      </c>
      <c r="U446" t="str">
        <f t="shared" si="46"/>
        <v>Stefan Gallistl</v>
      </c>
      <c r="V446" t="str">
        <f t="shared" si="47"/>
        <v>Star Wars IV: A new hope</v>
      </c>
      <c r="W446">
        <f t="shared" si="48"/>
        <v>1</v>
      </c>
    </row>
    <row r="447" spans="1:23" x14ac:dyDescent="0.2">
      <c r="A447" s="6" t="s">
        <v>53</v>
      </c>
      <c r="B447" s="6">
        <v>2016</v>
      </c>
      <c r="C447" s="6"/>
      <c r="D447" s="6" t="s">
        <v>72</v>
      </c>
      <c r="E447" s="6" t="s">
        <v>2</v>
      </c>
      <c r="F447" s="6">
        <v>1</v>
      </c>
      <c r="G447" s="6">
        <v>4</v>
      </c>
      <c r="H447" s="6">
        <v>4</v>
      </c>
      <c r="I447" s="6"/>
      <c r="J447" s="6"/>
      <c r="K447" s="6"/>
      <c r="L447" s="6" t="str">
        <f t="shared" si="42"/>
        <v>Stefan Gallistl</v>
      </c>
      <c r="M447" s="6" t="str">
        <f t="shared" si="43"/>
        <v>Suicide Squad (Smith, Robbie)</v>
      </c>
      <c r="N447" s="9">
        <f t="shared" si="44"/>
        <v>4</v>
      </c>
      <c r="P447" t="str">
        <f t="shared" si="45"/>
        <v>"Stefan Gallistl";"Suicide Squad";"4"</v>
      </c>
      <c r="U447" t="str">
        <f t="shared" si="46"/>
        <v>Stefan Gallistl</v>
      </c>
      <c r="V447" t="str">
        <f t="shared" si="47"/>
        <v>Suicide Squad</v>
      </c>
      <c r="W447">
        <f t="shared" si="48"/>
        <v>1</v>
      </c>
    </row>
    <row r="448" spans="1:23" x14ac:dyDescent="0.2">
      <c r="A448" s="6" t="s">
        <v>54</v>
      </c>
      <c r="B448" s="6">
        <v>2010</v>
      </c>
      <c r="C448" s="6"/>
      <c r="D448" s="6" t="s">
        <v>72</v>
      </c>
      <c r="E448" s="6" t="s">
        <v>3</v>
      </c>
      <c r="F448" s="6">
        <v>0</v>
      </c>
      <c r="G448" s="6"/>
      <c r="H448" s="6">
        <v>0</v>
      </c>
      <c r="I448" s="6"/>
      <c r="J448" s="6"/>
      <c r="K448" s="6"/>
      <c r="L448" s="6" t="str">
        <f t="shared" si="42"/>
        <v>Stefan Gallistl</v>
      </c>
      <c r="M448" s="6" t="str">
        <f t="shared" si="43"/>
        <v>Tangled (Disney)</v>
      </c>
      <c r="N448" s="9">
        <f t="shared" si="44"/>
        <v>0</v>
      </c>
      <c r="P448" t="str">
        <f t="shared" si="45"/>
        <v>"Stefan Gallistl";"Tangled";"0"</v>
      </c>
      <c r="U448" t="str">
        <f t="shared" si="46"/>
        <v>Stefan Gallistl</v>
      </c>
      <c r="V448" t="str">
        <f t="shared" si="47"/>
        <v>Tangled</v>
      </c>
      <c r="W448">
        <f t="shared" si="48"/>
        <v>0</v>
      </c>
    </row>
    <row r="449" spans="1:23" x14ac:dyDescent="0.2">
      <c r="A449" s="6" t="s">
        <v>55</v>
      </c>
      <c r="B449" s="6">
        <v>2012</v>
      </c>
      <c r="C449" s="6"/>
      <c r="D449" s="6" t="s">
        <v>72</v>
      </c>
      <c r="E449" s="6" t="s">
        <v>2</v>
      </c>
      <c r="F449" s="6">
        <v>1</v>
      </c>
      <c r="G449" s="6">
        <v>4</v>
      </c>
      <c r="H449" s="6">
        <v>4</v>
      </c>
      <c r="I449" s="6"/>
      <c r="J449" s="6"/>
      <c r="K449" s="6"/>
      <c r="L449" s="6" t="str">
        <f t="shared" si="42"/>
        <v>Stefan Gallistl</v>
      </c>
      <c r="M449" s="6" t="str">
        <f t="shared" si="43"/>
        <v>The Avengers (Downey Jr. Evans)</v>
      </c>
      <c r="N449" s="9">
        <f t="shared" si="44"/>
        <v>4</v>
      </c>
      <c r="P449" t="str">
        <f t="shared" si="45"/>
        <v>"Stefan Gallistl";"The Avengers";"4"</v>
      </c>
      <c r="U449" t="str">
        <f t="shared" si="46"/>
        <v>Stefan Gallistl</v>
      </c>
      <c r="V449" t="str">
        <f t="shared" si="47"/>
        <v>The Avengers</v>
      </c>
      <c r="W449">
        <f t="shared" si="48"/>
        <v>1</v>
      </c>
    </row>
    <row r="450" spans="1:23" x14ac:dyDescent="0.2">
      <c r="A450" s="6" t="s">
        <v>56</v>
      </c>
      <c r="B450" s="6">
        <v>1973</v>
      </c>
      <c r="C450" s="6"/>
      <c r="D450" s="6" t="s">
        <v>72</v>
      </c>
      <c r="E450" s="6" t="s">
        <v>3</v>
      </c>
      <c r="F450" s="6">
        <v>0</v>
      </c>
      <c r="G450" s="6"/>
      <c r="H450" s="6">
        <v>0</v>
      </c>
      <c r="I450" s="6"/>
      <c r="J450" s="6"/>
      <c r="K450" s="6"/>
      <c r="L450" s="6" t="str">
        <f t="shared" si="42"/>
        <v>Stefan Gallistl</v>
      </c>
      <c r="M450" s="6" t="str">
        <f t="shared" si="43"/>
        <v>The Exorcist (von Sydow, Blair)</v>
      </c>
      <c r="N450" s="9">
        <f t="shared" si="44"/>
        <v>0</v>
      </c>
      <c r="P450" t="str">
        <f t="shared" si="45"/>
        <v>"Stefan Gallistl";"The Exorcist";"0"</v>
      </c>
      <c r="U450" t="str">
        <f t="shared" si="46"/>
        <v>Stefan Gallistl</v>
      </c>
      <c r="V450" t="str">
        <f t="shared" si="47"/>
        <v>The Exorcist</v>
      </c>
      <c r="W450">
        <f t="shared" si="48"/>
        <v>0</v>
      </c>
    </row>
    <row r="451" spans="1:23" x14ac:dyDescent="0.2">
      <c r="A451" s="6" t="s">
        <v>57</v>
      </c>
      <c r="B451" s="6">
        <v>1972</v>
      </c>
      <c r="C451" s="6"/>
      <c r="D451" s="6" t="s">
        <v>72</v>
      </c>
      <c r="E451" s="6" t="s">
        <v>2</v>
      </c>
      <c r="F451" s="6">
        <v>1</v>
      </c>
      <c r="G451" s="6">
        <v>5</v>
      </c>
      <c r="H451" s="6">
        <v>5</v>
      </c>
      <c r="I451" s="6"/>
      <c r="J451" s="6"/>
      <c r="K451" s="6"/>
      <c r="L451" s="6" t="str">
        <f t="shared" ref="L451:L514" si="49">D451</f>
        <v>Stefan Gallistl</v>
      </c>
      <c r="M451" s="6" t="str">
        <f t="shared" ref="M451:M514" si="50">A451</f>
        <v>The Godfather (Brando, Pacino)</v>
      </c>
      <c r="N451" s="9">
        <f t="shared" ref="N451:N514" si="51">H451</f>
        <v>5</v>
      </c>
      <c r="P451" t="str">
        <f t="shared" ref="P451:P514" si="52">""""&amp;L451&amp;""";"""&amp;LEFT(M451,FIND("(",M451)-2)&amp;""";"""&amp;SUBSTITUTE(N451,",",".")&amp;""""</f>
        <v>"Stefan Gallistl";"The Godfather";"5"</v>
      </c>
      <c r="U451" t="str">
        <f t="shared" ref="U451:U514" si="53">D451</f>
        <v>Stefan Gallistl</v>
      </c>
      <c r="V451" t="str">
        <f t="shared" ref="V451:V514" si="54">LEFT(A451,FIND("(",A451)-2)</f>
        <v>The Godfather</v>
      </c>
      <c r="W451">
        <f t="shared" ref="W451:W514" si="55">F451</f>
        <v>1</v>
      </c>
    </row>
    <row r="452" spans="1:23" x14ac:dyDescent="0.2">
      <c r="A452" s="6" t="s">
        <v>58</v>
      </c>
      <c r="B452" s="6">
        <v>1994</v>
      </c>
      <c r="C452" s="6"/>
      <c r="D452" s="6" t="s">
        <v>72</v>
      </c>
      <c r="E452" s="6" t="s">
        <v>2</v>
      </c>
      <c r="F452" s="6">
        <v>1</v>
      </c>
      <c r="G452" s="6">
        <v>5</v>
      </c>
      <c r="H452" s="6">
        <v>5</v>
      </c>
      <c r="I452" s="6"/>
      <c r="J452" s="6"/>
      <c r="K452" s="6"/>
      <c r="L452" s="6" t="str">
        <f t="shared" si="49"/>
        <v>Stefan Gallistl</v>
      </c>
      <c r="M452" s="6" t="str">
        <f t="shared" si="50"/>
        <v>The Lion King (Disney)</v>
      </c>
      <c r="N452" s="9">
        <f t="shared" si="51"/>
        <v>5</v>
      </c>
      <c r="P452" t="str">
        <f t="shared" si="52"/>
        <v>"Stefan Gallistl";"The Lion King";"5"</v>
      </c>
      <c r="U452" t="str">
        <f t="shared" si="53"/>
        <v>Stefan Gallistl</v>
      </c>
      <c r="V452" t="str">
        <f t="shared" si="54"/>
        <v>The Lion King</v>
      </c>
      <c r="W452">
        <f t="shared" si="55"/>
        <v>1</v>
      </c>
    </row>
    <row r="453" spans="1:23" x14ac:dyDescent="0.2">
      <c r="A453" s="6" t="s">
        <v>59</v>
      </c>
      <c r="B453" s="6">
        <v>1999</v>
      </c>
      <c r="C453" s="6"/>
      <c r="D453" s="6" t="s">
        <v>72</v>
      </c>
      <c r="E453" s="6" t="s">
        <v>2</v>
      </c>
      <c r="F453" s="6">
        <v>1</v>
      </c>
      <c r="G453" s="6">
        <v>4</v>
      </c>
      <c r="H453" s="6">
        <v>4</v>
      </c>
      <c r="I453" s="6"/>
      <c r="J453" s="6"/>
      <c r="K453" s="6"/>
      <c r="L453" s="6" t="str">
        <f t="shared" si="49"/>
        <v>Stefan Gallistl</v>
      </c>
      <c r="M453" s="6" t="str">
        <f t="shared" si="50"/>
        <v>The Matrix (Reeves, Fishburn)</v>
      </c>
      <c r="N453" s="9">
        <f t="shared" si="51"/>
        <v>4</v>
      </c>
      <c r="P453" t="str">
        <f t="shared" si="52"/>
        <v>"Stefan Gallistl";"The Matrix";"4"</v>
      </c>
      <c r="U453" t="str">
        <f t="shared" si="53"/>
        <v>Stefan Gallistl</v>
      </c>
      <c r="V453" t="str">
        <f t="shared" si="54"/>
        <v>The Matrix</v>
      </c>
      <c r="W453">
        <f t="shared" si="55"/>
        <v>1</v>
      </c>
    </row>
    <row r="454" spans="1:23" x14ac:dyDescent="0.2">
      <c r="A454" s="6" t="s">
        <v>60</v>
      </c>
      <c r="B454" s="6">
        <v>1980</v>
      </c>
      <c r="C454" s="6"/>
      <c r="D454" s="6" t="s">
        <v>72</v>
      </c>
      <c r="E454" s="6" t="s">
        <v>3</v>
      </c>
      <c r="F454" s="6">
        <v>0</v>
      </c>
      <c r="G454" s="6"/>
      <c r="H454" s="6">
        <v>0</v>
      </c>
      <c r="I454" s="6"/>
      <c r="J454" s="6"/>
      <c r="K454" s="6"/>
      <c r="L454" s="6" t="str">
        <f t="shared" si="49"/>
        <v>Stefan Gallistl</v>
      </c>
      <c r="M454" s="6" t="str">
        <f t="shared" si="50"/>
        <v>The Shining (Nicholson, Duvall)</v>
      </c>
      <c r="N454" s="9">
        <f t="shared" si="51"/>
        <v>0</v>
      </c>
      <c r="P454" t="str">
        <f t="shared" si="52"/>
        <v>"Stefan Gallistl";"The Shining";"0"</v>
      </c>
      <c r="U454" t="str">
        <f t="shared" si="53"/>
        <v>Stefan Gallistl</v>
      </c>
      <c r="V454" t="str">
        <f t="shared" si="54"/>
        <v>The Shining</v>
      </c>
      <c r="W454">
        <f t="shared" si="55"/>
        <v>0</v>
      </c>
    </row>
    <row r="455" spans="1:23" x14ac:dyDescent="0.2">
      <c r="A455" s="6" t="s">
        <v>61</v>
      </c>
      <c r="B455" s="6">
        <v>1984</v>
      </c>
      <c r="C455" s="6"/>
      <c r="D455" s="6" t="s">
        <v>72</v>
      </c>
      <c r="E455" s="6" t="s">
        <v>2</v>
      </c>
      <c r="F455" s="6">
        <v>1</v>
      </c>
      <c r="G455" s="6">
        <v>3</v>
      </c>
      <c r="H455" s="6">
        <v>3</v>
      </c>
      <c r="I455" s="6"/>
      <c r="J455" s="6"/>
      <c r="K455" s="6"/>
      <c r="L455" s="6" t="str">
        <f t="shared" si="49"/>
        <v>Stefan Gallistl</v>
      </c>
      <c r="M455" s="6" t="str">
        <f t="shared" si="50"/>
        <v>The Terminator (Schwarzenegger, Hamilton)</v>
      </c>
      <c r="N455" s="9">
        <f t="shared" si="51"/>
        <v>3</v>
      </c>
      <c r="P455" t="str">
        <f t="shared" si="52"/>
        <v>"Stefan Gallistl";"The Terminator";"3"</v>
      </c>
      <c r="U455" t="str">
        <f t="shared" si="53"/>
        <v>Stefan Gallistl</v>
      </c>
      <c r="V455" t="str">
        <f t="shared" si="54"/>
        <v>The Terminator</v>
      </c>
      <c r="W455">
        <f t="shared" si="55"/>
        <v>1</v>
      </c>
    </row>
    <row r="456" spans="1:23" x14ac:dyDescent="0.2">
      <c r="A456" s="6" t="s">
        <v>62</v>
      </c>
      <c r="B456" s="6">
        <v>1986</v>
      </c>
      <c r="C456" s="6"/>
      <c r="D456" s="6" t="s">
        <v>72</v>
      </c>
      <c r="E456" s="6" t="s">
        <v>2</v>
      </c>
      <c r="F456" s="6">
        <v>1</v>
      </c>
      <c r="G456" s="6">
        <v>3</v>
      </c>
      <c r="H456" s="6">
        <v>3</v>
      </c>
      <c r="I456" s="6"/>
      <c r="J456" s="6"/>
      <c r="K456" s="6"/>
      <c r="L456" s="6" t="str">
        <f t="shared" si="49"/>
        <v>Stefan Gallistl</v>
      </c>
      <c r="M456" s="6" t="str">
        <f t="shared" si="50"/>
        <v>Top Gun (Cruise, McGillis)</v>
      </c>
      <c r="N456" s="9">
        <f t="shared" si="51"/>
        <v>3</v>
      </c>
      <c r="P456" t="str">
        <f t="shared" si="52"/>
        <v>"Stefan Gallistl";"Top Gun";"3"</v>
      </c>
      <c r="U456" t="str">
        <f t="shared" si="53"/>
        <v>Stefan Gallistl</v>
      </c>
      <c r="V456" t="str">
        <f t="shared" si="54"/>
        <v>Top Gun</v>
      </c>
      <c r="W456">
        <f t="shared" si="55"/>
        <v>1</v>
      </c>
    </row>
    <row r="457" spans="1:23" x14ac:dyDescent="0.2">
      <c r="A457" s="6" t="s">
        <v>63</v>
      </c>
      <c r="B457" s="6">
        <v>1995</v>
      </c>
      <c r="C457" s="6"/>
      <c r="D457" s="6" t="s">
        <v>72</v>
      </c>
      <c r="E457" s="6" t="s">
        <v>2</v>
      </c>
      <c r="F457" s="6">
        <v>1</v>
      </c>
      <c r="G457" s="6">
        <v>3</v>
      </c>
      <c r="H457" s="6">
        <v>3</v>
      </c>
      <c r="I457" s="6"/>
      <c r="J457" s="6"/>
      <c r="K457" s="6"/>
      <c r="L457" s="6" t="str">
        <f t="shared" si="49"/>
        <v>Stefan Gallistl</v>
      </c>
      <c r="M457" s="6" t="str">
        <f t="shared" si="50"/>
        <v>Toy Story (Pixar)</v>
      </c>
      <c r="N457" s="9">
        <f t="shared" si="51"/>
        <v>3</v>
      </c>
      <c r="P457" t="str">
        <f t="shared" si="52"/>
        <v>"Stefan Gallistl";"Toy Story";"3"</v>
      </c>
      <c r="U457" t="str">
        <f t="shared" si="53"/>
        <v>Stefan Gallistl</v>
      </c>
      <c r="V457" t="str">
        <f t="shared" si="54"/>
        <v>Toy Story</v>
      </c>
      <c r="W457">
        <f t="shared" si="55"/>
        <v>1</v>
      </c>
    </row>
    <row r="458" spans="1:23" x14ac:dyDescent="0.2">
      <c r="A458" s="6" t="s">
        <v>8</v>
      </c>
      <c r="B458" s="6">
        <v>1968</v>
      </c>
      <c r="C458" s="6"/>
      <c r="D458" s="6" t="s">
        <v>73</v>
      </c>
      <c r="E458" s="6" t="s">
        <v>2</v>
      </c>
      <c r="F458" s="6">
        <v>1</v>
      </c>
      <c r="G458" s="6">
        <v>5</v>
      </c>
      <c r="H458" s="6">
        <v>5</v>
      </c>
      <c r="I458" s="6"/>
      <c r="J458" s="6"/>
      <c r="K458" s="6"/>
      <c r="L458" s="6" t="str">
        <f t="shared" si="49"/>
        <v>Manuel2</v>
      </c>
      <c r="M458" s="6" t="str">
        <f t="shared" si="50"/>
        <v>2001: A Space Odyssey (Duella, Lockwood)</v>
      </c>
      <c r="N458" s="9">
        <f t="shared" si="51"/>
        <v>5</v>
      </c>
      <c r="P458" t="str">
        <f t="shared" si="52"/>
        <v>"Manuel2";"2001: A Space Odyssey";"5"</v>
      </c>
      <c r="U458" t="str">
        <f t="shared" si="53"/>
        <v>Manuel2</v>
      </c>
      <c r="V458" t="str">
        <f t="shared" si="54"/>
        <v>2001: A Space Odyssey</v>
      </c>
      <c r="W458">
        <f t="shared" si="55"/>
        <v>1</v>
      </c>
    </row>
    <row r="459" spans="1:23" x14ac:dyDescent="0.2">
      <c r="A459" s="6" t="s">
        <v>9</v>
      </c>
      <c r="B459" s="6">
        <v>1971</v>
      </c>
      <c r="C459" s="6"/>
      <c r="D459" s="6" t="s">
        <v>73</v>
      </c>
      <c r="E459" s="6" t="s">
        <v>2</v>
      </c>
      <c r="F459" s="6">
        <v>1</v>
      </c>
      <c r="G459" s="6">
        <v>4</v>
      </c>
      <c r="H459" s="6">
        <v>4</v>
      </c>
      <c r="I459" s="6"/>
      <c r="J459" s="6"/>
      <c r="K459" s="6"/>
      <c r="L459" s="6" t="str">
        <f t="shared" si="49"/>
        <v>Manuel2</v>
      </c>
      <c r="M459" s="6" t="str">
        <f t="shared" si="50"/>
        <v>A Clockwork Orange (McDowell, Magee)</v>
      </c>
      <c r="N459" s="9">
        <f t="shared" si="51"/>
        <v>4</v>
      </c>
      <c r="P459" t="str">
        <f t="shared" si="52"/>
        <v>"Manuel2";"A Clockwork Orange";"4"</v>
      </c>
      <c r="U459" t="str">
        <f t="shared" si="53"/>
        <v>Manuel2</v>
      </c>
      <c r="V459" t="str">
        <f t="shared" si="54"/>
        <v>A Clockwork Orange</v>
      </c>
      <c r="W459">
        <f t="shared" si="55"/>
        <v>1</v>
      </c>
    </row>
    <row r="460" spans="1:23" x14ac:dyDescent="0.2">
      <c r="A460" s="6" t="s">
        <v>10</v>
      </c>
      <c r="B460" s="6">
        <v>2018</v>
      </c>
      <c r="C460" s="6"/>
      <c r="D460" s="6" t="s">
        <v>73</v>
      </c>
      <c r="E460" s="6" t="s">
        <v>3</v>
      </c>
      <c r="F460" s="6">
        <v>0</v>
      </c>
      <c r="G460" s="6"/>
      <c r="H460" s="6">
        <v>0</v>
      </c>
      <c r="I460" s="6"/>
      <c r="J460" s="6"/>
      <c r="K460" s="6"/>
      <c r="L460" s="6" t="str">
        <f t="shared" si="49"/>
        <v>Manuel2</v>
      </c>
      <c r="M460" s="6" t="str">
        <f t="shared" si="50"/>
        <v>A star is born (Gaga, Cooper)</v>
      </c>
      <c r="N460" s="9">
        <f t="shared" si="51"/>
        <v>0</v>
      </c>
      <c r="P460" t="str">
        <f t="shared" si="52"/>
        <v>"Manuel2";"A star is born";"0"</v>
      </c>
      <c r="U460" t="str">
        <f t="shared" si="53"/>
        <v>Manuel2</v>
      </c>
      <c r="V460" t="str">
        <f t="shared" si="54"/>
        <v>A star is born</v>
      </c>
      <c r="W460">
        <f t="shared" si="55"/>
        <v>0</v>
      </c>
    </row>
    <row r="461" spans="1:23" x14ac:dyDescent="0.2">
      <c r="A461" s="6" t="s">
        <v>11</v>
      </c>
      <c r="B461" s="6">
        <v>2005</v>
      </c>
      <c r="C461" s="6"/>
      <c r="D461" s="6" t="s">
        <v>73</v>
      </c>
      <c r="E461" s="6" t="s">
        <v>3</v>
      </c>
      <c r="F461" s="6">
        <v>0</v>
      </c>
      <c r="G461" s="6"/>
      <c r="H461" s="6">
        <v>0</v>
      </c>
      <c r="I461" s="6"/>
      <c r="J461" s="6"/>
      <c r="K461" s="6"/>
      <c r="L461" s="6" t="str">
        <f t="shared" si="49"/>
        <v>Manuel2</v>
      </c>
      <c r="M461" s="6" t="str">
        <f t="shared" si="50"/>
        <v>Aeon Flux (Theron, Csokas)</v>
      </c>
      <c r="N461" s="9">
        <f t="shared" si="51"/>
        <v>0</v>
      </c>
      <c r="P461" t="str">
        <f t="shared" si="52"/>
        <v>"Manuel2";"Aeon Flux";"0"</v>
      </c>
      <c r="U461" t="str">
        <f t="shared" si="53"/>
        <v>Manuel2</v>
      </c>
      <c r="V461" t="str">
        <f t="shared" si="54"/>
        <v>Aeon Flux</v>
      </c>
      <c r="W461">
        <f t="shared" si="55"/>
        <v>0</v>
      </c>
    </row>
    <row r="462" spans="1:23" x14ac:dyDescent="0.2">
      <c r="A462" s="6" t="s">
        <v>12</v>
      </c>
      <c r="B462" s="6">
        <v>1951</v>
      </c>
      <c r="C462" s="6"/>
      <c r="D462" s="6" t="s">
        <v>73</v>
      </c>
      <c r="E462" s="6" t="s">
        <v>3</v>
      </c>
      <c r="F462" s="6">
        <v>0</v>
      </c>
      <c r="G462" s="6"/>
      <c r="H462" s="6">
        <v>0</v>
      </c>
      <c r="I462" s="6"/>
      <c r="J462" s="6"/>
      <c r="K462" s="6"/>
      <c r="L462" s="6" t="str">
        <f t="shared" si="49"/>
        <v>Manuel2</v>
      </c>
      <c r="M462" s="6" t="str">
        <f t="shared" si="50"/>
        <v>African Queen (Bogart, Hepburn)</v>
      </c>
      <c r="N462" s="9">
        <f t="shared" si="51"/>
        <v>0</v>
      </c>
      <c r="P462" t="str">
        <f t="shared" si="52"/>
        <v>"Manuel2";"African Queen";"0"</v>
      </c>
      <c r="U462" t="str">
        <f t="shared" si="53"/>
        <v>Manuel2</v>
      </c>
      <c r="V462" t="str">
        <f t="shared" si="54"/>
        <v>African Queen</v>
      </c>
      <c r="W462">
        <f t="shared" si="55"/>
        <v>0</v>
      </c>
    </row>
    <row r="463" spans="1:23" x14ac:dyDescent="0.2">
      <c r="A463" s="6" t="s">
        <v>13</v>
      </c>
      <c r="B463" s="6">
        <v>1979</v>
      </c>
      <c r="C463" s="6"/>
      <c r="D463" s="6" t="s">
        <v>73</v>
      </c>
      <c r="E463" s="6" t="s">
        <v>2</v>
      </c>
      <c r="F463" s="6">
        <v>1</v>
      </c>
      <c r="G463" s="6">
        <v>4</v>
      </c>
      <c r="H463" s="6">
        <v>4</v>
      </c>
      <c r="I463" s="6"/>
      <c r="J463" s="6"/>
      <c r="K463" s="6"/>
      <c r="L463" s="6" t="str">
        <f t="shared" si="49"/>
        <v>Manuel2</v>
      </c>
      <c r="M463" s="6" t="str">
        <f t="shared" si="50"/>
        <v>Alien (Weaver, Skerritt)</v>
      </c>
      <c r="N463" s="9">
        <f t="shared" si="51"/>
        <v>4</v>
      </c>
      <c r="P463" t="str">
        <f t="shared" si="52"/>
        <v>"Manuel2";"Alien";"4"</v>
      </c>
      <c r="U463" t="str">
        <f t="shared" si="53"/>
        <v>Manuel2</v>
      </c>
      <c r="V463" t="str">
        <f t="shared" si="54"/>
        <v>Alien</v>
      </c>
      <c r="W463">
        <f t="shared" si="55"/>
        <v>1</v>
      </c>
    </row>
    <row r="464" spans="1:23" x14ac:dyDescent="0.2">
      <c r="A464" s="6" t="s">
        <v>14</v>
      </c>
      <c r="B464" s="6">
        <v>1960</v>
      </c>
      <c r="C464" s="6"/>
      <c r="D464" s="6" t="s">
        <v>73</v>
      </c>
      <c r="E464" s="6" t="s">
        <v>2</v>
      </c>
      <c r="F464" s="6">
        <v>1</v>
      </c>
      <c r="G464" s="6">
        <v>5</v>
      </c>
      <c r="H464" s="6">
        <v>5</v>
      </c>
      <c r="I464" s="6"/>
      <c r="J464" s="6"/>
      <c r="K464" s="6"/>
      <c r="L464" s="6" t="str">
        <f t="shared" si="49"/>
        <v>Manuel2</v>
      </c>
      <c r="M464" s="6" t="str">
        <f t="shared" si="50"/>
        <v>Apartment (Lemmon, MacLaine)</v>
      </c>
      <c r="N464" s="9">
        <f t="shared" si="51"/>
        <v>5</v>
      </c>
      <c r="P464" t="str">
        <f t="shared" si="52"/>
        <v>"Manuel2";"Apartment";"5"</v>
      </c>
      <c r="U464" t="str">
        <f t="shared" si="53"/>
        <v>Manuel2</v>
      </c>
      <c r="V464" t="str">
        <f t="shared" si="54"/>
        <v>Apartment</v>
      </c>
      <c r="W464">
        <f t="shared" si="55"/>
        <v>1</v>
      </c>
    </row>
    <row r="465" spans="1:23" x14ac:dyDescent="0.2">
      <c r="A465" s="6" t="s">
        <v>15</v>
      </c>
      <c r="B465" s="6">
        <v>1979</v>
      </c>
      <c r="C465" s="6"/>
      <c r="D465" s="6" t="s">
        <v>73</v>
      </c>
      <c r="E465" s="6" t="s">
        <v>3</v>
      </c>
      <c r="F465" s="6">
        <v>0</v>
      </c>
      <c r="G465" s="6"/>
      <c r="H465" s="6">
        <v>0</v>
      </c>
      <c r="I465" s="6"/>
      <c r="J465" s="6"/>
      <c r="K465" s="6"/>
      <c r="L465" s="6" t="str">
        <f t="shared" si="49"/>
        <v>Manuel2</v>
      </c>
      <c r="M465" s="6" t="str">
        <f t="shared" si="50"/>
        <v>Apocalypse Now (Sheen, Brando)</v>
      </c>
      <c r="N465" s="9">
        <f t="shared" si="51"/>
        <v>0</v>
      </c>
      <c r="P465" t="str">
        <f t="shared" si="52"/>
        <v>"Manuel2";"Apocalypse Now";"0"</v>
      </c>
      <c r="U465" t="str">
        <f t="shared" si="53"/>
        <v>Manuel2</v>
      </c>
      <c r="V465" t="str">
        <f t="shared" si="54"/>
        <v>Apocalypse Now</v>
      </c>
      <c r="W465">
        <f t="shared" si="55"/>
        <v>0</v>
      </c>
    </row>
    <row r="466" spans="1:23" x14ac:dyDescent="0.2">
      <c r="A466" s="6" t="s">
        <v>16</v>
      </c>
      <c r="B466" s="6">
        <v>1956</v>
      </c>
      <c r="C466" s="6"/>
      <c r="D466" s="6" t="s">
        <v>73</v>
      </c>
      <c r="E466" s="6" t="s">
        <v>2</v>
      </c>
      <c r="F466" s="6">
        <v>1</v>
      </c>
      <c r="G466" s="6">
        <v>3</v>
      </c>
      <c r="H466" s="6">
        <v>3</v>
      </c>
      <c r="I466" s="6"/>
      <c r="J466" s="6"/>
      <c r="K466" s="6"/>
      <c r="L466" s="6" t="str">
        <f t="shared" si="49"/>
        <v>Manuel2</v>
      </c>
      <c r="M466" s="6" t="str">
        <f t="shared" si="50"/>
        <v>Around The World In 80 Days (Niven, Cantinflas)</v>
      </c>
      <c r="N466" s="9">
        <f t="shared" si="51"/>
        <v>3</v>
      </c>
      <c r="P466" t="str">
        <f t="shared" si="52"/>
        <v>"Manuel2";"Around The World In 80 Days";"3"</v>
      </c>
      <c r="U466" t="str">
        <f t="shared" si="53"/>
        <v>Manuel2</v>
      </c>
      <c r="V466" t="str">
        <f t="shared" si="54"/>
        <v>Around The World In 80 Days</v>
      </c>
      <c r="W466">
        <f t="shared" si="55"/>
        <v>1</v>
      </c>
    </row>
    <row r="467" spans="1:23" x14ac:dyDescent="0.2">
      <c r="A467" s="6" t="s">
        <v>17</v>
      </c>
      <c r="B467" s="6">
        <v>2009</v>
      </c>
      <c r="C467" s="6"/>
      <c r="D467" s="6" t="s">
        <v>73</v>
      </c>
      <c r="E467" s="6" t="s">
        <v>2</v>
      </c>
      <c r="F467" s="6">
        <v>1</v>
      </c>
      <c r="G467" s="6">
        <v>1</v>
      </c>
      <c r="H467" s="6">
        <v>1</v>
      </c>
      <c r="I467" s="6"/>
      <c r="J467" s="6"/>
      <c r="K467" s="6"/>
      <c r="L467" s="6" t="str">
        <f t="shared" si="49"/>
        <v>Manuel2</v>
      </c>
      <c r="M467" s="6" t="str">
        <f t="shared" si="50"/>
        <v>Avatar (Worthington, Saldana)</v>
      </c>
      <c r="N467" s="9">
        <f t="shared" si="51"/>
        <v>1</v>
      </c>
      <c r="P467" t="str">
        <f t="shared" si="52"/>
        <v>"Manuel2";"Avatar";"1"</v>
      </c>
      <c r="U467" t="str">
        <f t="shared" si="53"/>
        <v>Manuel2</v>
      </c>
      <c r="V467" t="str">
        <f t="shared" si="54"/>
        <v>Avatar</v>
      </c>
      <c r="W467">
        <f t="shared" si="55"/>
        <v>1</v>
      </c>
    </row>
    <row r="468" spans="1:23" x14ac:dyDescent="0.2">
      <c r="A468" s="6" t="s">
        <v>18</v>
      </c>
      <c r="B468" s="6">
        <v>1989</v>
      </c>
      <c r="C468" s="6"/>
      <c r="D468" s="6" t="s">
        <v>73</v>
      </c>
      <c r="E468" s="6" t="s">
        <v>2</v>
      </c>
      <c r="F468" s="6">
        <v>1</v>
      </c>
      <c r="G468" s="6">
        <v>4</v>
      </c>
      <c r="H468" s="6">
        <v>4</v>
      </c>
      <c r="I468" s="6"/>
      <c r="J468" s="6"/>
      <c r="K468" s="6"/>
      <c r="L468" s="6" t="str">
        <f t="shared" si="49"/>
        <v>Manuel2</v>
      </c>
      <c r="M468" s="6" t="str">
        <f t="shared" si="50"/>
        <v>Batman (Keaton, Nicholson, Basinger)</v>
      </c>
      <c r="N468" s="9">
        <f t="shared" si="51"/>
        <v>4</v>
      </c>
      <c r="P468" t="str">
        <f t="shared" si="52"/>
        <v>"Manuel2";"Batman";"4"</v>
      </c>
      <c r="U468" t="str">
        <f t="shared" si="53"/>
        <v>Manuel2</v>
      </c>
      <c r="V468" t="str">
        <f t="shared" si="54"/>
        <v>Batman</v>
      </c>
      <c r="W468">
        <f t="shared" si="55"/>
        <v>1</v>
      </c>
    </row>
    <row r="469" spans="1:23" x14ac:dyDescent="0.2">
      <c r="A469" s="6" t="s">
        <v>19</v>
      </c>
      <c r="B469" s="6">
        <v>1982</v>
      </c>
      <c r="C469" s="6"/>
      <c r="D469" s="6" t="s">
        <v>73</v>
      </c>
      <c r="E469" s="6" t="s">
        <v>2</v>
      </c>
      <c r="F469" s="6">
        <v>1</v>
      </c>
      <c r="G469" s="6">
        <v>5</v>
      </c>
      <c r="H469" s="6">
        <v>5</v>
      </c>
      <c r="I469" s="6"/>
      <c r="J469" s="6"/>
      <c r="K469" s="6"/>
      <c r="L469" s="6" t="str">
        <f t="shared" si="49"/>
        <v>Manuel2</v>
      </c>
      <c r="M469" s="6" t="str">
        <f t="shared" si="50"/>
        <v>Blade Runner (Ford, Hauer)</v>
      </c>
      <c r="N469" s="9">
        <f t="shared" si="51"/>
        <v>5</v>
      </c>
      <c r="P469" t="str">
        <f t="shared" si="52"/>
        <v>"Manuel2";"Blade Runner";"5"</v>
      </c>
      <c r="U469" t="str">
        <f t="shared" si="53"/>
        <v>Manuel2</v>
      </c>
      <c r="V469" t="str">
        <f t="shared" si="54"/>
        <v>Blade Runner</v>
      </c>
      <c r="W469">
        <f t="shared" si="55"/>
        <v>1</v>
      </c>
    </row>
    <row r="470" spans="1:23" x14ac:dyDescent="0.2">
      <c r="A470" s="6" t="s">
        <v>20</v>
      </c>
      <c r="B470" s="6">
        <v>2018</v>
      </c>
      <c r="C470" s="6"/>
      <c r="D470" s="6" t="s">
        <v>73</v>
      </c>
      <c r="E470" s="6" t="s">
        <v>3</v>
      </c>
      <c r="F470" s="6">
        <v>0</v>
      </c>
      <c r="G470" s="6"/>
      <c r="H470" s="6">
        <v>0</v>
      </c>
      <c r="I470" s="6"/>
      <c r="J470" s="6"/>
      <c r="K470" s="6"/>
      <c r="L470" s="6" t="str">
        <f t="shared" si="49"/>
        <v>Manuel2</v>
      </c>
      <c r="M470" s="6" t="str">
        <f t="shared" si="50"/>
        <v>Bohemian Rhapsody (Malek, Boynton)</v>
      </c>
      <c r="N470" s="9">
        <f t="shared" si="51"/>
        <v>0</v>
      </c>
      <c r="P470" t="str">
        <f t="shared" si="52"/>
        <v>"Manuel2";"Bohemian Rhapsody";"0"</v>
      </c>
      <c r="U470" t="str">
        <f t="shared" si="53"/>
        <v>Manuel2</v>
      </c>
      <c r="V470" t="str">
        <f t="shared" si="54"/>
        <v>Bohemian Rhapsody</v>
      </c>
      <c r="W470">
        <f t="shared" si="55"/>
        <v>0</v>
      </c>
    </row>
    <row r="471" spans="1:23" x14ac:dyDescent="0.2">
      <c r="A471" s="6" t="s">
        <v>21</v>
      </c>
      <c r="B471" s="6">
        <v>2011</v>
      </c>
      <c r="C471" s="6"/>
      <c r="D471" s="6" t="s">
        <v>73</v>
      </c>
      <c r="E471" s="6" t="s">
        <v>3</v>
      </c>
      <c r="F471" s="6">
        <v>0</v>
      </c>
      <c r="G471" s="6"/>
      <c r="H471" s="6">
        <v>0</v>
      </c>
      <c r="I471" s="6"/>
      <c r="J471" s="6"/>
      <c r="K471" s="6"/>
      <c r="L471" s="6" t="str">
        <f t="shared" si="49"/>
        <v>Manuel2</v>
      </c>
      <c r="M471" s="6" t="str">
        <f t="shared" si="50"/>
        <v>Captain America (Evans, Waeving)</v>
      </c>
      <c r="N471" s="9">
        <f t="shared" si="51"/>
        <v>0</v>
      </c>
      <c r="P471" t="str">
        <f t="shared" si="52"/>
        <v>"Manuel2";"Captain America";"0"</v>
      </c>
      <c r="U471" t="str">
        <f t="shared" si="53"/>
        <v>Manuel2</v>
      </c>
      <c r="V471" t="str">
        <f t="shared" si="54"/>
        <v>Captain America</v>
      </c>
      <c r="W471">
        <f t="shared" si="55"/>
        <v>0</v>
      </c>
    </row>
    <row r="472" spans="1:23" x14ac:dyDescent="0.2">
      <c r="A472" s="6" t="s">
        <v>22</v>
      </c>
      <c r="B472" s="6">
        <v>2000</v>
      </c>
      <c r="C472" s="6"/>
      <c r="D472" s="6" t="s">
        <v>73</v>
      </c>
      <c r="E472" s="6" t="s">
        <v>2</v>
      </c>
      <c r="F472" s="6">
        <v>1</v>
      </c>
      <c r="G472" s="6">
        <v>3</v>
      </c>
      <c r="H472" s="6">
        <v>3</v>
      </c>
      <c r="I472" s="6"/>
      <c r="J472" s="6"/>
      <c r="K472" s="6"/>
      <c r="L472" s="6" t="str">
        <f t="shared" si="49"/>
        <v>Manuel2</v>
      </c>
      <c r="M472" s="6" t="str">
        <f t="shared" si="50"/>
        <v>Cast Away (Hanks, Hunt)</v>
      </c>
      <c r="N472" s="9">
        <f t="shared" si="51"/>
        <v>3</v>
      </c>
      <c r="P472" t="str">
        <f t="shared" si="52"/>
        <v>"Manuel2";"Cast Away";"3"</v>
      </c>
      <c r="U472" t="str">
        <f t="shared" si="53"/>
        <v>Manuel2</v>
      </c>
      <c r="V472" t="str">
        <f t="shared" si="54"/>
        <v>Cast Away</v>
      </c>
      <c r="W472">
        <f t="shared" si="55"/>
        <v>1</v>
      </c>
    </row>
    <row r="473" spans="1:23" x14ac:dyDescent="0.2">
      <c r="A473" s="6" t="s">
        <v>23</v>
      </c>
      <c r="B473" s="6">
        <v>1958</v>
      </c>
      <c r="C473" s="6"/>
      <c r="D473" s="6" t="s">
        <v>73</v>
      </c>
      <c r="E473" s="6" t="s">
        <v>3</v>
      </c>
      <c r="F473" s="6">
        <v>0</v>
      </c>
      <c r="G473" s="6"/>
      <c r="H473" s="6">
        <v>0</v>
      </c>
      <c r="I473" s="6"/>
      <c r="J473" s="6"/>
      <c r="K473" s="6"/>
      <c r="L473" s="6" t="str">
        <f t="shared" si="49"/>
        <v>Manuel2</v>
      </c>
      <c r="M473" s="6" t="str">
        <f t="shared" si="50"/>
        <v>Cat On Hot Tin Roof (Taylor, Newman)</v>
      </c>
      <c r="N473" s="9">
        <f t="shared" si="51"/>
        <v>0</v>
      </c>
      <c r="P473" t="str">
        <f t="shared" si="52"/>
        <v>"Manuel2";"Cat On Hot Tin Roof";"0"</v>
      </c>
      <c r="U473" t="str">
        <f t="shared" si="53"/>
        <v>Manuel2</v>
      </c>
      <c r="V473" t="str">
        <f t="shared" si="54"/>
        <v>Cat On Hot Tin Roof</v>
      </c>
      <c r="W473">
        <f t="shared" si="55"/>
        <v>0</v>
      </c>
    </row>
    <row r="474" spans="1:23" x14ac:dyDescent="0.2">
      <c r="A474" s="6" t="s">
        <v>24</v>
      </c>
      <c r="B474" s="6">
        <v>1963</v>
      </c>
      <c r="C474" s="6"/>
      <c r="D474" s="6" t="s">
        <v>73</v>
      </c>
      <c r="E474" s="6" t="s">
        <v>3</v>
      </c>
      <c r="F474" s="6">
        <v>0</v>
      </c>
      <c r="G474" s="6"/>
      <c r="H474" s="6">
        <v>0</v>
      </c>
      <c r="I474" s="6"/>
      <c r="J474" s="6"/>
      <c r="K474" s="6"/>
      <c r="L474" s="6" t="str">
        <f t="shared" si="49"/>
        <v>Manuel2</v>
      </c>
      <c r="M474" s="6" t="str">
        <f t="shared" si="50"/>
        <v>Charade (Grant, Hepburn)</v>
      </c>
      <c r="N474" s="9">
        <f t="shared" si="51"/>
        <v>0</v>
      </c>
      <c r="P474" t="str">
        <f t="shared" si="52"/>
        <v>"Manuel2";"Charade";"0"</v>
      </c>
      <c r="U474" t="str">
        <f t="shared" si="53"/>
        <v>Manuel2</v>
      </c>
      <c r="V474" t="str">
        <f t="shared" si="54"/>
        <v>Charade</v>
      </c>
      <c r="W474">
        <f t="shared" si="55"/>
        <v>0</v>
      </c>
    </row>
    <row r="475" spans="1:23" x14ac:dyDescent="0.2">
      <c r="A475" s="6" t="s">
        <v>25</v>
      </c>
      <c r="B475" s="6">
        <v>2000</v>
      </c>
      <c r="C475" s="6"/>
      <c r="D475" s="6" t="s">
        <v>73</v>
      </c>
      <c r="E475" s="6" t="s">
        <v>3</v>
      </c>
      <c r="F475" s="6">
        <v>0</v>
      </c>
      <c r="G475" s="6"/>
      <c r="H475" s="6">
        <v>0</v>
      </c>
      <c r="I475" s="6"/>
      <c r="J475" s="6"/>
      <c r="K475" s="6"/>
      <c r="L475" s="6" t="str">
        <f t="shared" si="49"/>
        <v>Manuel2</v>
      </c>
      <c r="M475" s="6" t="str">
        <f t="shared" si="50"/>
        <v>Charlies Angels (Diaz, Barrymore, Liu)</v>
      </c>
      <c r="N475" s="9">
        <f t="shared" si="51"/>
        <v>0</v>
      </c>
      <c r="P475" t="str">
        <f t="shared" si="52"/>
        <v>"Manuel2";"Charlies Angels";"0"</v>
      </c>
      <c r="U475" t="str">
        <f t="shared" si="53"/>
        <v>Manuel2</v>
      </c>
      <c r="V475" t="str">
        <f t="shared" si="54"/>
        <v>Charlies Angels</v>
      </c>
      <c r="W475">
        <f t="shared" si="55"/>
        <v>0</v>
      </c>
    </row>
    <row r="476" spans="1:23" x14ac:dyDescent="0.2">
      <c r="A476" s="6" t="s">
        <v>26</v>
      </c>
      <c r="B476" s="6">
        <v>1974</v>
      </c>
      <c r="C476" s="6"/>
      <c r="D476" s="6" t="s">
        <v>73</v>
      </c>
      <c r="E476" s="6" t="s">
        <v>2</v>
      </c>
      <c r="F476" s="6">
        <v>1</v>
      </c>
      <c r="G476" s="6">
        <v>5</v>
      </c>
      <c r="H476" s="6">
        <v>5</v>
      </c>
      <c r="I476" s="6"/>
      <c r="J476" s="6"/>
      <c r="K476" s="6"/>
      <c r="L476" s="6" t="str">
        <f t="shared" si="49"/>
        <v>Manuel2</v>
      </c>
      <c r="M476" s="6" t="str">
        <f t="shared" si="50"/>
        <v>Chinatown (Nicholson, Dunaway)</v>
      </c>
      <c r="N476" s="9">
        <f t="shared" si="51"/>
        <v>5</v>
      </c>
      <c r="P476" t="str">
        <f t="shared" si="52"/>
        <v>"Manuel2";"Chinatown";"5"</v>
      </c>
      <c r="U476" t="str">
        <f t="shared" si="53"/>
        <v>Manuel2</v>
      </c>
      <c r="V476" t="str">
        <f t="shared" si="54"/>
        <v>Chinatown</v>
      </c>
      <c r="W476">
        <f t="shared" si="55"/>
        <v>1</v>
      </c>
    </row>
    <row r="477" spans="1:23" x14ac:dyDescent="0.2">
      <c r="A477" s="6" t="s">
        <v>27</v>
      </c>
      <c r="B477" s="6">
        <v>1986</v>
      </c>
      <c r="C477" s="6"/>
      <c r="D477" s="6" t="s">
        <v>73</v>
      </c>
      <c r="E477" s="6" t="s">
        <v>3</v>
      </c>
      <c r="F477" s="6">
        <v>0</v>
      </c>
      <c r="G477" s="6"/>
      <c r="H477" s="6">
        <v>0</v>
      </c>
      <c r="I477" s="6"/>
      <c r="J477" s="6"/>
      <c r="K477" s="6"/>
      <c r="L477" s="6" t="str">
        <f t="shared" si="49"/>
        <v>Manuel2</v>
      </c>
      <c r="M477" s="6" t="str">
        <f t="shared" si="50"/>
        <v>Clockwise (Gleese, Leatherbarrow)</v>
      </c>
      <c r="N477" s="9">
        <f t="shared" si="51"/>
        <v>0</v>
      </c>
      <c r="P477" t="str">
        <f t="shared" si="52"/>
        <v>"Manuel2";"Clockwise";"0"</v>
      </c>
      <c r="U477" t="str">
        <f t="shared" si="53"/>
        <v>Manuel2</v>
      </c>
      <c r="V477" t="str">
        <f t="shared" si="54"/>
        <v>Clockwise</v>
      </c>
      <c r="W477">
        <f t="shared" si="55"/>
        <v>0</v>
      </c>
    </row>
    <row r="478" spans="1:23" x14ac:dyDescent="0.2">
      <c r="A478" s="6" t="s">
        <v>28</v>
      </c>
      <c r="B478" s="6">
        <v>2011</v>
      </c>
      <c r="C478" s="6"/>
      <c r="D478" s="6" t="s">
        <v>73</v>
      </c>
      <c r="E478" s="6" t="s">
        <v>3</v>
      </c>
      <c r="F478" s="6">
        <v>0</v>
      </c>
      <c r="G478" s="6"/>
      <c r="H478" s="6">
        <v>0</v>
      </c>
      <c r="I478" s="6"/>
      <c r="J478" s="6"/>
      <c r="K478" s="6"/>
      <c r="L478" s="6" t="str">
        <f t="shared" si="49"/>
        <v>Manuel2</v>
      </c>
      <c r="M478" s="6" t="str">
        <f t="shared" si="50"/>
        <v>Colombiana (Saldana, Molla)</v>
      </c>
      <c r="N478" s="9">
        <f t="shared" si="51"/>
        <v>0</v>
      </c>
      <c r="P478" t="str">
        <f t="shared" si="52"/>
        <v>"Manuel2";"Colombiana";"0"</v>
      </c>
      <c r="U478" t="str">
        <f t="shared" si="53"/>
        <v>Manuel2</v>
      </c>
      <c r="V478" t="str">
        <f t="shared" si="54"/>
        <v>Colombiana</v>
      </c>
      <c r="W478">
        <f t="shared" si="55"/>
        <v>0</v>
      </c>
    </row>
    <row r="479" spans="1:23" x14ac:dyDescent="0.2">
      <c r="A479" s="6" t="s">
        <v>29</v>
      </c>
      <c r="B479" s="6">
        <v>1962</v>
      </c>
      <c r="C479" s="6"/>
      <c r="D479" s="6" t="s">
        <v>73</v>
      </c>
      <c r="E479" s="6" t="s">
        <v>3</v>
      </c>
      <c r="F479" s="6">
        <v>0</v>
      </c>
      <c r="G479" s="6"/>
      <c r="H479" s="6">
        <v>0</v>
      </c>
      <c r="I479" s="6"/>
      <c r="J479" s="6"/>
      <c r="K479" s="6"/>
      <c r="L479" s="6" t="str">
        <f t="shared" si="49"/>
        <v>Manuel2</v>
      </c>
      <c r="M479" s="6" t="str">
        <f t="shared" si="50"/>
        <v>Doctor No (Connery, Andress)</v>
      </c>
      <c r="N479" s="9">
        <f t="shared" si="51"/>
        <v>0</v>
      </c>
      <c r="P479" t="str">
        <f t="shared" si="52"/>
        <v>"Manuel2";"Doctor No";"0"</v>
      </c>
      <c r="U479" t="str">
        <f t="shared" si="53"/>
        <v>Manuel2</v>
      </c>
      <c r="V479" t="str">
        <f t="shared" si="54"/>
        <v>Doctor No</v>
      </c>
      <c r="W479">
        <f t="shared" si="55"/>
        <v>0</v>
      </c>
    </row>
    <row r="480" spans="1:23" x14ac:dyDescent="0.2">
      <c r="A480" s="6" t="s">
        <v>30</v>
      </c>
      <c r="B480" s="6">
        <v>1965</v>
      </c>
      <c r="C480" s="6"/>
      <c r="D480" s="6" t="s">
        <v>73</v>
      </c>
      <c r="E480" s="6" t="s">
        <v>3</v>
      </c>
      <c r="F480" s="6">
        <v>0</v>
      </c>
      <c r="G480" s="6"/>
      <c r="H480" s="6">
        <v>0</v>
      </c>
      <c r="I480" s="6"/>
      <c r="J480" s="6"/>
      <c r="K480" s="6"/>
      <c r="L480" s="6" t="str">
        <f t="shared" si="49"/>
        <v>Manuel2</v>
      </c>
      <c r="M480" s="6" t="str">
        <f t="shared" si="50"/>
        <v>Doctor Zhiwago (Sharif, Christie)</v>
      </c>
      <c r="N480" s="9">
        <f t="shared" si="51"/>
        <v>0</v>
      </c>
      <c r="P480" t="str">
        <f t="shared" si="52"/>
        <v>"Manuel2";"Doctor Zhiwago";"0"</v>
      </c>
      <c r="U480" t="str">
        <f t="shared" si="53"/>
        <v>Manuel2</v>
      </c>
      <c r="V480" t="str">
        <f t="shared" si="54"/>
        <v>Doctor Zhiwago</v>
      </c>
      <c r="W480">
        <f t="shared" si="55"/>
        <v>0</v>
      </c>
    </row>
    <row r="481" spans="1:23" x14ac:dyDescent="0.2">
      <c r="A481" s="6" t="s">
        <v>31</v>
      </c>
      <c r="B481" s="6">
        <v>1964</v>
      </c>
      <c r="C481" s="6"/>
      <c r="D481" s="6" t="s">
        <v>73</v>
      </c>
      <c r="E481" s="6" t="s">
        <v>3</v>
      </c>
      <c r="F481" s="6">
        <v>0</v>
      </c>
      <c r="G481" s="6"/>
      <c r="H481" s="6">
        <v>0</v>
      </c>
      <c r="I481" s="6"/>
      <c r="J481" s="6"/>
      <c r="K481" s="6"/>
      <c r="L481" s="6" t="str">
        <f t="shared" si="49"/>
        <v>Manuel2</v>
      </c>
      <c r="M481" s="6" t="str">
        <f t="shared" si="50"/>
        <v>Dr. Strangelove… (Sellers, Scott)</v>
      </c>
      <c r="N481" s="9">
        <f t="shared" si="51"/>
        <v>0</v>
      </c>
      <c r="P481" t="str">
        <f t="shared" si="52"/>
        <v>"Manuel2";"Dr. Strangelove…";"0"</v>
      </c>
      <c r="U481" t="str">
        <f t="shared" si="53"/>
        <v>Manuel2</v>
      </c>
      <c r="V481" t="str">
        <f t="shared" si="54"/>
        <v>Dr. Strangelove…</v>
      </c>
      <c r="W481">
        <f t="shared" si="55"/>
        <v>0</v>
      </c>
    </row>
    <row r="482" spans="1:23" x14ac:dyDescent="0.2">
      <c r="A482" s="6" t="s">
        <v>32</v>
      </c>
      <c r="B482" s="6">
        <v>2000</v>
      </c>
      <c r="C482" s="6"/>
      <c r="D482" s="6" t="s">
        <v>73</v>
      </c>
      <c r="E482" s="6" t="s">
        <v>3</v>
      </c>
      <c r="F482" s="6">
        <v>0</v>
      </c>
      <c r="G482" s="6"/>
      <c r="H482" s="6">
        <v>0</v>
      </c>
      <c r="I482" s="6"/>
      <c r="J482" s="6"/>
      <c r="K482" s="6"/>
      <c r="L482" s="6" t="str">
        <f t="shared" si="49"/>
        <v>Manuel2</v>
      </c>
      <c r="M482" s="6" t="str">
        <f t="shared" si="50"/>
        <v>Dr. T and the women (Gere, Hunt)</v>
      </c>
      <c r="N482" s="9">
        <f t="shared" si="51"/>
        <v>0</v>
      </c>
      <c r="P482" t="str">
        <f t="shared" si="52"/>
        <v>"Manuel2";"Dr. T and the women";"0"</v>
      </c>
      <c r="U482" t="str">
        <f t="shared" si="53"/>
        <v>Manuel2</v>
      </c>
      <c r="V482" t="str">
        <f t="shared" si="54"/>
        <v>Dr. T and the women</v>
      </c>
      <c r="W482">
        <f t="shared" si="55"/>
        <v>0</v>
      </c>
    </row>
    <row r="483" spans="1:23" x14ac:dyDescent="0.2">
      <c r="A483" s="6" t="s">
        <v>33</v>
      </c>
      <c r="B483" s="6">
        <v>1953</v>
      </c>
      <c r="C483" s="6"/>
      <c r="D483" s="6" t="s">
        <v>73</v>
      </c>
      <c r="E483" s="6" t="s">
        <v>3</v>
      </c>
      <c r="F483" s="6">
        <v>0</v>
      </c>
      <c r="G483" s="6"/>
      <c r="H483" s="6">
        <v>0</v>
      </c>
      <c r="I483" s="6"/>
      <c r="J483" s="6"/>
      <c r="K483" s="6"/>
      <c r="L483" s="6" t="str">
        <f t="shared" si="49"/>
        <v>Manuel2</v>
      </c>
      <c r="M483" s="6" t="str">
        <f t="shared" si="50"/>
        <v>Gentlemen Prefer Blondes (Monroe, Russell)</v>
      </c>
      <c r="N483" s="9">
        <f t="shared" si="51"/>
        <v>0</v>
      </c>
      <c r="P483" t="str">
        <f t="shared" si="52"/>
        <v>"Manuel2";"Gentlemen Prefer Blondes";"0"</v>
      </c>
      <c r="U483" t="str">
        <f t="shared" si="53"/>
        <v>Manuel2</v>
      </c>
      <c r="V483" t="str">
        <f t="shared" si="54"/>
        <v>Gentlemen Prefer Blondes</v>
      </c>
      <c r="W483">
        <f t="shared" si="55"/>
        <v>0</v>
      </c>
    </row>
    <row r="484" spans="1:23" x14ac:dyDescent="0.2">
      <c r="A484" s="6" t="s">
        <v>34</v>
      </c>
      <c r="B484" s="6">
        <v>2014</v>
      </c>
      <c r="C484" s="6"/>
      <c r="D484" s="6" t="s">
        <v>73</v>
      </c>
      <c r="E484" s="6" t="s">
        <v>2</v>
      </c>
      <c r="F484" s="6">
        <v>1</v>
      </c>
      <c r="G484" s="6">
        <v>4</v>
      </c>
      <c r="H484" s="6">
        <v>4</v>
      </c>
      <c r="I484" s="6"/>
      <c r="J484" s="6"/>
      <c r="K484" s="6"/>
      <c r="L484" s="6" t="str">
        <f t="shared" si="49"/>
        <v>Manuel2</v>
      </c>
      <c r="M484" s="6" t="str">
        <f t="shared" si="50"/>
        <v>Grand Budapest Hotel (Fiennes, Abraham)</v>
      </c>
      <c r="N484" s="9">
        <f t="shared" si="51"/>
        <v>4</v>
      </c>
      <c r="P484" t="str">
        <f t="shared" si="52"/>
        <v>"Manuel2";"Grand Budapest Hotel";"4"</v>
      </c>
      <c r="U484" t="str">
        <f t="shared" si="53"/>
        <v>Manuel2</v>
      </c>
      <c r="V484" t="str">
        <f t="shared" si="54"/>
        <v>Grand Budapest Hotel</v>
      </c>
      <c r="W484">
        <f t="shared" si="55"/>
        <v>1</v>
      </c>
    </row>
    <row r="485" spans="1:23" x14ac:dyDescent="0.2">
      <c r="A485" s="6" t="s">
        <v>35</v>
      </c>
      <c r="B485" s="6">
        <v>2001</v>
      </c>
      <c r="C485" s="6"/>
      <c r="D485" s="6" t="s">
        <v>73</v>
      </c>
      <c r="E485" s="6" t="s">
        <v>2</v>
      </c>
      <c r="F485" s="6">
        <v>1</v>
      </c>
      <c r="G485" s="6">
        <v>3</v>
      </c>
      <c r="H485" s="6">
        <v>3</v>
      </c>
      <c r="I485" s="6"/>
      <c r="J485" s="6"/>
      <c r="K485" s="6"/>
      <c r="L485" s="6" t="str">
        <f t="shared" si="49"/>
        <v>Manuel2</v>
      </c>
      <c r="M485" s="6" t="str">
        <f t="shared" si="50"/>
        <v>Harry Potter and the Philosopher's Stone (Radcliff, Harris)</v>
      </c>
      <c r="N485" s="9">
        <f t="shared" si="51"/>
        <v>3</v>
      </c>
      <c r="P485" t="str">
        <f t="shared" si="52"/>
        <v>"Manuel2";"Harry Potter and the Philosopher's Stone";"3"</v>
      </c>
      <c r="U485" t="str">
        <f t="shared" si="53"/>
        <v>Manuel2</v>
      </c>
      <c r="V485" t="str">
        <f t="shared" si="54"/>
        <v>Harry Potter and the Philosopher's Stone</v>
      </c>
      <c r="W485">
        <f t="shared" si="55"/>
        <v>1</v>
      </c>
    </row>
    <row r="486" spans="1:23" x14ac:dyDescent="0.2">
      <c r="A486" s="6" t="s">
        <v>36</v>
      </c>
      <c r="B486" s="6">
        <v>1950</v>
      </c>
      <c r="C486" s="6"/>
      <c r="D486" s="6" t="s">
        <v>73</v>
      </c>
      <c r="E486" s="6" t="s">
        <v>3</v>
      </c>
      <c r="F486" s="6">
        <v>0</v>
      </c>
      <c r="G486" s="6"/>
      <c r="H486" s="6">
        <v>0</v>
      </c>
      <c r="I486" s="6"/>
      <c r="J486" s="6"/>
      <c r="K486" s="6"/>
      <c r="L486" s="6" t="str">
        <f t="shared" si="49"/>
        <v>Manuel2</v>
      </c>
      <c r="M486" s="6" t="str">
        <f t="shared" si="50"/>
        <v>Harvey (Stewart, Hull)</v>
      </c>
      <c r="N486" s="9">
        <f t="shared" si="51"/>
        <v>0</v>
      </c>
      <c r="P486" t="str">
        <f t="shared" si="52"/>
        <v>"Manuel2";"Harvey";"0"</v>
      </c>
      <c r="U486" t="str">
        <f t="shared" si="53"/>
        <v>Manuel2</v>
      </c>
      <c r="V486" t="str">
        <f t="shared" si="54"/>
        <v>Harvey</v>
      </c>
      <c r="W486">
        <f t="shared" si="55"/>
        <v>0</v>
      </c>
    </row>
    <row r="487" spans="1:23" x14ac:dyDescent="0.2">
      <c r="A487" s="6" t="s">
        <v>37</v>
      </c>
      <c r="B487" s="6">
        <v>1962</v>
      </c>
      <c r="C487" s="6"/>
      <c r="D487" s="6" t="s">
        <v>73</v>
      </c>
      <c r="E487" s="6" t="s">
        <v>3</v>
      </c>
      <c r="F487" s="6">
        <v>0</v>
      </c>
      <c r="G487" s="6"/>
      <c r="H487" s="6">
        <v>0</v>
      </c>
      <c r="I487" s="6"/>
      <c r="J487" s="6"/>
      <c r="K487" s="6"/>
      <c r="L487" s="6" t="str">
        <f t="shared" si="49"/>
        <v>Manuel2</v>
      </c>
      <c r="M487" s="6" t="str">
        <f t="shared" si="50"/>
        <v>Hatari! (Wayne, Martinelli)</v>
      </c>
      <c r="N487" s="9">
        <f t="shared" si="51"/>
        <v>0</v>
      </c>
      <c r="P487" t="str">
        <f t="shared" si="52"/>
        <v>"Manuel2";"Hatari!";"0"</v>
      </c>
      <c r="U487" t="str">
        <f t="shared" si="53"/>
        <v>Manuel2</v>
      </c>
      <c r="V487" t="str">
        <f t="shared" si="54"/>
        <v>Hatari!</v>
      </c>
      <c r="W487">
        <f t="shared" si="55"/>
        <v>0</v>
      </c>
    </row>
    <row r="488" spans="1:23" x14ac:dyDescent="0.2">
      <c r="A488" s="6" t="s">
        <v>38</v>
      </c>
      <c r="B488" s="6">
        <v>1990</v>
      </c>
      <c r="C488" s="6"/>
      <c r="D488" s="6" t="s">
        <v>73</v>
      </c>
      <c r="E488" s="6" t="s">
        <v>2</v>
      </c>
      <c r="F488" s="6">
        <v>1</v>
      </c>
      <c r="G488" s="6">
        <v>2</v>
      </c>
      <c r="H488" s="6">
        <v>2</v>
      </c>
      <c r="I488" s="6"/>
      <c r="J488" s="6"/>
      <c r="K488" s="6"/>
      <c r="L488" s="6" t="str">
        <f t="shared" si="49"/>
        <v>Manuel2</v>
      </c>
      <c r="M488" s="6" t="str">
        <f t="shared" si="50"/>
        <v>Home alone (Culkin, Pesci)</v>
      </c>
      <c r="N488" s="9">
        <f t="shared" si="51"/>
        <v>2</v>
      </c>
      <c r="P488" t="str">
        <f t="shared" si="52"/>
        <v>"Manuel2";"Home alone";"2"</v>
      </c>
      <c r="U488" t="str">
        <f t="shared" si="53"/>
        <v>Manuel2</v>
      </c>
      <c r="V488" t="str">
        <f t="shared" si="54"/>
        <v>Home alone</v>
      </c>
      <c r="W488">
        <f t="shared" si="55"/>
        <v>1</v>
      </c>
    </row>
    <row r="489" spans="1:23" x14ac:dyDescent="0.2">
      <c r="A489" s="6" t="s">
        <v>39</v>
      </c>
      <c r="B489" s="6">
        <v>2004</v>
      </c>
      <c r="C489" s="6"/>
      <c r="D489" s="6" t="s">
        <v>73</v>
      </c>
      <c r="E489" s="6" t="s">
        <v>3</v>
      </c>
      <c r="F489" s="6">
        <v>0</v>
      </c>
      <c r="G489" s="6"/>
      <c r="H489" s="6">
        <v>0</v>
      </c>
      <c r="I489" s="6"/>
      <c r="J489" s="6"/>
      <c r="K489" s="6"/>
      <c r="L489" s="6" t="str">
        <f t="shared" si="49"/>
        <v>Manuel2</v>
      </c>
      <c r="M489" s="6" t="str">
        <f t="shared" si="50"/>
        <v>I, Robot (Smith, Moynahan)</v>
      </c>
      <c r="N489" s="9">
        <f t="shared" si="51"/>
        <v>0</v>
      </c>
      <c r="P489" t="str">
        <f t="shared" si="52"/>
        <v>"Manuel2";"I, Robot";"0"</v>
      </c>
      <c r="U489" t="str">
        <f t="shared" si="53"/>
        <v>Manuel2</v>
      </c>
      <c r="V489" t="str">
        <f t="shared" si="54"/>
        <v>I, Robot</v>
      </c>
      <c r="W489">
        <f t="shared" si="55"/>
        <v>0</v>
      </c>
    </row>
    <row r="490" spans="1:23" x14ac:dyDescent="0.2">
      <c r="A490" s="6" t="s">
        <v>40</v>
      </c>
      <c r="B490" s="6">
        <v>1967</v>
      </c>
      <c r="C490" s="6"/>
      <c r="D490" s="6" t="s">
        <v>73</v>
      </c>
      <c r="E490" s="6" t="s">
        <v>3</v>
      </c>
      <c r="F490" s="6">
        <v>0</v>
      </c>
      <c r="G490" s="6"/>
      <c r="H490" s="6">
        <v>0</v>
      </c>
      <c r="I490" s="6"/>
      <c r="J490" s="6"/>
      <c r="K490" s="6"/>
      <c r="L490" s="6" t="str">
        <f t="shared" si="49"/>
        <v>Manuel2</v>
      </c>
      <c r="M490" s="6" t="str">
        <f t="shared" si="50"/>
        <v>In The Heat Of The Night (Poitier, Steiger)</v>
      </c>
      <c r="N490" s="9">
        <f t="shared" si="51"/>
        <v>0</v>
      </c>
      <c r="P490" t="str">
        <f t="shared" si="52"/>
        <v>"Manuel2";"In The Heat Of The Night";"0"</v>
      </c>
      <c r="U490" t="str">
        <f t="shared" si="53"/>
        <v>Manuel2</v>
      </c>
      <c r="V490" t="str">
        <f t="shared" si="54"/>
        <v>In The Heat Of The Night</v>
      </c>
      <c r="W490">
        <f t="shared" si="55"/>
        <v>0</v>
      </c>
    </row>
    <row r="491" spans="1:23" x14ac:dyDescent="0.2">
      <c r="A491" s="6" t="s">
        <v>41</v>
      </c>
      <c r="B491" s="6">
        <v>2014</v>
      </c>
      <c r="C491" s="6"/>
      <c r="D491" s="6" t="s">
        <v>73</v>
      </c>
      <c r="E491" s="6" t="s">
        <v>3</v>
      </c>
      <c r="F491" s="6">
        <v>0</v>
      </c>
      <c r="G491" s="6"/>
      <c r="H491" s="6">
        <v>0</v>
      </c>
      <c r="I491" s="6"/>
      <c r="J491" s="6"/>
      <c r="K491" s="6"/>
      <c r="L491" s="6" t="str">
        <f t="shared" si="49"/>
        <v>Manuel2</v>
      </c>
      <c r="M491" s="6" t="str">
        <f t="shared" si="50"/>
        <v>Jack Ryan: Shadow Recruite (Pine, Costner)</v>
      </c>
      <c r="N491" s="9">
        <f t="shared" si="51"/>
        <v>0</v>
      </c>
      <c r="P491" t="str">
        <f t="shared" si="52"/>
        <v>"Manuel2";"Jack Ryan: Shadow Recruite";"0"</v>
      </c>
      <c r="U491" t="str">
        <f t="shared" si="53"/>
        <v>Manuel2</v>
      </c>
      <c r="V491" t="str">
        <f t="shared" si="54"/>
        <v>Jack Ryan: Shadow Recruite</v>
      </c>
      <c r="W491">
        <f t="shared" si="55"/>
        <v>0</v>
      </c>
    </row>
    <row r="492" spans="1:23" x14ac:dyDescent="0.2">
      <c r="A492" s="6" t="s">
        <v>42</v>
      </c>
      <c r="B492" s="6">
        <v>1995</v>
      </c>
      <c r="C492" s="6"/>
      <c r="D492" s="6" t="s">
        <v>73</v>
      </c>
      <c r="E492" s="6" t="s">
        <v>2</v>
      </c>
      <c r="F492" s="6">
        <v>1</v>
      </c>
      <c r="G492" s="6">
        <v>2</v>
      </c>
      <c r="H492" s="6">
        <v>2</v>
      </c>
      <c r="I492" s="6"/>
      <c r="J492" s="6"/>
      <c r="K492" s="6"/>
      <c r="L492" s="6" t="str">
        <f t="shared" si="49"/>
        <v>Manuel2</v>
      </c>
      <c r="M492" s="6" t="str">
        <f t="shared" si="50"/>
        <v>Jumanji (Williams, Dunst)</v>
      </c>
      <c r="N492" s="9">
        <f t="shared" si="51"/>
        <v>2</v>
      </c>
      <c r="P492" t="str">
        <f t="shared" si="52"/>
        <v>"Manuel2";"Jumanji";"2"</v>
      </c>
      <c r="U492" t="str">
        <f t="shared" si="53"/>
        <v>Manuel2</v>
      </c>
      <c r="V492" t="str">
        <f t="shared" si="54"/>
        <v>Jumanji</v>
      </c>
      <c r="W492">
        <f t="shared" si="55"/>
        <v>1</v>
      </c>
    </row>
    <row r="493" spans="1:23" x14ac:dyDescent="0.2">
      <c r="A493" s="6" t="s">
        <v>43</v>
      </c>
      <c r="B493" s="6">
        <v>2005</v>
      </c>
      <c r="C493" s="6"/>
      <c r="D493" s="6" t="s">
        <v>73</v>
      </c>
      <c r="E493" s="6" t="s">
        <v>3</v>
      </c>
      <c r="F493" s="6">
        <v>0</v>
      </c>
      <c r="G493" s="6"/>
      <c r="H493" s="6">
        <v>0</v>
      </c>
      <c r="I493" s="6"/>
      <c r="J493" s="6"/>
      <c r="K493" s="6"/>
      <c r="L493" s="6" t="str">
        <f t="shared" si="49"/>
        <v>Manuel2</v>
      </c>
      <c r="M493" s="6" t="str">
        <f t="shared" si="50"/>
        <v>King Kong (Watts, Black)</v>
      </c>
      <c r="N493" s="9">
        <f t="shared" si="51"/>
        <v>0</v>
      </c>
      <c r="P493" t="str">
        <f t="shared" si="52"/>
        <v>"Manuel2";"King Kong";"0"</v>
      </c>
      <c r="U493" t="str">
        <f t="shared" si="53"/>
        <v>Manuel2</v>
      </c>
      <c r="V493" t="str">
        <f t="shared" si="54"/>
        <v>King Kong</v>
      </c>
      <c r="W493">
        <f t="shared" si="55"/>
        <v>0</v>
      </c>
    </row>
    <row r="494" spans="1:23" x14ac:dyDescent="0.2">
      <c r="A494" s="6" t="s">
        <v>44</v>
      </c>
      <c r="B494" s="6">
        <v>2016</v>
      </c>
      <c r="C494" s="6"/>
      <c r="D494" s="6" t="s">
        <v>73</v>
      </c>
      <c r="E494" s="6" t="s">
        <v>3</v>
      </c>
      <c r="F494" s="6">
        <v>0</v>
      </c>
      <c r="G494" s="6"/>
      <c r="H494" s="6">
        <v>0</v>
      </c>
      <c r="I494" s="6"/>
      <c r="J494" s="6"/>
      <c r="K494" s="6"/>
      <c r="L494" s="6" t="str">
        <f t="shared" si="49"/>
        <v>Manuel2</v>
      </c>
      <c r="M494" s="6" t="str">
        <f t="shared" si="50"/>
        <v>La La Land (Gosling, Stone)</v>
      </c>
      <c r="N494" s="9">
        <f t="shared" si="51"/>
        <v>0</v>
      </c>
      <c r="P494" t="str">
        <f t="shared" si="52"/>
        <v>"Manuel2";"La La Land";"0"</v>
      </c>
      <c r="U494" t="str">
        <f t="shared" si="53"/>
        <v>Manuel2</v>
      </c>
      <c r="V494" t="str">
        <f t="shared" si="54"/>
        <v>La La Land</v>
      </c>
      <c r="W494">
        <f t="shared" si="55"/>
        <v>0</v>
      </c>
    </row>
    <row r="495" spans="1:23" x14ac:dyDescent="0.2">
      <c r="A495" s="6" t="s">
        <v>45</v>
      </c>
      <c r="B495" s="6">
        <v>2001</v>
      </c>
      <c r="C495" s="6"/>
      <c r="D495" s="6" t="s">
        <v>73</v>
      </c>
      <c r="E495" s="6" t="s">
        <v>2</v>
      </c>
      <c r="F495" s="6">
        <v>1</v>
      </c>
      <c r="G495" s="6">
        <v>3</v>
      </c>
      <c r="H495" s="6">
        <v>3</v>
      </c>
      <c r="I495" s="6"/>
      <c r="J495" s="6"/>
      <c r="K495" s="6"/>
      <c r="L495" s="6" t="str">
        <f t="shared" si="49"/>
        <v>Manuel2</v>
      </c>
      <c r="M495" s="6" t="str">
        <f t="shared" si="50"/>
        <v>Lord of the Rings (Woods, McKellen)</v>
      </c>
      <c r="N495" s="9">
        <f t="shared" si="51"/>
        <v>3</v>
      </c>
      <c r="P495" t="str">
        <f t="shared" si="52"/>
        <v>"Manuel2";"Lord of the Rings";"3"</v>
      </c>
      <c r="U495" t="str">
        <f t="shared" si="53"/>
        <v>Manuel2</v>
      </c>
      <c r="V495" t="str">
        <f t="shared" si="54"/>
        <v>Lord of the Rings</v>
      </c>
      <c r="W495">
        <f t="shared" si="55"/>
        <v>1</v>
      </c>
    </row>
    <row r="496" spans="1:23" x14ac:dyDescent="0.2">
      <c r="A496" s="6" t="s">
        <v>46</v>
      </c>
      <c r="B496" s="6">
        <v>1964</v>
      </c>
      <c r="C496" s="6"/>
      <c r="D496" s="6" t="s">
        <v>73</v>
      </c>
      <c r="E496" s="6" t="s">
        <v>2</v>
      </c>
      <c r="F496" s="6">
        <v>1</v>
      </c>
      <c r="G496" s="6">
        <v>5</v>
      </c>
      <c r="H496" s="6">
        <v>5</v>
      </c>
      <c r="I496" s="6"/>
      <c r="J496" s="6"/>
      <c r="K496" s="6"/>
      <c r="L496" s="6" t="str">
        <f t="shared" si="49"/>
        <v>Manuel2</v>
      </c>
      <c r="M496" s="6" t="str">
        <f t="shared" si="50"/>
        <v>Per Un Pugno Di Dollari (Eastwood, Koch)</v>
      </c>
      <c r="N496" s="9">
        <f t="shared" si="51"/>
        <v>5</v>
      </c>
      <c r="P496" t="str">
        <f t="shared" si="52"/>
        <v>"Manuel2";"Per Un Pugno Di Dollari";"5"</v>
      </c>
      <c r="U496" t="str">
        <f t="shared" si="53"/>
        <v>Manuel2</v>
      </c>
      <c r="V496" t="str">
        <f t="shared" si="54"/>
        <v>Per Un Pugno Di Dollari</v>
      </c>
      <c r="W496">
        <f t="shared" si="55"/>
        <v>1</v>
      </c>
    </row>
    <row r="497" spans="1:23" x14ac:dyDescent="0.2">
      <c r="A497" s="6" t="s">
        <v>47</v>
      </c>
      <c r="B497" s="6">
        <v>1954</v>
      </c>
      <c r="C497" s="6"/>
      <c r="D497" s="6" t="s">
        <v>73</v>
      </c>
      <c r="E497" s="6" t="s">
        <v>3</v>
      </c>
      <c r="F497" s="6">
        <v>0</v>
      </c>
      <c r="G497" s="6"/>
      <c r="H497" s="6">
        <v>0</v>
      </c>
      <c r="I497" s="6"/>
      <c r="J497" s="6"/>
      <c r="K497" s="6"/>
      <c r="L497" s="6" t="str">
        <f t="shared" si="49"/>
        <v>Manuel2</v>
      </c>
      <c r="M497" s="6" t="str">
        <f t="shared" si="50"/>
        <v>Rear Window (Stewart, Kelly)</v>
      </c>
      <c r="N497" s="9">
        <f t="shared" si="51"/>
        <v>0</v>
      </c>
      <c r="P497" t="str">
        <f t="shared" si="52"/>
        <v>"Manuel2";"Rear Window";"0"</v>
      </c>
      <c r="U497" t="str">
        <f t="shared" si="53"/>
        <v>Manuel2</v>
      </c>
      <c r="V497" t="str">
        <f t="shared" si="54"/>
        <v>Rear Window</v>
      </c>
      <c r="W497">
        <f t="shared" si="55"/>
        <v>0</v>
      </c>
    </row>
    <row r="498" spans="1:23" x14ac:dyDescent="0.2">
      <c r="A498" s="6" t="s">
        <v>48</v>
      </c>
      <c r="B498" s="6">
        <v>1955</v>
      </c>
      <c r="C498" s="6"/>
      <c r="D498" s="6" t="s">
        <v>73</v>
      </c>
      <c r="E498" s="6" t="s">
        <v>3</v>
      </c>
      <c r="F498" s="6">
        <v>0</v>
      </c>
      <c r="G498" s="6"/>
      <c r="H498" s="6">
        <v>0</v>
      </c>
      <c r="I498" s="6"/>
      <c r="J498" s="6"/>
      <c r="K498" s="6"/>
      <c r="L498" s="6" t="str">
        <f t="shared" si="49"/>
        <v>Manuel2</v>
      </c>
      <c r="M498" s="6" t="str">
        <f t="shared" si="50"/>
        <v>Rebel Without A Cause (Dean, Wood)</v>
      </c>
      <c r="N498" s="9">
        <f t="shared" si="51"/>
        <v>0</v>
      </c>
      <c r="P498" t="str">
        <f t="shared" si="52"/>
        <v>"Manuel2";"Rebel Without A Cause";"0"</v>
      </c>
      <c r="U498" t="str">
        <f t="shared" si="53"/>
        <v>Manuel2</v>
      </c>
      <c r="V498" t="str">
        <f t="shared" si="54"/>
        <v>Rebel Without A Cause</v>
      </c>
      <c r="W498">
        <f t="shared" si="55"/>
        <v>0</v>
      </c>
    </row>
    <row r="499" spans="1:23" x14ac:dyDescent="0.2">
      <c r="A499" s="6" t="s">
        <v>66</v>
      </c>
      <c r="B499" s="6">
        <v>2005</v>
      </c>
      <c r="C499" s="6"/>
      <c r="D499" s="6" t="s">
        <v>73</v>
      </c>
      <c r="E499" s="6" t="s">
        <v>3</v>
      </c>
      <c r="F499" s="6">
        <v>0</v>
      </c>
      <c r="G499" s="6"/>
      <c r="H499" s="6">
        <v>0</v>
      </c>
      <c r="I499" s="6"/>
      <c r="J499" s="6"/>
      <c r="K499" s="6"/>
      <c r="L499" s="6" t="str">
        <f t="shared" si="49"/>
        <v>Manuel2</v>
      </c>
      <c r="M499" s="6" t="str">
        <f t="shared" si="50"/>
        <v>Rumor has it (Aniston, Costner)</v>
      </c>
      <c r="N499" s="9">
        <f t="shared" si="51"/>
        <v>0</v>
      </c>
      <c r="P499" t="str">
        <f t="shared" si="52"/>
        <v>"Manuel2";"Rumor has it";"0"</v>
      </c>
      <c r="U499" t="str">
        <f t="shared" si="53"/>
        <v>Manuel2</v>
      </c>
      <c r="V499" t="str">
        <f t="shared" si="54"/>
        <v>Rumor has it</v>
      </c>
      <c r="W499">
        <f t="shared" si="55"/>
        <v>0</v>
      </c>
    </row>
    <row r="500" spans="1:23" x14ac:dyDescent="0.2">
      <c r="A500" s="6" t="s">
        <v>49</v>
      </c>
      <c r="B500" s="6">
        <v>1998</v>
      </c>
      <c r="C500" s="6"/>
      <c r="D500" s="6" t="s">
        <v>73</v>
      </c>
      <c r="E500" s="6" t="s">
        <v>3</v>
      </c>
      <c r="F500" s="6">
        <v>0</v>
      </c>
      <c r="G500" s="6"/>
      <c r="H500" s="6">
        <v>0</v>
      </c>
      <c r="I500" s="6"/>
      <c r="J500" s="6"/>
      <c r="K500" s="6"/>
      <c r="L500" s="6" t="str">
        <f t="shared" si="49"/>
        <v>Manuel2</v>
      </c>
      <c r="M500" s="6" t="str">
        <f t="shared" si="50"/>
        <v>Saving private Ryan (Hanks, Damon)</v>
      </c>
      <c r="N500" s="9">
        <f t="shared" si="51"/>
        <v>0</v>
      </c>
      <c r="P500" t="str">
        <f t="shared" si="52"/>
        <v>"Manuel2";"Saving private Ryan";"0"</v>
      </c>
      <c r="U500" t="str">
        <f t="shared" si="53"/>
        <v>Manuel2</v>
      </c>
      <c r="V500" t="str">
        <f t="shared" si="54"/>
        <v>Saving private Ryan</v>
      </c>
      <c r="W500">
        <f t="shared" si="55"/>
        <v>0</v>
      </c>
    </row>
    <row r="501" spans="1:23" x14ac:dyDescent="0.2">
      <c r="A501" s="6" t="s">
        <v>50</v>
      </c>
      <c r="B501" s="6">
        <v>1993</v>
      </c>
      <c r="C501" s="6"/>
      <c r="D501" s="6" t="s">
        <v>73</v>
      </c>
      <c r="E501" s="6" t="s">
        <v>2</v>
      </c>
      <c r="F501" s="6">
        <v>1</v>
      </c>
      <c r="G501" s="6">
        <v>3</v>
      </c>
      <c r="H501" s="6">
        <v>3</v>
      </c>
      <c r="I501" s="6"/>
      <c r="J501" s="6"/>
      <c r="K501" s="6"/>
      <c r="L501" s="6" t="str">
        <f t="shared" si="49"/>
        <v>Manuel2</v>
      </c>
      <c r="M501" s="6" t="str">
        <f t="shared" si="50"/>
        <v>Schindlers List (Neeson, Fiennes)</v>
      </c>
      <c r="N501" s="9">
        <f t="shared" si="51"/>
        <v>3</v>
      </c>
      <c r="P501" t="str">
        <f t="shared" si="52"/>
        <v>"Manuel2";"Schindlers List";"3"</v>
      </c>
      <c r="U501" t="str">
        <f t="shared" si="53"/>
        <v>Manuel2</v>
      </c>
      <c r="V501" t="str">
        <f t="shared" si="54"/>
        <v>Schindlers List</v>
      </c>
      <c r="W501">
        <f t="shared" si="55"/>
        <v>1</v>
      </c>
    </row>
    <row r="502" spans="1:23" x14ac:dyDescent="0.2">
      <c r="A502" s="6" t="s">
        <v>51</v>
      </c>
      <c r="B502" s="6">
        <v>1996</v>
      </c>
      <c r="C502" s="6"/>
      <c r="D502" s="6" t="s">
        <v>73</v>
      </c>
      <c r="E502" s="6" t="s">
        <v>2</v>
      </c>
      <c r="F502" s="6">
        <v>1</v>
      </c>
      <c r="G502" s="6">
        <v>3</v>
      </c>
      <c r="H502" s="6">
        <v>3</v>
      </c>
      <c r="I502" s="6"/>
      <c r="J502" s="6"/>
      <c r="K502" s="6"/>
      <c r="L502" s="6" t="str">
        <f t="shared" si="49"/>
        <v>Manuel2</v>
      </c>
      <c r="M502" s="6" t="str">
        <f t="shared" si="50"/>
        <v>Scream (Arquette, Campell)</v>
      </c>
      <c r="N502" s="9">
        <f t="shared" si="51"/>
        <v>3</v>
      </c>
      <c r="P502" t="str">
        <f t="shared" si="52"/>
        <v>"Manuel2";"Scream";"3"</v>
      </c>
      <c r="U502" t="str">
        <f t="shared" si="53"/>
        <v>Manuel2</v>
      </c>
      <c r="V502" t="str">
        <f t="shared" si="54"/>
        <v>Scream</v>
      </c>
      <c r="W502">
        <f t="shared" si="55"/>
        <v>1</v>
      </c>
    </row>
    <row r="503" spans="1:23" x14ac:dyDescent="0.2">
      <c r="A503" s="6" t="s">
        <v>52</v>
      </c>
      <c r="B503" s="6">
        <v>1977</v>
      </c>
      <c r="C503" s="6"/>
      <c r="D503" s="6" t="s">
        <v>73</v>
      </c>
      <c r="E503" s="6" t="s">
        <v>2</v>
      </c>
      <c r="F503" s="6">
        <v>1</v>
      </c>
      <c r="G503" s="6">
        <v>4</v>
      </c>
      <c r="H503" s="6">
        <v>4</v>
      </c>
      <c r="I503" s="6"/>
      <c r="J503" s="6"/>
      <c r="K503" s="6"/>
      <c r="L503" s="6" t="str">
        <f t="shared" si="49"/>
        <v>Manuel2</v>
      </c>
      <c r="M503" s="6" t="str">
        <f t="shared" si="50"/>
        <v>Star Wars IV: A new hope (Hamill, Ford)</v>
      </c>
      <c r="N503" s="9">
        <f t="shared" si="51"/>
        <v>4</v>
      </c>
      <c r="P503" t="str">
        <f t="shared" si="52"/>
        <v>"Manuel2";"Star Wars IV: A new hope";"4"</v>
      </c>
      <c r="U503" t="str">
        <f t="shared" si="53"/>
        <v>Manuel2</v>
      </c>
      <c r="V503" t="str">
        <f t="shared" si="54"/>
        <v>Star Wars IV: A new hope</v>
      </c>
      <c r="W503">
        <f t="shared" si="55"/>
        <v>1</v>
      </c>
    </row>
    <row r="504" spans="1:23" x14ac:dyDescent="0.2">
      <c r="A504" s="6" t="s">
        <v>53</v>
      </c>
      <c r="B504" s="6">
        <v>2016</v>
      </c>
      <c r="C504" s="6"/>
      <c r="D504" s="6" t="s">
        <v>73</v>
      </c>
      <c r="E504" s="6" t="s">
        <v>3</v>
      </c>
      <c r="F504" s="6">
        <v>0</v>
      </c>
      <c r="G504" s="6"/>
      <c r="H504" s="6">
        <v>0</v>
      </c>
      <c r="I504" s="6"/>
      <c r="J504" s="6"/>
      <c r="K504" s="6"/>
      <c r="L504" s="6" t="str">
        <f t="shared" si="49"/>
        <v>Manuel2</v>
      </c>
      <c r="M504" s="6" t="str">
        <f t="shared" si="50"/>
        <v>Suicide Squad (Smith, Robbie)</v>
      </c>
      <c r="N504" s="9">
        <f t="shared" si="51"/>
        <v>0</v>
      </c>
      <c r="P504" t="str">
        <f t="shared" si="52"/>
        <v>"Manuel2";"Suicide Squad";"0"</v>
      </c>
      <c r="U504" t="str">
        <f t="shared" si="53"/>
        <v>Manuel2</v>
      </c>
      <c r="V504" t="str">
        <f t="shared" si="54"/>
        <v>Suicide Squad</v>
      </c>
      <c r="W504">
        <f t="shared" si="55"/>
        <v>0</v>
      </c>
    </row>
    <row r="505" spans="1:23" x14ac:dyDescent="0.2">
      <c r="A505" s="6" t="s">
        <v>54</v>
      </c>
      <c r="B505" s="6">
        <v>2010</v>
      </c>
      <c r="C505" s="6"/>
      <c r="D505" s="6" t="s">
        <v>73</v>
      </c>
      <c r="E505" s="6" t="s">
        <v>2</v>
      </c>
      <c r="F505" s="6">
        <v>1</v>
      </c>
      <c r="G505" s="6">
        <v>3</v>
      </c>
      <c r="H505" s="6">
        <v>3</v>
      </c>
      <c r="I505" s="6"/>
      <c r="J505" s="6"/>
      <c r="K505" s="6"/>
      <c r="L505" s="6" t="str">
        <f t="shared" si="49"/>
        <v>Manuel2</v>
      </c>
      <c r="M505" s="6" t="str">
        <f t="shared" si="50"/>
        <v>Tangled (Disney)</v>
      </c>
      <c r="N505" s="9">
        <f t="shared" si="51"/>
        <v>3</v>
      </c>
      <c r="P505" t="str">
        <f t="shared" si="52"/>
        <v>"Manuel2";"Tangled";"3"</v>
      </c>
      <c r="U505" t="str">
        <f t="shared" si="53"/>
        <v>Manuel2</v>
      </c>
      <c r="V505" t="str">
        <f t="shared" si="54"/>
        <v>Tangled</v>
      </c>
      <c r="W505">
        <f t="shared" si="55"/>
        <v>1</v>
      </c>
    </row>
    <row r="506" spans="1:23" x14ac:dyDescent="0.2">
      <c r="A506" s="6" t="s">
        <v>55</v>
      </c>
      <c r="B506" s="6">
        <v>2012</v>
      </c>
      <c r="C506" s="6"/>
      <c r="D506" s="6" t="s">
        <v>73</v>
      </c>
      <c r="E506" s="6" t="s">
        <v>3</v>
      </c>
      <c r="F506" s="6">
        <v>0</v>
      </c>
      <c r="G506" s="6"/>
      <c r="H506" s="6">
        <v>0</v>
      </c>
      <c r="I506" s="6"/>
      <c r="J506" s="6"/>
      <c r="K506" s="6"/>
      <c r="L506" s="6" t="str">
        <f t="shared" si="49"/>
        <v>Manuel2</v>
      </c>
      <c r="M506" s="6" t="str">
        <f t="shared" si="50"/>
        <v>The Avengers (Downey Jr. Evans)</v>
      </c>
      <c r="N506" s="9">
        <f t="shared" si="51"/>
        <v>0</v>
      </c>
      <c r="P506" t="str">
        <f t="shared" si="52"/>
        <v>"Manuel2";"The Avengers";"0"</v>
      </c>
      <c r="U506" t="str">
        <f t="shared" si="53"/>
        <v>Manuel2</v>
      </c>
      <c r="V506" t="str">
        <f t="shared" si="54"/>
        <v>The Avengers</v>
      </c>
      <c r="W506">
        <f t="shared" si="55"/>
        <v>0</v>
      </c>
    </row>
    <row r="507" spans="1:23" x14ac:dyDescent="0.2">
      <c r="A507" s="6" t="s">
        <v>56</v>
      </c>
      <c r="B507" s="6">
        <v>1973</v>
      </c>
      <c r="C507" s="6"/>
      <c r="D507" s="6" t="s">
        <v>73</v>
      </c>
      <c r="E507" s="6" t="s">
        <v>2</v>
      </c>
      <c r="F507" s="6">
        <v>1</v>
      </c>
      <c r="G507" s="6">
        <v>3</v>
      </c>
      <c r="H507" s="6">
        <v>3</v>
      </c>
      <c r="I507" s="6"/>
      <c r="J507" s="6"/>
      <c r="K507" s="6"/>
      <c r="L507" s="6" t="str">
        <f t="shared" si="49"/>
        <v>Manuel2</v>
      </c>
      <c r="M507" s="6" t="str">
        <f t="shared" si="50"/>
        <v>The Exorcist (von Sydow, Blair)</v>
      </c>
      <c r="N507" s="9">
        <f t="shared" si="51"/>
        <v>3</v>
      </c>
      <c r="P507" t="str">
        <f t="shared" si="52"/>
        <v>"Manuel2";"The Exorcist";"3"</v>
      </c>
      <c r="U507" t="str">
        <f t="shared" si="53"/>
        <v>Manuel2</v>
      </c>
      <c r="V507" t="str">
        <f t="shared" si="54"/>
        <v>The Exorcist</v>
      </c>
      <c r="W507">
        <f t="shared" si="55"/>
        <v>1</v>
      </c>
    </row>
    <row r="508" spans="1:23" x14ac:dyDescent="0.2">
      <c r="A508" s="6" t="s">
        <v>57</v>
      </c>
      <c r="B508" s="6">
        <v>1972</v>
      </c>
      <c r="C508" s="6"/>
      <c r="D508" s="6" t="s">
        <v>73</v>
      </c>
      <c r="E508" s="6" t="s">
        <v>2</v>
      </c>
      <c r="F508" s="6">
        <v>1</v>
      </c>
      <c r="G508" s="6">
        <v>5</v>
      </c>
      <c r="H508" s="6">
        <v>5</v>
      </c>
      <c r="I508" s="6"/>
      <c r="J508" s="6"/>
      <c r="K508" s="6"/>
      <c r="L508" s="6" t="str">
        <f t="shared" si="49"/>
        <v>Manuel2</v>
      </c>
      <c r="M508" s="6" t="str">
        <f t="shared" si="50"/>
        <v>The Godfather (Brando, Pacino)</v>
      </c>
      <c r="N508" s="9">
        <f t="shared" si="51"/>
        <v>5</v>
      </c>
      <c r="P508" t="str">
        <f t="shared" si="52"/>
        <v>"Manuel2";"The Godfather";"5"</v>
      </c>
      <c r="U508" t="str">
        <f t="shared" si="53"/>
        <v>Manuel2</v>
      </c>
      <c r="V508" t="str">
        <f t="shared" si="54"/>
        <v>The Godfather</v>
      </c>
      <c r="W508">
        <f t="shared" si="55"/>
        <v>1</v>
      </c>
    </row>
    <row r="509" spans="1:23" x14ac:dyDescent="0.2">
      <c r="A509" s="6" t="s">
        <v>58</v>
      </c>
      <c r="B509" s="6">
        <v>1994</v>
      </c>
      <c r="C509" s="6"/>
      <c r="D509" s="6" t="s">
        <v>73</v>
      </c>
      <c r="E509" s="6" t="s">
        <v>2</v>
      </c>
      <c r="F509" s="6">
        <v>1</v>
      </c>
      <c r="G509" s="6">
        <v>3</v>
      </c>
      <c r="H509" s="6">
        <v>3</v>
      </c>
      <c r="I509" s="6"/>
      <c r="J509" s="6"/>
      <c r="K509" s="6"/>
      <c r="L509" s="6" t="str">
        <f t="shared" si="49"/>
        <v>Manuel2</v>
      </c>
      <c r="M509" s="6" t="str">
        <f t="shared" si="50"/>
        <v>The Lion King (Disney)</v>
      </c>
      <c r="N509" s="9">
        <f t="shared" si="51"/>
        <v>3</v>
      </c>
      <c r="P509" t="str">
        <f t="shared" si="52"/>
        <v>"Manuel2";"The Lion King";"3"</v>
      </c>
      <c r="U509" t="str">
        <f t="shared" si="53"/>
        <v>Manuel2</v>
      </c>
      <c r="V509" t="str">
        <f t="shared" si="54"/>
        <v>The Lion King</v>
      </c>
      <c r="W509">
        <f t="shared" si="55"/>
        <v>1</v>
      </c>
    </row>
    <row r="510" spans="1:23" x14ac:dyDescent="0.2">
      <c r="A510" s="6" t="s">
        <v>59</v>
      </c>
      <c r="B510" s="6">
        <v>1999</v>
      </c>
      <c r="C510" s="6"/>
      <c r="D510" s="6" t="s">
        <v>73</v>
      </c>
      <c r="E510" s="6" t="s">
        <v>2</v>
      </c>
      <c r="F510" s="6">
        <v>1</v>
      </c>
      <c r="G510" s="6">
        <v>3</v>
      </c>
      <c r="H510" s="6">
        <v>3</v>
      </c>
      <c r="I510" s="6"/>
      <c r="J510" s="6"/>
      <c r="K510" s="6"/>
      <c r="L510" s="6" t="str">
        <f t="shared" si="49"/>
        <v>Manuel2</v>
      </c>
      <c r="M510" s="6" t="str">
        <f t="shared" si="50"/>
        <v>The Matrix (Reeves, Fishburn)</v>
      </c>
      <c r="N510" s="9">
        <f t="shared" si="51"/>
        <v>3</v>
      </c>
      <c r="P510" t="str">
        <f t="shared" si="52"/>
        <v>"Manuel2";"The Matrix";"3"</v>
      </c>
      <c r="U510" t="str">
        <f t="shared" si="53"/>
        <v>Manuel2</v>
      </c>
      <c r="V510" t="str">
        <f t="shared" si="54"/>
        <v>The Matrix</v>
      </c>
      <c r="W510">
        <f t="shared" si="55"/>
        <v>1</v>
      </c>
    </row>
    <row r="511" spans="1:23" x14ac:dyDescent="0.2">
      <c r="A511" s="6" t="s">
        <v>60</v>
      </c>
      <c r="B511" s="6">
        <v>1980</v>
      </c>
      <c r="C511" s="6"/>
      <c r="D511" s="6" t="s">
        <v>73</v>
      </c>
      <c r="E511" s="6" t="s">
        <v>2</v>
      </c>
      <c r="F511" s="6">
        <v>1</v>
      </c>
      <c r="G511" s="6">
        <v>5</v>
      </c>
      <c r="H511" s="6">
        <v>5</v>
      </c>
      <c r="I511" s="6"/>
      <c r="J511" s="6"/>
      <c r="K511" s="6"/>
      <c r="L511" s="6" t="str">
        <f t="shared" si="49"/>
        <v>Manuel2</v>
      </c>
      <c r="M511" s="6" t="str">
        <f t="shared" si="50"/>
        <v>The Shining (Nicholson, Duvall)</v>
      </c>
      <c r="N511" s="9">
        <f t="shared" si="51"/>
        <v>5</v>
      </c>
      <c r="P511" t="str">
        <f t="shared" si="52"/>
        <v>"Manuel2";"The Shining";"5"</v>
      </c>
      <c r="U511" t="str">
        <f t="shared" si="53"/>
        <v>Manuel2</v>
      </c>
      <c r="V511" t="str">
        <f t="shared" si="54"/>
        <v>The Shining</v>
      </c>
      <c r="W511">
        <f t="shared" si="55"/>
        <v>1</v>
      </c>
    </row>
    <row r="512" spans="1:23" x14ac:dyDescent="0.2">
      <c r="A512" s="6" t="s">
        <v>61</v>
      </c>
      <c r="B512" s="6">
        <v>1984</v>
      </c>
      <c r="C512" s="6"/>
      <c r="D512" s="6" t="s">
        <v>73</v>
      </c>
      <c r="E512" s="6" t="s">
        <v>2</v>
      </c>
      <c r="F512" s="6">
        <v>1</v>
      </c>
      <c r="G512" s="6">
        <v>4</v>
      </c>
      <c r="H512" s="6">
        <v>4</v>
      </c>
      <c r="I512" s="6"/>
      <c r="J512" s="6"/>
      <c r="K512" s="6"/>
      <c r="L512" s="6" t="str">
        <f t="shared" si="49"/>
        <v>Manuel2</v>
      </c>
      <c r="M512" s="6" t="str">
        <f t="shared" si="50"/>
        <v>The Terminator (Schwarzenegger, Hamilton)</v>
      </c>
      <c r="N512" s="9">
        <f t="shared" si="51"/>
        <v>4</v>
      </c>
      <c r="P512" t="str">
        <f t="shared" si="52"/>
        <v>"Manuel2";"The Terminator";"4"</v>
      </c>
      <c r="U512" t="str">
        <f t="shared" si="53"/>
        <v>Manuel2</v>
      </c>
      <c r="V512" t="str">
        <f t="shared" si="54"/>
        <v>The Terminator</v>
      </c>
      <c r="W512">
        <f t="shared" si="55"/>
        <v>1</v>
      </c>
    </row>
    <row r="513" spans="1:23" x14ac:dyDescent="0.2">
      <c r="A513" s="6" t="s">
        <v>62</v>
      </c>
      <c r="B513" s="6">
        <v>1986</v>
      </c>
      <c r="C513" s="6"/>
      <c r="D513" s="6" t="s">
        <v>73</v>
      </c>
      <c r="E513" s="6" t="s">
        <v>2</v>
      </c>
      <c r="F513" s="6">
        <v>1</v>
      </c>
      <c r="G513" s="6">
        <v>2</v>
      </c>
      <c r="H513" s="6">
        <v>2</v>
      </c>
      <c r="I513" s="6"/>
      <c r="J513" s="6"/>
      <c r="K513" s="6"/>
      <c r="L513" s="6" t="str">
        <f t="shared" si="49"/>
        <v>Manuel2</v>
      </c>
      <c r="M513" s="6" t="str">
        <f t="shared" si="50"/>
        <v>Top Gun (Cruise, McGillis)</v>
      </c>
      <c r="N513" s="9">
        <f t="shared" si="51"/>
        <v>2</v>
      </c>
      <c r="P513" t="str">
        <f t="shared" si="52"/>
        <v>"Manuel2";"Top Gun";"2"</v>
      </c>
      <c r="U513" t="str">
        <f t="shared" si="53"/>
        <v>Manuel2</v>
      </c>
      <c r="V513" t="str">
        <f t="shared" si="54"/>
        <v>Top Gun</v>
      </c>
      <c r="W513">
        <f t="shared" si="55"/>
        <v>1</v>
      </c>
    </row>
    <row r="514" spans="1:23" x14ac:dyDescent="0.2">
      <c r="A514" s="6" t="s">
        <v>63</v>
      </c>
      <c r="B514" s="6">
        <v>1995</v>
      </c>
      <c r="C514" s="6"/>
      <c r="D514" s="6" t="s">
        <v>73</v>
      </c>
      <c r="E514" s="6" t="s">
        <v>2</v>
      </c>
      <c r="F514" s="6">
        <v>1</v>
      </c>
      <c r="G514" s="6">
        <v>3</v>
      </c>
      <c r="H514" s="6">
        <v>3</v>
      </c>
      <c r="I514" s="6"/>
      <c r="J514" s="6"/>
      <c r="K514" s="6"/>
      <c r="L514" s="6" t="str">
        <f t="shared" si="49"/>
        <v>Manuel2</v>
      </c>
      <c r="M514" s="6" t="str">
        <f t="shared" si="50"/>
        <v>Toy Story (Pixar)</v>
      </c>
      <c r="N514" s="9">
        <f t="shared" si="51"/>
        <v>3</v>
      </c>
      <c r="P514" t="str">
        <f t="shared" si="52"/>
        <v>"Manuel2";"Toy Story";"3"</v>
      </c>
      <c r="U514" t="str">
        <f t="shared" si="53"/>
        <v>Manuel2</v>
      </c>
      <c r="V514" t="str">
        <f t="shared" si="54"/>
        <v>Toy Story</v>
      </c>
      <c r="W514">
        <f t="shared" si="55"/>
        <v>1</v>
      </c>
    </row>
    <row r="515" spans="1:23" x14ac:dyDescent="0.2">
      <c r="A515" s="21" t="s">
        <v>8</v>
      </c>
      <c r="B515" s="21">
        <v>1968</v>
      </c>
      <c r="C515" s="21"/>
      <c r="D515" s="21" t="s">
        <v>74</v>
      </c>
      <c r="E515" s="21" t="s">
        <v>2</v>
      </c>
      <c r="F515" s="21">
        <v>1</v>
      </c>
      <c r="G515" s="21">
        <v>4</v>
      </c>
      <c r="H515" s="21">
        <v>4</v>
      </c>
      <c r="I515" s="6"/>
      <c r="J515" s="6"/>
      <c r="K515" s="6"/>
      <c r="L515" s="6" t="str">
        <f t="shared" ref="L515:L578" si="56">D515</f>
        <v>Edwin gruber</v>
      </c>
      <c r="M515" s="6" t="str">
        <f t="shared" ref="M515:M578" si="57">A515</f>
        <v>2001: A Space Odyssey (Duella, Lockwood)</v>
      </c>
      <c r="N515" s="9">
        <f t="shared" ref="N515:N578" si="58">H515</f>
        <v>4</v>
      </c>
      <c r="P515" t="str">
        <f t="shared" ref="P515:P578" si="59">""""&amp;L515&amp;""";"""&amp;LEFT(M515,FIND("(",M515)-2)&amp;""";"""&amp;SUBSTITUTE(N515,",",".")&amp;""""</f>
        <v>"Edwin gruber";"2001: A Space Odyssey";"4"</v>
      </c>
      <c r="U515" t="str">
        <f t="shared" ref="U515:U578" si="60">D515</f>
        <v>Edwin gruber</v>
      </c>
      <c r="V515" t="str">
        <f t="shared" ref="V515:V578" si="61">LEFT(A515,FIND("(",A515)-2)</f>
        <v>2001: A Space Odyssey</v>
      </c>
      <c r="W515">
        <f t="shared" ref="W515:W578" si="62">F515</f>
        <v>1</v>
      </c>
    </row>
    <row r="516" spans="1:23" x14ac:dyDescent="0.2">
      <c r="A516" s="21" t="s">
        <v>9</v>
      </c>
      <c r="B516" s="21">
        <v>1971</v>
      </c>
      <c r="C516" s="21"/>
      <c r="D516" s="21" t="s">
        <v>74</v>
      </c>
      <c r="E516" s="21" t="s">
        <v>2</v>
      </c>
      <c r="F516" s="21">
        <v>1</v>
      </c>
      <c r="G516" s="21">
        <v>4</v>
      </c>
      <c r="H516" s="21">
        <v>4</v>
      </c>
      <c r="I516" s="6"/>
      <c r="J516" s="6"/>
      <c r="K516" s="6"/>
      <c r="L516" s="6" t="str">
        <f t="shared" si="56"/>
        <v>Edwin gruber</v>
      </c>
      <c r="M516" s="6" t="str">
        <f t="shared" si="57"/>
        <v>A Clockwork Orange (McDowell, Magee)</v>
      </c>
      <c r="N516" s="9">
        <f t="shared" si="58"/>
        <v>4</v>
      </c>
      <c r="P516" t="str">
        <f t="shared" si="59"/>
        <v>"Edwin gruber";"A Clockwork Orange";"4"</v>
      </c>
      <c r="U516" t="str">
        <f t="shared" si="60"/>
        <v>Edwin gruber</v>
      </c>
      <c r="V516" t="str">
        <f t="shared" si="61"/>
        <v>A Clockwork Orange</v>
      </c>
      <c r="W516">
        <f t="shared" si="62"/>
        <v>1</v>
      </c>
    </row>
    <row r="517" spans="1:23" x14ac:dyDescent="0.2">
      <c r="A517" s="21" t="s">
        <v>10</v>
      </c>
      <c r="B517" s="21">
        <v>2018</v>
      </c>
      <c r="C517" s="21"/>
      <c r="D517" s="21" t="s">
        <v>74</v>
      </c>
      <c r="E517" s="21" t="s">
        <v>3</v>
      </c>
      <c r="F517" s="21">
        <v>0</v>
      </c>
      <c r="G517" s="21">
        <v>0</v>
      </c>
      <c r="H517" s="21">
        <v>0</v>
      </c>
      <c r="I517" s="6"/>
      <c r="J517" s="6"/>
      <c r="K517" s="6"/>
      <c r="L517" s="6" t="str">
        <f t="shared" si="56"/>
        <v>Edwin gruber</v>
      </c>
      <c r="M517" s="6" t="str">
        <f t="shared" si="57"/>
        <v>A star is born (Gaga, Cooper)</v>
      </c>
      <c r="N517" s="9">
        <f t="shared" si="58"/>
        <v>0</v>
      </c>
      <c r="P517" t="str">
        <f t="shared" si="59"/>
        <v>"Edwin gruber";"A star is born";"0"</v>
      </c>
      <c r="U517" t="str">
        <f t="shared" si="60"/>
        <v>Edwin gruber</v>
      </c>
      <c r="V517" t="str">
        <f t="shared" si="61"/>
        <v>A star is born</v>
      </c>
      <c r="W517">
        <f t="shared" si="62"/>
        <v>0</v>
      </c>
    </row>
    <row r="518" spans="1:23" x14ac:dyDescent="0.2">
      <c r="A518" s="21" t="s">
        <v>11</v>
      </c>
      <c r="B518" s="21">
        <v>2005</v>
      </c>
      <c r="C518" s="21"/>
      <c r="D518" s="21" t="s">
        <v>74</v>
      </c>
      <c r="E518" s="21" t="s">
        <v>3</v>
      </c>
      <c r="F518" s="21">
        <v>0</v>
      </c>
      <c r="G518" s="21">
        <v>0</v>
      </c>
      <c r="H518" s="21">
        <v>0</v>
      </c>
      <c r="I518" s="6"/>
      <c r="J518" s="6"/>
      <c r="K518" s="6"/>
      <c r="L518" s="6" t="str">
        <f t="shared" si="56"/>
        <v>Edwin gruber</v>
      </c>
      <c r="M518" s="6" t="str">
        <f t="shared" si="57"/>
        <v>Aeon Flux (Theron, Csokas)</v>
      </c>
      <c r="N518" s="9">
        <f t="shared" si="58"/>
        <v>0</v>
      </c>
      <c r="P518" t="str">
        <f t="shared" si="59"/>
        <v>"Edwin gruber";"Aeon Flux";"0"</v>
      </c>
      <c r="U518" t="str">
        <f t="shared" si="60"/>
        <v>Edwin gruber</v>
      </c>
      <c r="V518" t="str">
        <f t="shared" si="61"/>
        <v>Aeon Flux</v>
      </c>
      <c r="W518">
        <f t="shared" si="62"/>
        <v>0</v>
      </c>
    </row>
    <row r="519" spans="1:23" x14ac:dyDescent="0.2">
      <c r="A519" s="21" t="s">
        <v>12</v>
      </c>
      <c r="B519" s="21">
        <v>1951</v>
      </c>
      <c r="C519" s="21"/>
      <c r="D519" s="21" t="s">
        <v>74</v>
      </c>
      <c r="E519" s="21" t="s">
        <v>3</v>
      </c>
      <c r="F519" s="21">
        <v>0</v>
      </c>
      <c r="G519" s="21">
        <v>0</v>
      </c>
      <c r="H519" s="21">
        <v>0</v>
      </c>
      <c r="I519" s="6"/>
      <c r="J519" s="6"/>
      <c r="K519" s="6"/>
      <c r="L519" s="6" t="str">
        <f t="shared" si="56"/>
        <v>Edwin gruber</v>
      </c>
      <c r="M519" s="6" t="str">
        <f t="shared" si="57"/>
        <v>African Queen (Bogart, Hepburn)</v>
      </c>
      <c r="N519" s="9">
        <f t="shared" si="58"/>
        <v>0</v>
      </c>
      <c r="P519" t="str">
        <f t="shared" si="59"/>
        <v>"Edwin gruber";"African Queen";"0"</v>
      </c>
      <c r="U519" t="str">
        <f t="shared" si="60"/>
        <v>Edwin gruber</v>
      </c>
      <c r="V519" t="str">
        <f t="shared" si="61"/>
        <v>African Queen</v>
      </c>
      <c r="W519">
        <f t="shared" si="62"/>
        <v>0</v>
      </c>
    </row>
    <row r="520" spans="1:23" x14ac:dyDescent="0.2">
      <c r="A520" s="21" t="s">
        <v>13</v>
      </c>
      <c r="B520" s="21">
        <v>1979</v>
      </c>
      <c r="C520" s="21"/>
      <c r="D520" s="21" t="s">
        <v>74</v>
      </c>
      <c r="E520" s="21" t="s">
        <v>2</v>
      </c>
      <c r="F520" s="21">
        <v>1</v>
      </c>
      <c r="G520" s="21">
        <v>4.5</v>
      </c>
      <c r="H520" s="21">
        <v>4.5</v>
      </c>
      <c r="I520" s="6"/>
      <c r="J520" s="6"/>
      <c r="K520" s="6"/>
      <c r="L520" s="6" t="str">
        <f t="shared" si="56"/>
        <v>Edwin gruber</v>
      </c>
      <c r="M520" s="6" t="str">
        <f t="shared" si="57"/>
        <v>Alien (Weaver, Skerritt)</v>
      </c>
      <c r="N520" s="9">
        <f t="shared" si="58"/>
        <v>4.5</v>
      </c>
      <c r="P520" t="str">
        <f t="shared" si="59"/>
        <v>"Edwin gruber";"Alien";"4.5"</v>
      </c>
      <c r="U520" t="str">
        <f t="shared" si="60"/>
        <v>Edwin gruber</v>
      </c>
      <c r="V520" t="str">
        <f t="shared" si="61"/>
        <v>Alien</v>
      </c>
      <c r="W520">
        <f t="shared" si="62"/>
        <v>1</v>
      </c>
    </row>
    <row r="521" spans="1:23" x14ac:dyDescent="0.2">
      <c r="A521" s="21" t="s">
        <v>14</v>
      </c>
      <c r="B521" s="21">
        <v>1960</v>
      </c>
      <c r="C521" s="21"/>
      <c r="D521" s="21" t="s">
        <v>74</v>
      </c>
      <c r="E521" s="21" t="s">
        <v>3</v>
      </c>
      <c r="F521" s="21">
        <v>0</v>
      </c>
      <c r="G521" s="21">
        <v>0</v>
      </c>
      <c r="H521" s="21">
        <v>0</v>
      </c>
      <c r="I521" s="6"/>
      <c r="J521" s="6"/>
      <c r="K521" s="6"/>
      <c r="L521" s="6" t="str">
        <f t="shared" si="56"/>
        <v>Edwin gruber</v>
      </c>
      <c r="M521" s="6" t="str">
        <f t="shared" si="57"/>
        <v>Apartment (Lemmon, MacLaine)</v>
      </c>
      <c r="N521" s="9">
        <f t="shared" si="58"/>
        <v>0</v>
      </c>
      <c r="P521" t="str">
        <f t="shared" si="59"/>
        <v>"Edwin gruber";"Apartment";"0"</v>
      </c>
      <c r="U521" t="str">
        <f t="shared" si="60"/>
        <v>Edwin gruber</v>
      </c>
      <c r="V521" t="str">
        <f t="shared" si="61"/>
        <v>Apartment</v>
      </c>
      <c r="W521">
        <f t="shared" si="62"/>
        <v>0</v>
      </c>
    </row>
    <row r="522" spans="1:23" x14ac:dyDescent="0.2">
      <c r="A522" s="21" t="s">
        <v>15</v>
      </c>
      <c r="B522" s="21">
        <v>1979</v>
      </c>
      <c r="C522" s="21"/>
      <c r="D522" s="21" t="s">
        <v>74</v>
      </c>
      <c r="E522" s="21" t="s">
        <v>2</v>
      </c>
      <c r="F522" s="21">
        <v>1</v>
      </c>
      <c r="G522" s="21">
        <v>4</v>
      </c>
      <c r="H522" s="21">
        <v>4</v>
      </c>
      <c r="I522" s="6"/>
      <c r="J522" s="6"/>
      <c r="K522" s="6"/>
      <c r="L522" s="6" t="str">
        <f t="shared" si="56"/>
        <v>Edwin gruber</v>
      </c>
      <c r="M522" s="6" t="str">
        <f t="shared" si="57"/>
        <v>Apocalypse Now (Sheen, Brando)</v>
      </c>
      <c r="N522" s="9">
        <f t="shared" si="58"/>
        <v>4</v>
      </c>
      <c r="P522" t="str">
        <f t="shared" si="59"/>
        <v>"Edwin gruber";"Apocalypse Now";"4"</v>
      </c>
      <c r="U522" t="str">
        <f t="shared" si="60"/>
        <v>Edwin gruber</v>
      </c>
      <c r="V522" t="str">
        <f t="shared" si="61"/>
        <v>Apocalypse Now</v>
      </c>
      <c r="W522">
        <f t="shared" si="62"/>
        <v>1</v>
      </c>
    </row>
    <row r="523" spans="1:23" x14ac:dyDescent="0.2">
      <c r="A523" s="21" t="s">
        <v>16</v>
      </c>
      <c r="B523" s="21">
        <v>1956</v>
      </c>
      <c r="C523" s="21"/>
      <c r="D523" s="21" t="s">
        <v>74</v>
      </c>
      <c r="E523" s="21" t="s">
        <v>2</v>
      </c>
      <c r="F523" s="21">
        <v>1</v>
      </c>
      <c r="G523" s="21">
        <v>3.5</v>
      </c>
      <c r="H523" s="21">
        <v>3.5</v>
      </c>
      <c r="I523" s="6"/>
      <c r="J523" s="6"/>
      <c r="K523" s="6"/>
      <c r="L523" s="6" t="str">
        <f t="shared" si="56"/>
        <v>Edwin gruber</v>
      </c>
      <c r="M523" s="6" t="str">
        <f t="shared" si="57"/>
        <v>Around The World In 80 Days (Niven, Cantinflas)</v>
      </c>
      <c r="N523" s="9">
        <f t="shared" si="58"/>
        <v>3.5</v>
      </c>
      <c r="P523" t="str">
        <f t="shared" si="59"/>
        <v>"Edwin gruber";"Around The World In 80 Days";"3.5"</v>
      </c>
      <c r="U523" t="str">
        <f t="shared" si="60"/>
        <v>Edwin gruber</v>
      </c>
      <c r="V523" t="str">
        <f t="shared" si="61"/>
        <v>Around The World In 80 Days</v>
      </c>
      <c r="W523">
        <f t="shared" si="62"/>
        <v>1</v>
      </c>
    </row>
    <row r="524" spans="1:23" x14ac:dyDescent="0.2">
      <c r="A524" s="21" t="s">
        <v>17</v>
      </c>
      <c r="B524" s="21">
        <v>2009</v>
      </c>
      <c r="C524" s="21"/>
      <c r="D524" s="21" t="s">
        <v>74</v>
      </c>
      <c r="E524" s="21" t="s">
        <v>3</v>
      </c>
      <c r="F524" s="21">
        <v>0</v>
      </c>
      <c r="G524" s="21">
        <v>0</v>
      </c>
      <c r="H524" s="21">
        <v>0</v>
      </c>
      <c r="I524" s="6"/>
      <c r="J524" s="6"/>
      <c r="K524" s="6"/>
      <c r="L524" s="6" t="str">
        <f t="shared" si="56"/>
        <v>Edwin gruber</v>
      </c>
      <c r="M524" s="6" t="str">
        <f t="shared" si="57"/>
        <v>Avatar (Worthington, Saldana)</v>
      </c>
      <c r="N524" s="9">
        <f t="shared" si="58"/>
        <v>0</v>
      </c>
      <c r="P524" t="str">
        <f t="shared" si="59"/>
        <v>"Edwin gruber";"Avatar";"0"</v>
      </c>
      <c r="U524" t="str">
        <f t="shared" si="60"/>
        <v>Edwin gruber</v>
      </c>
      <c r="V524" t="str">
        <f t="shared" si="61"/>
        <v>Avatar</v>
      </c>
      <c r="W524">
        <f t="shared" si="62"/>
        <v>0</v>
      </c>
    </row>
    <row r="525" spans="1:23" x14ac:dyDescent="0.2">
      <c r="A525" s="21" t="s">
        <v>18</v>
      </c>
      <c r="B525" s="21">
        <v>1989</v>
      </c>
      <c r="C525" s="21"/>
      <c r="D525" s="21" t="s">
        <v>74</v>
      </c>
      <c r="E525" s="21" t="s">
        <v>2</v>
      </c>
      <c r="F525" s="21">
        <v>1</v>
      </c>
      <c r="G525" s="21">
        <v>3.5</v>
      </c>
      <c r="H525" s="21">
        <v>3.5</v>
      </c>
      <c r="I525" s="6"/>
      <c r="J525" s="6"/>
      <c r="K525" s="6"/>
      <c r="L525" s="6" t="str">
        <f t="shared" si="56"/>
        <v>Edwin gruber</v>
      </c>
      <c r="M525" s="6" t="str">
        <f t="shared" si="57"/>
        <v>Batman (Keaton, Nicholson, Basinger)</v>
      </c>
      <c r="N525" s="9">
        <f t="shared" si="58"/>
        <v>3.5</v>
      </c>
      <c r="P525" t="str">
        <f t="shared" si="59"/>
        <v>"Edwin gruber";"Batman";"3.5"</v>
      </c>
      <c r="U525" t="str">
        <f t="shared" si="60"/>
        <v>Edwin gruber</v>
      </c>
      <c r="V525" t="str">
        <f t="shared" si="61"/>
        <v>Batman</v>
      </c>
      <c r="W525">
        <f t="shared" si="62"/>
        <v>1</v>
      </c>
    </row>
    <row r="526" spans="1:23" x14ac:dyDescent="0.2">
      <c r="A526" s="21" t="s">
        <v>19</v>
      </c>
      <c r="B526" s="21">
        <v>1982</v>
      </c>
      <c r="C526" s="21"/>
      <c r="D526" s="21" t="s">
        <v>74</v>
      </c>
      <c r="E526" s="21" t="s">
        <v>3</v>
      </c>
      <c r="F526" s="21">
        <v>0</v>
      </c>
      <c r="G526" s="21">
        <v>0</v>
      </c>
      <c r="H526" s="21">
        <v>0</v>
      </c>
      <c r="I526" s="6"/>
      <c r="J526" s="6"/>
      <c r="K526" s="6"/>
      <c r="L526" s="6" t="str">
        <f t="shared" si="56"/>
        <v>Edwin gruber</v>
      </c>
      <c r="M526" s="6" t="str">
        <f t="shared" si="57"/>
        <v>Blade Runner (Ford, Hauer)</v>
      </c>
      <c r="N526" s="9">
        <f t="shared" si="58"/>
        <v>0</v>
      </c>
      <c r="P526" t="str">
        <f t="shared" si="59"/>
        <v>"Edwin gruber";"Blade Runner";"0"</v>
      </c>
      <c r="U526" t="str">
        <f t="shared" si="60"/>
        <v>Edwin gruber</v>
      </c>
      <c r="V526" t="str">
        <f t="shared" si="61"/>
        <v>Blade Runner</v>
      </c>
      <c r="W526">
        <f t="shared" si="62"/>
        <v>0</v>
      </c>
    </row>
    <row r="527" spans="1:23" x14ac:dyDescent="0.2">
      <c r="A527" s="21" t="s">
        <v>20</v>
      </c>
      <c r="B527" s="21">
        <v>2018</v>
      </c>
      <c r="C527" s="21"/>
      <c r="D527" s="21" t="s">
        <v>74</v>
      </c>
      <c r="E527" s="21" t="s">
        <v>3</v>
      </c>
      <c r="F527" s="21">
        <v>0</v>
      </c>
      <c r="G527" s="21">
        <v>0</v>
      </c>
      <c r="H527" s="21">
        <v>0</v>
      </c>
      <c r="I527" s="6"/>
      <c r="J527" s="6"/>
      <c r="K527" s="6"/>
      <c r="L527" s="6" t="str">
        <f t="shared" si="56"/>
        <v>Edwin gruber</v>
      </c>
      <c r="M527" s="6" t="str">
        <f t="shared" si="57"/>
        <v>Bohemian Rhapsody (Malek, Boynton)</v>
      </c>
      <c r="N527" s="9">
        <f t="shared" si="58"/>
        <v>0</v>
      </c>
      <c r="P527" t="str">
        <f t="shared" si="59"/>
        <v>"Edwin gruber";"Bohemian Rhapsody";"0"</v>
      </c>
      <c r="U527" t="str">
        <f t="shared" si="60"/>
        <v>Edwin gruber</v>
      </c>
      <c r="V527" t="str">
        <f t="shared" si="61"/>
        <v>Bohemian Rhapsody</v>
      </c>
      <c r="W527">
        <f t="shared" si="62"/>
        <v>0</v>
      </c>
    </row>
    <row r="528" spans="1:23" x14ac:dyDescent="0.2">
      <c r="A528" s="21" t="s">
        <v>21</v>
      </c>
      <c r="B528" s="21">
        <v>2011</v>
      </c>
      <c r="C528" s="21"/>
      <c r="D528" s="21" t="s">
        <v>74</v>
      </c>
      <c r="E528" s="21" t="s">
        <v>3</v>
      </c>
      <c r="F528" s="21">
        <v>0</v>
      </c>
      <c r="G528" s="21">
        <v>0</v>
      </c>
      <c r="H528" s="21">
        <v>0</v>
      </c>
      <c r="I528" s="6"/>
      <c r="J528" s="6"/>
      <c r="K528" s="6"/>
      <c r="L528" s="6" t="str">
        <f t="shared" si="56"/>
        <v>Edwin gruber</v>
      </c>
      <c r="M528" s="6" t="str">
        <f t="shared" si="57"/>
        <v>Captain America (Evans, Waeving)</v>
      </c>
      <c r="N528" s="9">
        <f t="shared" si="58"/>
        <v>0</v>
      </c>
      <c r="P528" t="str">
        <f t="shared" si="59"/>
        <v>"Edwin gruber";"Captain America";"0"</v>
      </c>
      <c r="U528" t="str">
        <f t="shared" si="60"/>
        <v>Edwin gruber</v>
      </c>
      <c r="V528" t="str">
        <f t="shared" si="61"/>
        <v>Captain America</v>
      </c>
      <c r="W528">
        <f t="shared" si="62"/>
        <v>0</v>
      </c>
    </row>
    <row r="529" spans="1:23" x14ac:dyDescent="0.2">
      <c r="A529" s="21" t="s">
        <v>22</v>
      </c>
      <c r="B529" s="21">
        <v>2000</v>
      </c>
      <c r="C529" s="21"/>
      <c r="D529" s="21" t="s">
        <v>74</v>
      </c>
      <c r="E529" s="21" t="s">
        <v>3</v>
      </c>
      <c r="F529" s="21">
        <v>0</v>
      </c>
      <c r="G529" s="21">
        <v>0</v>
      </c>
      <c r="H529" s="21">
        <v>0</v>
      </c>
      <c r="I529" s="6"/>
      <c r="J529" s="6"/>
      <c r="K529" s="6"/>
      <c r="L529" s="6" t="str">
        <f t="shared" si="56"/>
        <v>Edwin gruber</v>
      </c>
      <c r="M529" s="6" t="str">
        <f t="shared" si="57"/>
        <v>Cast Away (Hanks, Hunt)</v>
      </c>
      <c r="N529" s="9">
        <f t="shared" si="58"/>
        <v>0</v>
      </c>
      <c r="P529" t="str">
        <f t="shared" si="59"/>
        <v>"Edwin gruber";"Cast Away";"0"</v>
      </c>
      <c r="U529" t="str">
        <f t="shared" si="60"/>
        <v>Edwin gruber</v>
      </c>
      <c r="V529" t="str">
        <f t="shared" si="61"/>
        <v>Cast Away</v>
      </c>
      <c r="W529">
        <f t="shared" si="62"/>
        <v>0</v>
      </c>
    </row>
    <row r="530" spans="1:23" x14ac:dyDescent="0.2">
      <c r="A530" s="21" t="s">
        <v>23</v>
      </c>
      <c r="B530" s="21">
        <v>1958</v>
      </c>
      <c r="C530" s="21"/>
      <c r="D530" s="21" t="s">
        <v>74</v>
      </c>
      <c r="E530" s="21" t="s">
        <v>3</v>
      </c>
      <c r="F530" s="21">
        <v>0</v>
      </c>
      <c r="G530" s="21">
        <v>0</v>
      </c>
      <c r="H530" s="21">
        <v>0</v>
      </c>
      <c r="I530" s="6"/>
      <c r="J530" s="6"/>
      <c r="K530" s="6"/>
      <c r="L530" s="6" t="str">
        <f t="shared" si="56"/>
        <v>Edwin gruber</v>
      </c>
      <c r="M530" s="6" t="str">
        <f t="shared" si="57"/>
        <v>Cat On Hot Tin Roof (Taylor, Newman)</v>
      </c>
      <c r="N530" s="9">
        <f t="shared" si="58"/>
        <v>0</v>
      </c>
      <c r="P530" t="str">
        <f t="shared" si="59"/>
        <v>"Edwin gruber";"Cat On Hot Tin Roof";"0"</v>
      </c>
      <c r="U530" t="str">
        <f t="shared" si="60"/>
        <v>Edwin gruber</v>
      </c>
      <c r="V530" t="str">
        <f t="shared" si="61"/>
        <v>Cat On Hot Tin Roof</v>
      </c>
      <c r="W530">
        <f t="shared" si="62"/>
        <v>0</v>
      </c>
    </row>
    <row r="531" spans="1:23" x14ac:dyDescent="0.2">
      <c r="A531" s="21" t="s">
        <v>24</v>
      </c>
      <c r="B531" s="21">
        <v>1963</v>
      </c>
      <c r="C531" s="21"/>
      <c r="D531" s="21" t="s">
        <v>74</v>
      </c>
      <c r="E531" s="21" t="s">
        <v>3</v>
      </c>
      <c r="F531" s="21">
        <v>0</v>
      </c>
      <c r="G531" s="21">
        <v>0</v>
      </c>
      <c r="H531" s="21">
        <v>0</v>
      </c>
      <c r="I531" s="6"/>
      <c r="J531" s="6"/>
      <c r="K531" s="6"/>
      <c r="L531" s="6" t="str">
        <f t="shared" si="56"/>
        <v>Edwin gruber</v>
      </c>
      <c r="M531" s="6" t="str">
        <f t="shared" si="57"/>
        <v>Charade (Grant, Hepburn)</v>
      </c>
      <c r="N531" s="9">
        <f t="shared" si="58"/>
        <v>0</v>
      </c>
      <c r="P531" t="str">
        <f t="shared" si="59"/>
        <v>"Edwin gruber";"Charade";"0"</v>
      </c>
      <c r="U531" t="str">
        <f t="shared" si="60"/>
        <v>Edwin gruber</v>
      </c>
      <c r="V531" t="str">
        <f t="shared" si="61"/>
        <v>Charade</v>
      </c>
      <c r="W531">
        <f t="shared" si="62"/>
        <v>0</v>
      </c>
    </row>
    <row r="532" spans="1:23" x14ac:dyDescent="0.2">
      <c r="A532" s="21" t="s">
        <v>25</v>
      </c>
      <c r="B532" s="21">
        <v>2000</v>
      </c>
      <c r="C532" s="21"/>
      <c r="D532" s="21" t="s">
        <v>74</v>
      </c>
      <c r="E532" s="21" t="s">
        <v>2</v>
      </c>
      <c r="F532" s="21">
        <v>1</v>
      </c>
      <c r="G532" s="21">
        <v>2.5</v>
      </c>
      <c r="H532" s="21">
        <v>2.5</v>
      </c>
      <c r="I532" s="6"/>
      <c r="J532" s="6"/>
      <c r="K532" s="6"/>
      <c r="L532" s="6" t="str">
        <f t="shared" si="56"/>
        <v>Edwin gruber</v>
      </c>
      <c r="M532" s="6" t="str">
        <f t="shared" si="57"/>
        <v>Charlies Angels (Diaz, Barrymore, Liu)</v>
      </c>
      <c r="N532" s="9">
        <f t="shared" si="58"/>
        <v>2.5</v>
      </c>
      <c r="P532" t="str">
        <f t="shared" si="59"/>
        <v>"Edwin gruber";"Charlies Angels";"2.5"</v>
      </c>
      <c r="U532" t="str">
        <f t="shared" si="60"/>
        <v>Edwin gruber</v>
      </c>
      <c r="V532" t="str">
        <f t="shared" si="61"/>
        <v>Charlies Angels</v>
      </c>
      <c r="W532">
        <f t="shared" si="62"/>
        <v>1</v>
      </c>
    </row>
    <row r="533" spans="1:23" x14ac:dyDescent="0.2">
      <c r="A533" s="21" t="s">
        <v>26</v>
      </c>
      <c r="B533" s="21">
        <v>1974</v>
      </c>
      <c r="C533" s="21"/>
      <c r="D533" s="21" t="s">
        <v>74</v>
      </c>
      <c r="E533" s="21" t="s">
        <v>3</v>
      </c>
      <c r="F533" s="21">
        <v>0</v>
      </c>
      <c r="G533" s="21">
        <v>0</v>
      </c>
      <c r="H533" s="21">
        <v>0</v>
      </c>
      <c r="I533" s="6"/>
      <c r="J533" s="6"/>
      <c r="K533" s="6"/>
      <c r="L533" s="6" t="str">
        <f t="shared" si="56"/>
        <v>Edwin gruber</v>
      </c>
      <c r="M533" s="6" t="str">
        <f t="shared" si="57"/>
        <v>Chinatown (Nicholson, Dunaway)</v>
      </c>
      <c r="N533" s="9">
        <f t="shared" si="58"/>
        <v>0</v>
      </c>
      <c r="P533" t="str">
        <f t="shared" si="59"/>
        <v>"Edwin gruber";"Chinatown";"0"</v>
      </c>
      <c r="U533" t="str">
        <f t="shared" si="60"/>
        <v>Edwin gruber</v>
      </c>
      <c r="V533" t="str">
        <f t="shared" si="61"/>
        <v>Chinatown</v>
      </c>
      <c r="W533">
        <f t="shared" si="62"/>
        <v>0</v>
      </c>
    </row>
    <row r="534" spans="1:23" x14ac:dyDescent="0.2">
      <c r="A534" s="21" t="s">
        <v>27</v>
      </c>
      <c r="B534" s="21">
        <v>1986</v>
      </c>
      <c r="C534" s="21"/>
      <c r="D534" s="21" t="s">
        <v>74</v>
      </c>
      <c r="E534" s="21" t="s">
        <v>3</v>
      </c>
      <c r="F534" s="21">
        <v>0</v>
      </c>
      <c r="G534" s="21">
        <v>0</v>
      </c>
      <c r="H534" s="21">
        <v>0</v>
      </c>
      <c r="I534" s="6"/>
      <c r="J534" s="6"/>
      <c r="K534" s="6"/>
      <c r="L534" s="6" t="str">
        <f t="shared" si="56"/>
        <v>Edwin gruber</v>
      </c>
      <c r="M534" s="6" t="str">
        <f t="shared" si="57"/>
        <v>Clockwise (Gleese, Leatherbarrow)</v>
      </c>
      <c r="N534" s="9">
        <f t="shared" si="58"/>
        <v>0</v>
      </c>
      <c r="P534" t="str">
        <f t="shared" si="59"/>
        <v>"Edwin gruber";"Clockwise";"0"</v>
      </c>
      <c r="U534" t="str">
        <f t="shared" si="60"/>
        <v>Edwin gruber</v>
      </c>
      <c r="V534" t="str">
        <f t="shared" si="61"/>
        <v>Clockwise</v>
      </c>
      <c r="W534">
        <f t="shared" si="62"/>
        <v>0</v>
      </c>
    </row>
    <row r="535" spans="1:23" x14ac:dyDescent="0.2">
      <c r="A535" s="21" t="s">
        <v>28</v>
      </c>
      <c r="B535" s="21">
        <v>2011</v>
      </c>
      <c r="C535" s="21"/>
      <c r="D535" s="21" t="s">
        <v>74</v>
      </c>
      <c r="E535" s="21" t="s">
        <v>3</v>
      </c>
      <c r="F535" s="21">
        <v>0</v>
      </c>
      <c r="G535" s="21">
        <v>0</v>
      </c>
      <c r="H535" s="21">
        <v>0</v>
      </c>
      <c r="I535" s="6"/>
      <c r="J535" s="6"/>
      <c r="K535" s="6"/>
      <c r="L535" s="6" t="str">
        <f t="shared" si="56"/>
        <v>Edwin gruber</v>
      </c>
      <c r="M535" s="6" t="str">
        <f t="shared" si="57"/>
        <v>Colombiana (Saldana, Molla)</v>
      </c>
      <c r="N535" s="9">
        <f t="shared" si="58"/>
        <v>0</v>
      </c>
      <c r="P535" t="str">
        <f t="shared" si="59"/>
        <v>"Edwin gruber";"Colombiana";"0"</v>
      </c>
      <c r="U535" t="str">
        <f t="shared" si="60"/>
        <v>Edwin gruber</v>
      </c>
      <c r="V535" t="str">
        <f t="shared" si="61"/>
        <v>Colombiana</v>
      </c>
      <c r="W535">
        <f t="shared" si="62"/>
        <v>0</v>
      </c>
    </row>
    <row r="536" spans="1:23" x14ac:dyDescent="0.2">
      <c r="A536" s="21" t="s">
        <v>29</v>
      </c>
      <c r="B536" s="21">
        <v>1962</v>
      </c>
      <c r="C536" s="21"/>
      <c r="D536" s="21" t="s">
        <v>74</v>
      </c>
      <c r="E536" s="21" t="s">
        <v>3</v>
      </c>
      <c r="F536" s="21">
        <v>0</v>
      </c>
      <c r="G536" s="21">
        <v>0</v>
      </c>
      <c r="H536" s="21">
        <v>0</v>
      </c>
      <c r="I536" s="6"/>
      <c r="J536" s="6"/>
      <c r="K536" s="6"/>
      <c r="L536" s="6" t="str">
        <f t="shared" si="56"/>
        <v>Edwin gruber</v>
      </c>
      <c r="M536" s="6" t="str">
        <f t="shared" si="57"/>
        <v>Doctor No (Connery, Andress)</v>
      </c>
      <c r="N536" s="9">
        <f t="shared" si="58"/>
        <v>0</v>
      </c>
      <c r="P536" t="str">
        <f t="shared" si="59"/>
        <v>"Edwin gruber";"Doctor No";"0"</v>
      </c>
      <c r="U536" t="str">
        <f t="shared" si="60"/>
        <v>Edwin gruber</v>
      </c>
      <c r="V536" t="str">
        <f t="shared" si="61"/>
        <v>Doctor No</v>
      </c>
      <c r="W536">
        <f t="shared" si="62"/>
        <v>0</v>
      </c>
    </row>
    <row r="537" spans="1:23" x14ac:dyDescent="0.2">
      <c r="A537" s="21" t="s">
        <v>30</v>
      </c>
      <c r="B537" s="21">
        <v>1965</v>
      </c>
      <c r="C537" s="21"/>
      <c r="D537" s="21" t="s">
        <v>74</v>
      </c>
      <c r="E537" s="21" t="s">
        <v>3</v>
      </c>
      <c r="F537" s="21">
        <v>0</v>
      </c>
      <c r="G537" s="21">
        <v>0</v>
      </c>
      <c r="H537" s="21">
        <v>0</v>
      </c>
      <c r="I537" s="6"/>
      <c r="J537" s="6"/>
      <c r="K537" s="6"/>
      <c r="L537" s="6" t="str">
        <f t="shared" si="56"/>
        <v>Edwin gruber</v>
      </c>
      <c r="M537" s="6" t="str">
        <f t="shared" si="57"/>
        <v>Doctor Zhiwago (Sharif, Christie)</v>
      </c>
      <c r="N537" s="9">
        <f t="shared" si="58"/>
        <v>0</v>
      </c>
      <c r="P537" t="str">
        <f t="shared" si="59"/>
        <v>"Edwin gruber";"Doctor Zhiwago";"0"</v>
      </c>
      <c r="U537" t="str">
        <f t="shared" si="60"/>
        <v>Edwin gruber</v>
      </c>
      <c r="V537" t="str">
        <f t="shared" si="61"/>
        <v>Doctor Zhiwago</v>
      </c>
      <c r="W537">
        <f t="shared" si="62"/>
        <v>0</v>
      </c>
    </row>
    <row r="538" spans="1:23" x14ac:dyDescent="0.2">
      <c r="A538" s="21" t="s">
        <v>31</v>
      </c>
      <c r="B538" s="21">
        <v>1964</v>
      </c>
      <c r="C538" s="21"/>
      <c r="D538" s="21" t="s">
        <v>74</v>
      </c>
      <c r="E538" s="21" t="s">
        <v>2</v>
      </c>
      <c r="F538" s="21">
        <v>1</v>
      </c>
      <c r="G538" s="21">
        <v>4.5</v>
      </c>
      <c r="H538" s="21">
        <v>4.5</v>
      </c>
      <c r="I538" s="6"/>
      <c r="J538" s="6"/>
      <c r="K538" s="6"/>
      <c r="L538" s="6" t="str">
        <f t="shared" si="56"/>
        <v>Edwin gruber</v>
      </c>
      <c r="M538" s="6" t="str">
        <f t="shared" si="57"/>
        <v>Dr. Strangelove… (Sellers, Scott)</v>
      </c>
      <c r="N538" s="9">
        <f t="shared" si="58"/>
        <v>4.5</v>
      </c>
      <c r="P538" t="str">
        <f t="shared" si="59"/>
        <v>"Edwin gruber";"Dr. Strangelove…";"4.5"</v>
      </c>
      <c r="U538" t="str">
        <f t="shared" si="60"/>
        <v>Edwin gruber</v>
      </c>
      <c r="V538" t="str">
        <f t="shared" si="61"/>
        <v>Dr. Strangelove…</v>
      </c>
      <c r="W538">
        <f t="shared" si="62"/>
        <v>1</v>
      </c>
    </row>
    <row r="539" spans="1:23" x14ac:dyDescent="0.2">
      <c r="A539" s="21" t="s">
        <v>32</v>
      </c>
      <c r="B539" s="21">
        <v>2000</v>
      </c>
      <c r="C539" s="21"/>
      <c r="D539" s="21" t="s">
        <v>74</v>
      </c>
      <c r="E539" s="21" t="s">
        <v>3</v>
      </c>
      <c r="F539" s="21">
        <v>0</v>
      </c>
      <c r="G539" s="21">
        <v>0</v>
      </c>
      <c r="H539" s="21">
        <v>0</v>
      </c>
      <c r="I539" s="6"/>
      <c r="J539" s="6"/>
      <c r="K539" s="6"/>
      <c r="L539" s="6" t="str">
        <f t="shared" si="56"/>
        <v>Edwin gruber</v>
      </c>
      <c r="M539" s="6" t="str">
        <f t="shared" si="57"/>
        <v>Dr. T and the women (Gere, Hunt)</v>
      </c>
      <c r="N539" s="9">
        <f t="shared" si="58"/>
        <v>0</v>
      </c>
      <c r="P539" t="str">
        <f t="shared" si="59"/>
        <v>"Edwin gruber";"Dr. T and the women";"0"</v>
      </c>
      <c r="U539" t="str">
        <f t="shared" si="60"/>
        <v>Edwin gruber</v>
      </c>
      <c r="V539" t="str">
        <f t="shared" si="61"/>
        <v>Dr. T and the women</v>
      </c>
      <c r="W539">
        <f t="shared" si="62"/>
        <v>0</v>
      </c>
    </row>
    <row r="540" spans="1:23" x14ac:dyDescent="0.2">
      <c r="A540" s="21" t="s">
        <v>33</v>
      </c>
      <c r="B540" s="21">
        <v>1953</v>
      </c>
      <c r="C540" s="21"/>
      <c r="D540" s="21" t="s">
        <v>74</v>
      </c>
      <c r="E540" s="21" t="s">
        <v>3</v>
      </c>
      <c r="F540" s="21">
        <v>0</v>
      </c>
      <c r="G540" s="21">
        <v>0</v>
      </c>
      <c r="H540" s="21">
        <v>0</v>
      </c>
      <c r="I540" s="6"/>
      <c r="J540" s="6"/>
      <c r="K540" s="6"/>
      <c r="L540" s="6" t="str">
        <f t="shared" si="56"/>
        <v>Edwin gruber</v>
      </c>
      <c r="M540" s="6" t="str">
        <f t="shared" si="57"/>
        <v>Gentlemen Prefer Blondes (Monroe, Russell)</v>
      </c>
      <c r="N540" s="9">
        <f t="shared" si="58"/>
        <v>0</v>
      </c>
      <c r="P540" t="str">
        <f t="shared" si="59"/>
        <v>"Edwin gruber";"Gentlemen Prefer Blondes";"0"</v>
      </c>
      <c r="U540" t="str">
        <f t="shared" si="60"/>
        <v>Edwin gruber</v>
      </c>
      <c r="V540" t="str">
        <f t="shared" si="61"/>
        <v>Gentlemen Prefer Blondes</v>
      </c>
      <c r="W540">
        <f t="shared" si="62"/>
        <v>0</v>
      </c>
    </row>
    <row r="541" spans="1:23" x14ac:dyDescent="0.2">
      <c r="A541" s="21" t="s">
        <v>34</v>
      </c>
      <c r="B541" s="21">
        <v>2014</v>
      </c>
      <c r="C541" s="21"/>
      <c r="D541" s="21" t="s">
        <v>74</v>
      </c>
      <c r="E541" s="21" t="s">
        <v>2</v>
      </c>
      <c r="F541" s="21">
        <v>1</v>
      </c>
      <c r="G541" s="21">
        <v>4.5</v>
      </c>
      <c r="H541" s="21">
        <v>4.5</v>
      </c>
      <c r="I541" s="6"/>
      <c r="J541" s="6"/>
      <c r="K541" s="6"/>
      <c r="L541" s="6" t="str">
        <f t="shared" si="56"/>
        <v>Edwin gruber</v>
      </c>
      <c r="M541" s="6" t="str">
        <f t="shared" si="57"/>
        <v>Grand Budapest Hotel (Fiennes, Abraham)</v>
      </c>
      <c r="N541" s="9">
        <f t="shared" si="58"/>
        <v>4.5</v>
      </c>
      <c r="P541" t="str">
        <f t="shared" si="59"/>
        <v>"Edwin gruber";"Grand Budapest Hotel";"4.5"</v>
      </c>
      <c r="U541" t="str">
        <f t="shared" si="60"/>
        <v>Edwin gruber</v>
      </c>
      <c r="V541" t="str">
        <f t="shared" si="61"/>
        <v>Grand Budapest Hotel</v>
      </c>
      <c r="W541">
        <f t="shared" si="62"/>
        <v>1</v>
      </c>
    </row>
    <row r="542" spans="1:23" x14ac:dyDescent="0.2">
      <c r="A542" s="21" t="s">
        <v>35</v>
      </c>
      <c r="B542" s="21">
        <v>2001</v>
      </c>
      <c r="C542" s="21"/>
      <c r="D542" s="21" t="s">
        <v>74</v>
      </c>
      <c r="E542" s="21" t="s">
        <v>2</v>
      </c>
      <c r="F542" s="21">
        <v>1</v>
      </c>
      <c r="G542" s="21">
        <v>3.5</v>
      </c>
      <c r="H542" s="21">
        <v>3.5</v>
      </c>
      <c r="I542" s="6"/>
      <c r="J542" s="6"/>
      <c r="K542" s="6"/>
      <c r="L542" s="6" t="str">
        <f t="shared" si="56"/>
        <v>Edwin gruber</v>
      </c>
      <c r="M542" s="6" t="str">
        <f t="shared" si="57"/>
        <v>Harry Potter and the Philosopher's Stone (Radcliff, Harris)</v>
      </c>
      <c r="N542" s="9">
        <f t="shared" si="58"/>
        <v>3.5</v>
      </c>
      <c r="P542" t="str">
        <f t="shared" si="59"/>
        <v>"Edwin gruber";"Harry Potter and the Philosopher's Stone";"3.5"</v>
      </c>
      <c r="U542" t="str">
        <f t="shared" si="60"/>
        <v>Edwin gruber</v>
      </c>
      <c r="V542" t="str">
        <f t="shared" si="61"/>
        <v>Harry Potter and the Philosopher's Stone</v>
      </c>
      <c r="W542">
        <f t="shared" si="62"/>
        <v>1</v>
      </c>
    </row>
    <row r="543" spans="1:23" x14ac:dyDescent="0.2">
      <c r="A543" s="21" t="s">
        <v>36</v>
      </c>
      <c r="B543" s="21">
        <v>1950</v>
      </c>
      <c r="C543" s="21"/>
      <c r="D543" s="21" t="s">
        <v>74</v>
      </c>
      <c r="E543" s="21" t="s">
        <v>2</v>
      </c>
      <c r="F543" s="21">
        <v>1</v>
      </c>
      <c r="G543" s="21">
        <v>4</v>
      </c>
      <c r="H543" s="21">
        <v>4</v>
      </c>
      <c r="I543" s="6"/>
      <c r="J543" s="6"/>
      <c r="K543" s="6"/>
      <c r="L543" s="6" t="str">
        <f t="shared" si="56"/>
        <v>Edwin gruber</v>
      </c>
      <c r="M543" s="6" t="str">
        <f t="shared" si="57"/>
        <v>Harvey (Stewart, Hull)</v>
      </c>
      <c r="N543" s="9">
        <f t="shared" si="58"/>
        <v>4</v>
      </c>
      <c r="P543" t="str">
        <f t="shared" si="59"/>
        <v>"Edwin gruber";"Harvey";"4"</v>
      </c>
      <c r="U543" t="str">
        <f t="shared" si="60"/>
        <v>Edwin gruber</v>
      </c>
      <c r="V543" t="str">
        <f t="shared" si="61"/>
        <v>Harvey</v>
      </c>
      <c r="W543">
        <f t="shared" si="62"/>
        <v>1</v>
      </c>
    </row>
    <row r="544" spans="1:23" x14ac:dyDescent="0.2">
      <c r="A544" s="21" t="s">
        <v>37</v>
      </c>
      <c r="B544" s="21">
        <v>1962</v>
      </c>
      <c r="C544" s="21"/>
      <c r="D544" s="21" t="s">
        <v>74</v>
      </c>
      <c r="E544" s="21" t="s">
        <v>3</v>
      </c>
      <c r="F544" s="21">
        <v>0</v>
      </c>
      <c r="G544" s="21">
        <v>0</v>
      </c>
      <c r="H544" s="21">
        <v>0</v>
      </c>
      <c r="I544" s="6"/>
      <c r="J544" s="6"/>
      <c r="K544" s="6"/>
      <c r="L544" s="6" t="str">
        <f t="shared" si="56"/>
        <v>Edwin gruber</v>
      </c>
      <c r="M544" s="6" t="str">
        <f t="shared" si="57"/>
        <v>Hatari! (Wayne, Martinelli)</v>
      </c>
      <c r="N544" s="9">
        <f t="shared" si="58"/>
        <v>0</v>
      </c>
      <c r="P544" t="str">
        <f t="shared" si="59"/>
        <v>"Edwin gruber";"Hatari!";"0"</v>
      </c>
      <c r="U544" t="str">
        <f t="shared" si="60"/>
        <v>Edwin gruber</v>
      </c>
      <c r="V544" t="str">
        <f t="shared" si="61"/>
        <v>Hatari!</v>
      </c>
      <c r="W544">
        <f t="shared" si="62"/>
        <v>0</v>
      </c>
    </row>
    <row r="545" spans="1:23" x14ac:dyDescent="0.2">
      <c r="A545" s="21" t="s">
        <v>38</v>
      </c>
      <c r="B545" s="21">
        <v>1990</v>
      </c>
      <c r="C545" s="21"/>
      <c r="D545" s="21" t="s">
        <v>74</v>
      </c>
      <c r="E545" s="21" t="s">
        <v>2</v>
      </c>
      <c r="F545" s="21">
        <v>1</v>
      </c>
      <c r="G545" s="21">
        <v>3.5</v>
      </c>
      <c r="H545" s="21">
        <v>3.5</v>
      </c>
      <c r="I545" s="6"/>
      <c r="J545" s="6"/>
      <c r="K545" s="6"/>
      <c r="L545" s="6" t="str">
        <f t="shared" si="56"/>
        <v>Edwin gruber</v>
      </c>
      <c r="M545" s="6" t="str">
        <f t="shared" si="57"/>
        <v>Home alone (Culkin, Pesci)</v>
      </c>
      <c r="N545" s="9">
        <f t="shared" si="58"/>
        <v>3.5</v>
      </c>
      <c r="P545" t="str">
        <f t="shared" si="59"/>
        <v>"Edwin gruber";"Home alone";"3.5"</v>
      </c>
      <c r="U545" t="str">
        <f t="shared" si="60"/>
        <v>Edwin gruber</v>
      </c>
      <c r="V545" t="str">
        <f t="shared" si="61"/>
        <v>Home alone</v>
      </c>
      <c r="W545">
        <f t="shared" si="62"/>
        <v>1</v>
      </c>
    </row>
    <row r="546" spans="1:23" x14ac:dyDescent="0.2">
      <c r="A546" s="21" t="s">
        <v>39</v>
      </c>
      <c r="B546" s="21">
        <v>2004</v>
      </c>
      <c r="C546" s="21"/>
      <c r="D546" s="21" t="s">
        <v>74</v>
      </c>
      <c r="E546" s="21" t="s">
        <v>2</v>
      </c>
      <c r="F546" s="21">
        <v>1</v>
      </c>
      <c r="G546" s="21">
        <v>3.5</v>
      </c>
      <c r="H546" s="21">
        <v>3.5</v>
      </c>
      <c r="I546" s="6"/>
      <c r="J546" s="6"/>
      <c r="K546" s="6"/>
      <c r="L546" s="6" t="str">
        <f t="shared" si="56"/>
        <v>Edwin gruber</v>
      </c>
      <c r="M546" s="6" t="str">
        <f t="shared" si="57"/>
        <v>I, Robot (Smith, Moynahan)</v>
      </c>
      <c r="N546" s="9">
        <f t="shared" si="58"/>
        <v>3.5</v>
      </c>
      <c r="P546" t="str">
        <f t="shared" si="59"/>
        <v>"Edwin gruber";"I, Robot";"3.5"</v>
      </c>
      <c r="U546" t="str">
        <f t="shared" si="60"/>
        <v>Edwin gruber</v>
      </c>
      <c r="V546" t="str">
        <f t="shared" si="61"/>
        <v>I, Robot</v>
      </c>
      <c r="W546">
        <f t="shared" si="62"/>
        <v>1</v>
      </c>
    </row>
    <row r="547" spans="1:23" x14ac:dyDescent="0.2">
      <c r="A547" s="21" t="s">
        <v>40</v>
      </c>
      <c r="B547" s="21">
        <v>1967</v>
      </c>
      <c r="C547" s="21"/>
      <c r="D547" s="21" t="s">
        <v>74</v>
      </c>
      <c r="E547" s="21" t="s">
        <v>3</v>
      </c>
      <c r="F547" s="21">
        <v>0</v>
      </c>
      <c r="G547" s="21">
        <v>0</v>
      </c>
      <c r="H547" s="21">
        <v>0</v>
      </c>
      <c r="I547" s="6"/>
      <c r="J547" s="6"/>
      <c r="K547" s="6"/>
      <c r="L547" s="6" t="str">
        <f t="shared" si="56"/>
        <v>Edwin gruber</v>
      </c>
      <c r="M547" s="6" t="str">
        <f t="shared" si="57"/>
        <v>In The Heat Of The Night (Poitier, Steiger)</v>
      </c>
      <c r="N547" s="9">
        <f t="shared" si="58"/>
        <v>0</v>
      </c>
      <c r="P547" t="str">
        <f t="shared" si="59"/>
        <v>"Edwin gruber";"In The Heat Of The Night";"0"</v>
      </c>
      <c r="U547" t="str">
        <f t="shared" si="60"/>
        <v>Edwin gruber</v>
      </c>
      <c r="V547" t="str">
        <f t="shared" si="61"/>
        <v>In The Heat Of The Night</v>
      </c>
      <c r="W547">
        <f t="shared" si="62"/>
        <v>0</v>
      </c>
    </row>
    <row r="548" spans="1:23" x14ac:dyDescent="0.2">
      <c r="A548" s="21" t="s">
        <v>41</v>
      </c>
      <c r="B548" s="21">
        <v>2014</v>
      </c>
      <c r="C548" s="21"/>
      <c r="D548" s="21" t="s">
        <v>74</v>
      </c>
      <c r="E548" s="21" t="s">
        <v>3</v>
      </c>
      <c r="F548" s="21">
        <v>0</v>
      </c>
      <c r="G548" s="21">
        <v>0</v>
      </c>
      <c r="H548" s="21">
        <v>0</v>
      </c>
      <c r="I548" s="6"/>
      <c r="J548" s="6"/>
      <c r="K548" s="6"/>
      <c r="L548" s="6" t="str">
        <f t="shared" si="56"/>
        <v>Edwin gruber</v>
      </c>
      <c r="M548" s="6" t="str">
        <f t="shared" si="57"/>
        <v>Jack Ryan: Shadow Recruite (Pine, Costner)</v>
      </c>
      <c r="N548" s="9">
        <f t="shared" si="58"/>
        <v>0</v>
      </c>
      <c r="P548" t="str">
        <f t="shared" si="59"/>
        <v>"Edwin gruber";"Jack Ryan: Shadow Recruite";"0"</v>
      </c>
      <c r="U548" t="str">
        <f t="shared" si="60"/>
        <v>Edwin gruber</v>
      </c>
      <c r="V548" t="str">
        <f t="shared" si="61"/>
        <v>Jack Ryan: Shadow Recruite</v>
      </c>
      <c r="W548">
        <f t="shared" si="62"/>
        <v>0</v>
      </c>
    </row>
    <row r="549" spans="1:23" x14ac:dyDescent="0.2">
      <c r="A549" s="21" t="s">
        <v>42</v>
      </c>
      <c r="B549" s="21">
        <v>1995</v>
      </c>
      <c r="C549" s="21"/>
      <c r="D549" s="21" t="s">
        <v>74</v>
      </c>
      <c r="E549" s="21" t="s">
        <v>2</v>
      </c>
      <c r="F549" s="21">
        <v>1</v>
      </c>
      <c r="G549" s="21">
        <v>4</v>
      </c>
      <c r="H549" s="21">
        <v>4</v>
      </c>
      <c r="I549" s="6"/>
      <c r="J549" s="6"/>
      <c r="K549" s="6"/>
      <c r="L549" s="6" t="str">
        <f t="shared" si="56"/>
        <v>Edwin gruber</v>
      </c>
      <c r="M549" s="6" t="str">
        <f t="shared" si="57"/>
        <v>Jumanji (Williams, Dunst)</v>
      </c>
      <c r="N549" s="9">
        <f t="shared" si="58"/>
        <v>4</v>
      </c>
      <c r="P549" t="str">
        <f t="shared" si="59"/>
        <v>"Edwin gruber";"Jumanji";"4"</v>
      </c>
      <c r="U549" t="str">
        <f t="shared" si="60"/>
        <v>Edwin gruber</v>
      </c>
      <c r="V549" t="str">
        <f t="shared" si="61"/>
        <v>Jumanji</v>
      </c>
      <c r="W549">
        <f t="shared" si="62"/>
        <v>1</v>
      </c>
    </row>
    <row r="550" spans="1:23" x14ac:dyDescent="0.2">
      <c r="A550" s="21" t="s">
        <v>43</v>
      </c>
      <c r="B550" s="21">
        <v>2005</v>
      </c>
      <c r="C550" s="21"/>
      <c r="D550" s="21" t="s">
        <v>74</v>
      </c>
      <c r="E550" s="21" t="s">
        <v>2</v>
      </c>
      <c r="F550" s="21">
        <v>1</v>
      </c>
      <c r="G550" s="21">
        <v>4</v>
      </c>
      <c r="H550" s="21">
        <v>4</v>
      </c>
      <c r="I550" s="6"/>
      <c r="J550" s="6"/>
      <c r="K550" s="6"/>
      <c r="L550" s="6" t="str">
        <f t="shared" si="56"/>
        <v>Edwin gruber</v>
      </c>
      <c r="M550" s="6" t="str">
        <f t="shared" si="57"/>
        <v>King Kong (Watts, Black)</v>
      </c>
      <c r="N550" s="9">
        <f t="shared" si="58"/>
        <v>4</v>
      </c>
      <c r="P550" t="str">
        <f t="shared" si="59"/>
        <v>"Edwin gruber";"King Kong";"4"</v>
      </c>
      <c r="U550" t="str">
        <f t="shared" si="60"/>
        <v>Edwin gruber</v>
      </c>
      <c r="V550" t="str">
        <f t="shared" si="61"/>
        <v>King Kong</v>
      </c>
      <c r="W550">
        <f t="shared" si="62"/>
        <v>1</v>
      </c>
    </row>
    <row r="551" spans="1:23" x14ac:dyDescent="0.2">
      <c r="A551" s="21" t="s">
        <v>44</v>
      </c>
      <c r="B551" s="21">
        <v>2016</v>
      </c>
      <c r="C551" s="21"/>
      <c r="D551" s="21" t="s">
        <v>74</v>
      </c>
      <c r="E551" s="21" t="s">
        <v>3</v>
      </c>
      <c r="F551" s="21">
        <v>0</v>
      </c>
      <c r="G551" s="21">
        <v>0</v>
      </c>
      <c r="H551" s="21">
        <v>0</v>
      </c>
      <c r="I551" s="6"/>
      <c r="J551" s="6"/>
      <c r="K551" s="6"/>
      <c r="L551" s="6" t="str">
        <f t="shared" si="56"/>
        <v>Edwin gruber</v>
      </c>
      <c r="M551" s="6" t="str">
        <f t="shared" si="57"/>
        <v>La La Land (Gosling, Stone)</v>
      </c>
      <c r="N551" s="9">
        <f t="shared" si="58"/>
        <v>0</v>
      </c>
      <c r="P551" t="str">
        <f t="shared" si="59"/>
        <v>"Edwin gruber";"La La Land";"0"</v>
      </c>
      <c r="U551" t="str">
        <f t="shared" si="60"/>
        <v>Edwin gruber</v>
      </c>
      <c r="V551" t="str">
        <f t="shared" si="61"/>
        <v>La La Land</v>
      </c>
      <c r="W551">
        <f t="shared" si="62"/>
        <v>0</v>
      </c>
    </row>
    <row r="552" spans="1:23" x14ac:dyDescent="0.2">
      <c r="A552" s="21" t="s">
        <v>45</v>
      </c>
      <c r="B552" s="21">
        <v>2001</v>
      </c>
      <c r="C552" s="21"/>
      <c r="D552" s="21" t="s">
        <v>74</v>
      </c>
      <c r="E552" s="21" t="s">
        <v>2</v>
      </c>
      <c r="F552" s="21">
        <v>1</v>
      </c>
      <c r="G552" s="21">
        <v>3.5</v>
      </c>
      <c r="H552" s="21">
        <v>3.5</v>
      </c>
      <c r="I552" s="6"/>
      <c r="J552" s="6"/>
      <c r="K552" s="6"/>
      <c r="L552" s="6" t="str">
        <f t="shared" si="56"/>
        <v>Edwin gruber</v>
      </c>
      <c r="M552" s="6" t="str">
        <f t="shared" si="57"/>
        <v>Lord of the Rings (Woods, McKellen)</v>
      </c>
      <c r="N552" s="9">
        <f t="shared" si="58"/>
        <v>3.5</v>
      </c>
      <c r="P552" t="str">
        <f t="shared" si="59"/>
        <v>"Edwin gruber";"Lord of the Rings";"3.5"</v>
      </c>
      <c r="U552" t="str">
        <f t="shared" si="60"/>
        <v>Edwin gruber</v>
      </c>
      <c r="V552" t="str">
        <f t="shared" si="61"/>
        <v>Lord of the Rings</v>
      </c>
      <c r="W552">
        <f t="shared" si="62"/>
        <v>1</v>
      </c>
    </row>
    <row r="553" spans="1:23" x14ac:dyDescent="0.2">
      <c r="A553" s="21" t="s">
        <v>46</v>
      </c>
      <c r="B553" s="21">
        <v>1964</v>
      </c>
      <c r="C553" s="21"/>
      <c r="D553" s="21" t="s">
        <v>74</v>
      </c>
      <c r="E553" s="21" t="s">
        <v>3</v>
      </c>
      <c r="F553" s="21">
        <v>0</v>
      </c>
      <c r="G553" s="21">
        <v>0</v>
      </c>
      <c r="H553" s="21">
        <v>0</v>
      </c>
      <c r="I553" s="6"/>
      <c r="J553" s="6"/>
      <c r="K553" s="6"/>
      <c r="L553" s="6" t="str">
        <f t="shared" si="56"/>
        <v>Edwin gruber</v>
      </c>
      <c r="M553" s="6" t="str">
        <f t="shared" si="57"/>
        <v>Per Un Pugno Di Dollari (Eastwood, Koch)</v>
      </c>
      <c r="N553" s="9">
        <f t="shared" si="58"/>
        <v>0</v>
      </c>
      <c r="P553" t="str">
        <f t="shared" si="59"/>
        <v>"Edwin gruber";"Per Un Pugno Di Dollari";"0"</v>
      </c>
      <c r="U553" t="str">
        <f t="shared" si="60"/>
        <v>Edwin gruber</v>
      </c>
      <c r="V553" t="str">
        <f t="shared" si="61"/>
        <v>Per Un Pugno Di Dollari</v>
      </c>
      <c r="W553">
        <f t="shared" si="62"/>
        <v>0</v>
      </c>
    </row>
    <row r="554" spans="1:23" x14ac:dyDescent="0.2">
      <c r="A554" s="21" t="s">
        <v>47</v>
      </c>
      <c r="B554" s="21">
        <v>1954</v>
      </c>
      <c r="C554" s="21"/>
      <c r="D554" s="21" t="s">
        <v>74</v>
      </c>
      <c r="E554" s="21" t="s">
        <v>3</v>
      </c>
      <c r="F554" s="21">
        <v>0</v>
      </c>
      <c r="G554" s="21">
        <v>0</v>
      </c>
      <c r="H554" s="21">
        <v>0</v>
      </c>
      <c r="I554" s="6"/>
      <c r="J554" s="6"/>
      <c r="K554" s="6"/>
      <c r="L554" s="6" t="str">
        <f t="shared" si="56"/>
        <v>Edwin gruber</v>
      </c>
      <c r="M554" s="6" t="str">
        <f t="shared" si="57"/>
        <v>Rear Window (Stewart, Kelly)</v>
      </c>
      <c r="N554" s="9">
        <f t="shared" si="58"/>
        <v>0</v>
      </c>
      <c r="P554" t="str">
        <f t="shared" si="59"/>
        <v>"Edwin gruber";"Rear Window";"0"</v>
      </c>
      <c r="U554" t="str">
        <f t="shared" si="60"/>
        <v>Edwin gruber</v>
      </c>
      <c r="V554" t="str">
        <f t="shared" si="61"/>
        <v>Rear Window</v>
      </c>
      <c r="W554">
        <f t="shared" si="62"/>
        <v>0</v>
      </c>
    </row>
    <row r="555" spans="1:23" x14ac:dyDescent="0.2">
      <c r="A555" s="21" t="s">
        <v>48</v>
      </c>
      <c r="B555" s="21">
        <v>1955</v>
      </c>
      <c r="C555" s="21"/>
      <c r="D555" s="21" t="s">
        <v>74</v>
      </c>
      <c r="E555" s="21" t="s">
        <v>3</v>
      </c>
      <c r="F555" s="21">
        <v>0</v>
      </c>
      <c r="G555" s="21">
        <v>0</v>
      </c>
      <c r="H555" s="21">
        <v>0</v>
      </c>
      <c r="I555" s="6"/>
      <c r="J555" s="6"/>
      <c r="K555" s="6"/>
      <c r="L555" s="6" t="str">
        <f t="shared" si="56"/>
        <v>Edwin gruber</v>
      </c>
      <c r="M555" s="6" t="str">
        <f t="shared" si="57"/>
        <v>Rebel Without A Cause (Dean, Wood)</v>
      </c>
      <c r="N555" s="9">
        <f t="shared" si="58"/>
        <v>0</v>
      </c>
      <c r="P555" t="str">
        <f t="shared" si="59"/>
        <v>"Edwin gruber";"Rebel Without A Cause";"0"</v>
      </c>
      <c r="U555" t="str">
        <f t="shared" si="60"/>
        <v>Edwin gruber</v>
      </c>
      <c r="V555" t="str">
        <f t="shared" si="61"/>
        <v>Rebel Without A Cause</v>
      </c>
      <c r="W555">
        <f t="shared" si="62"/>
        <v>0</v>
      </c>
    </row>
    <row r="556" spans="1:23" x14ac:dyDescent="0.2">
      <c r="A556" s="21" t="s">
        <v>66</v>
      </c>
      <c r="B556" s="21">
        <v>2005</v>
      </c>
      <c r="C556" s="21"/>
      <c r="D556" s="21" t="s">
        <v>74</v>
      </c>
      <c r="E556" s="21" t="s">
        <v>3</v>
      </c>
      <c r="F556" s="21">
        <v>0</v>
      </c>
      <c r="G556" s="21">
        <v>0</v>
      </c>
      <c r="H556" s="21">
        <v>0</v>
      </c>
      <c r="I556" s="6"/>
      <c r="J556" s="6"/>
      <c r="K556" s="6"/>
      <c r="L556" s="6" t="str">
        <f t="shared" si="56"/>
        <v>Edwin gruber</v>
      </c>
      <c r="M556" s="6" t="str">
        <f t="shared" si="57"/>
        <v>Rumor has it (Aniston, Costner)</v>
      </c>
      <c r="N556" s="9">
        <f t="shared" si="58"/>
        <v>0</v>
      </c>
      <c r="P556" t="str">
        <f t="shared" si="59"/>
        <v>"Edwin gruber";"Rumor has it";"0"</v>
      </c>
      <c r="U556" t="str">
        <f t="shared" si="60"/>
        <v>Edwin gruber</v>
      </c>
      <c r="V556" t="str">
        <f t="shared" si="61"/>
        <v>Rumor has it</v>
      </c>
      <c r="W556">
        <f t="shared" si="62"/>
        <v>0</v>
      </c>
    </row>
    <row r="557" spans="1:23" x14ac:dyDescent="0.2">
      <c r="A557" s="21" t="s">
        <v>49</v>
      </c>
      <c r="B557" s="21">
        <v>1998</v>
      </c>
      <c r="C557" s="21"/>
      <c r="D557" s="21" t="s">
        <v>74</v>
      </c>
      <c r="E557" s="21" t="s">
        <v>3</v>
      </c>
      <c r="F557" s="21">
        <v>0</v>
      </c>
      <c r="G557" s="21">
        <v>0</v>
      </c>
      <c r="H557" s="21">
        <v>0</v>
      </c>
      <c r="I557" s="6"/>
      <c r="J557" s="6"/>
      <c r="K557" s="6"/>
      <c r="L557" s="6" t="str">
        <f t="shared" si="56"/>
        <v>Edwin gruber</v>
      </c>
      <c r="M557" s="6" t="str">
        <f t="shared" si="57"/>
        <v>Saving private Ryan (Hanks, Damon)</v>
      </c>
      <c r="N557" s="9">
        <f t="shared" si="58"/>
        <v>0</v>
      </c>
      <c r="P557" t="str">
        <f t="shared" si="59"/>
        <v>"Edwin gruber";"Saving private Ryan";"0"</v>
      </c>
      <c r="U557" t="str">
        <f t="shared" si="60"/>
        <v>Edwin gruber</v>
      </c>
      <c r="V557" t="str">
        <f t="shared" si="61"/>
        <v>Saving private Ryan</v>
      </c>
      <c r="W557">
        <f t="shared" si="62"/>
        <v>0</v>
      </c>
    </row>
    <row r="558" spans="1:23" x14ac:dyDescent="0.2">
      <c r="A558" s="21" t="s">
        <v>50</v>
      </c>
      <c r="B558" s="21">
        <v>1993</v>
      </c>
      <c r="C558" s="21"/>
      <c r="D558" s="21" t="s">
        <v>74</v>
      </c>
      <c r="E558" s="21" t="s">
        <v>2</v>
      </c>
      <c r="F558" s="21">
        <v>1</v>
      </c>
      <c r="G558" s="21">
        <v>4</v>
      </c>
      <c r="H558" s="21">
        <v>4</v>
      </c>
      <c r="I558" s="6"/>
      <c r="J558" s="6"/>
      <c r="K558" s="6"/>
      <c r="L558" s="6" t="str">
        <f t="shared" si="56"/>
        <v>Edwin gruber</v>
      </c>
      <c r="M558" s="6" t="str">
        <f t="shared" si="57"/>
        <v>Schindlers List (Neeson, Fiennes)</v>
      </c>
      <c r="N558" s="9">
        <f t="shared" si="58"/>
        <v>4</v>
      </c>
      <c r="P558" t="str">
        <f t="shared" si="59"/>
        <v>"Edwin gruber";"Schindlers List";"4"</v>
      </c>
      <c r="U558" t="str">
        <f t="shared" si="60"/>
        <v>Edwin gruber</v>
      </c>
      <c r="V558" t="str">
        <f t="shared" si="61"/>
        <v>Schindlers List</v>
      </c>
      <c r="W558">
        <f t="shared" si="62"/>
        <v>1</v>
      </c>
    </row>
    <row r="559" spans="1:23" x14ac:dyDescent="0.2">
      <c r="A559" s="21" t="s">
        <v>51</v>
      </c>
      <c r="B559" s="21">
        <v>1996</v>
      </c>
      <c r="C559" s="21"/>
      <c r="D559" s="21" t="s">
        <v>74</v>
      </c>
      <c r="E559" s="21" t="s">
        <v>2</v>
      </c>
      <c r="F559" s="21">
        <v>1</v>
      </c>
      <c r="G559" s="21">
        <v>4</v>
      </c>
      <c r="H559" s="21">
        <v>4</v>
      </c>
      <c r="I559" s="6"/>
      <c r="J559" s="6"/>
      <c r="K559" s="6"/>
      <c r="L559" s="6" t="str">
        <f t="shared" si="56"/>
        <v>Edwin gruber</v>
      </c>
      <c r="M559" s="6" t="str">
        <f t="shared" si="57"/>
        <v>Scream (Arquette, Campell)</v>
      </c>
      <c r="N559" s="9">
        <f t="shared" si="58"/>
        <v>4</v>
      </c>
      <c r="P559" t="str">
        <f t="shared" si="59"/>
        <v>"Edwin gruber";"Scream";"4"</v>
      </c>
      <c r="U559" t="str">
        <f t="shared" si="60"/>
        <v>Edwin gruber</v>
      </c>
      <c r="V559" t="str">
        <f t="shared" si="61"/>
        <v>Scream</v>
      </c>
      <c r="W559">
        <f t="shared" si="62"/>
        <v>1</v>
      </c>
    </row>
    <row r="560" spans="1:23" x14ac:dyDescent="0.2">
      <c r="A560" s="21" t="s">
        <v>52</v>
      </c>
      <c r="B560" s="21">
        <v>1977</v>
      </c>
      <c r="C560" s="21"/>
      <c r="D560" s="21" t="s">
        <v>74</v>
      </c>
      <c r="E560" s="21" t="s">
        <v>3</v>
      </c>
      <c r="F560" s="21">
        <v>0</v>
      </c>
      <c r="G560" s="21">
        <v>0</v>
      </c>
      <c r="H560" s="21">
        <v>0</v>
      </c>
      <c r="I560" s="6"/>
      <c r="J560" s="6"/>
      <c r="K560" s="6"/>
      <c r="L560" s="6" t="str">
        <f t="shared" si="56"/>
        <v>Edwin gruber</v>
      </c>
      <c r="M560" s="6" t="str">
        <f t="shared" si="57"/>
        <v>Star Wars IV: A new hope (Hamill, Ford)</v>
      </c>
      <c r="N560" s="9">
        <f t="shared" si="58"/>
        <v>0</v>
      </c>
      <c r="P560" t="str">
        <f t="shared" si="59"/>
        <v>"Edwin gruber";"Star Wars IV: A new hope";"0"</v>
      </c>
      <c r="U560" t="str">
        <f t="shared" si="60"/>
        <v>Edwin gruber</v>
      </c>
      <c r="V560" t="str">
        <f t="shared" si="61"/>
        <v>Star Wars IV: A new hope</v>
      </c>
      <c r="W560">
        <f t="shared" si="62"/>
        <v>0</v>
      </c>
    </row>
    <row r="561" spans="1:23" x14ac:dyDescent="0.2">
      <c r="A561" s="21" t="s">
        <v>53</v>
      </c>
      <c r="B561" s="21">
        <v>2016</v>
      </c>
      <c r="C561" s="21"/>
      <c r="D561" s="21" t="s">
        <v>74</v>
      </c>
      <c r="E561" s="21" t="s">
        <v>3</v>
      </c>
      <c r="F561" s="21">
        <v>0</v>
      </c>
      <c r="G561" s="21">
        <v>0</v>
      </c>
      <c r="H561" s="21">
        <v>0</v>
      </c>
      <c r="I561" s="6"/>
      <c r="J561" s="6"/>
      <c r="K561" s="6"/>
      <c r="L561" s="6" t="str">
        <f t="shared" si="56"/>
        <v>Edwin gruber</v>
      </c>
      <c r="M561" s="6" t="str">
        <f t="shared" si="57"/>
        <v>Suicide Squad (Smith, Robbie)</v>
      </c>
      <c r="N561" s="9">
        <f t="shared" si="58"/>
        <v>0</v>
      </c>
      <c r="P561" t="str">
        <f t="shared" si="59"/>
        <v>"Edwin gruber";"Suicide Squad";"0"</v>
      </c>
      <c r="U561" t="str">
        <f t="shared" si="60"/>
        <v>Edwin gruber</v>
      </c>
      <c r="V561" t="str">
        <f t="shared" si="61"/>
        <v>Suicide Squad</v>
      </c>
      <c r="W561">
        <f t="shared" si="62"/>
        <v>0</v>
      </c>
    </row>
    <row r="562" spans="1:23" x14ac:dyDescent="0.2">
      <c r="A562" s="21" t="s">
        <v>54</v>
      </c>
      <c r="B562" s="21">
        <v>2010</v>
      </c>
      <c r="C562" s="21"/>
      <c r="D562" s="21" t="s">
        <v>74</v>
      </c>
      <c r="E562" s="21" t="s">
        <v>3</v>
      </c>
      <c r="F562" s="21">
        <v>0</v>
      </c>
      <c r="G562" s="21">
        <v>0</v>
      </c>
      <c r="H562" s="21">
        <v>0</v>
      </c>
      <c r="I562" s="6"/>
      <c r="J562" s="6"/>
      <c r="K562" s="6"/>
      <c r="L562" s="6" t="str">
        <f t="shared" si="56"/>
        <v>Edwin gruber</v>
      </c>
      <c r="M562" s="6" t="str">
        <f t="shared" si="57"/>
        <v>Tangled (Disney)</v>
      </c>
      <c r="N562" s="9">
        <f t="shared" si="58"/>
        <v>0</v>
      </c>
      <c r="P562" t="str">
        <f t="shared" si="59"/>
        <v>"Edwin gruber";"Tangled";"0"</v>
      </c>
      <c r="U562" t="str">
        <f t="shared" si="60"/>
        <v>Edwin gruber</v>
      </c>
      <c r="V562" t="str">
        <f t="shared" si="61"/>
        <v>Tangled</v>
      </c>
      <c r="W562">
        <f t="shared" si="62"/>
        <v>0</v>
      </c>
    </row>
    <row r="563" spans="1:23" x14ac:dyDescent="0.2">
      <c r="A563" s="21" t="s">
        <v>55</v>
      </c>
      <c r="B563" s="21">
        <v>2012</v>
      </c>
      <c r="C563" s="21"/>
      <c r="D563" s="21" t="s">
        <v>74</v>
      </c>
      <c r="E563" s="21" t="s">
        <v>2</v>
      </c>
      <c r="F563" s="21">
        <v>1</v>
      </c>
      <c r="G563" s="21">
        <v>3.5</v>
      </c>
      <c r="H563" s="21">
        <v>3.5</v>
      </c>
      <c r="I563" s="6"/>
      <c r="J563" s="6"/>
      <c r="K563" s="6"/>
      <c r="L563" s="6" t="str">
        <f t="shared" si="56"/>
        <v>Edwin gruber</v>
      </c>
      <c r="M563" s="6" t="str">
        <f t="shared" si="57"/>
        <v>The Avengers (Downey Jr. Evans)</v>
      </c>
      <c r="N563" s="9">
        <f t="shared" si="58"/>
        <v>3.5</v>
      </c>
      <c r="P563" t="str">
        <f t="shared" si="59"/>
        <v>"Edwin gruber";"The Avengers";"3.5"</v>
      </c>
      <c r="U563" t="str">
        <f t="shared" si="60"/>
        <v>Edwin gruber</v>
      </c>
      <c r="V563" t="str">
        <f t="shared" si="61"/>
        <v>The Avengers</v>
      </c>
      <c r="W563">
        <f t="shared" si="62"/>
        <v>1</v>
      </c>
    </row>
    <row r="564" spans="1:23" x14ac:dyDescent="0.2">
      <c r="A564" s="21" t="s">
        <v>56</v>
      </c>
      <c r="B564" s="21">
        <v>1973</v>
      </c>
      <c r="C564" s="21"/>
      <c r="D564" s="21" t="s">
        <v>74</v>
      </c>
      <c r="E564" s="21" t="s">
        <v>3</v>
      </c>
      <c r="F564" s="21">
        <v>0</v>
      </c>
      <c r="G564" s="21">
        <v>0</v>
      </c>
      <c r="H564" s="21">
        <v>0</v>
      </c>
      <c r="I564" s="6"/>
      <c r="J564" s="6"/>
      <c r="K564" s="6"/>
      <c r="L564" s="6" t="str">
        <f t="shared" si="56"/>
        <v>Edwin gruber</v>
      </c>
      <c r="M564" s="6" t="str">
        <f t="shared" si="57"/>
        <v>The Exorcist (von Sydow, Blair)</v>
      </c>
      <c r="N564" s="9">
        <f t="shared" si="58"/>
        <v>0</v>
      </c>
      <c r="P564" t="str">
        <f t="shared" si="59"/>
        <v>"Edwin gruber";"The Exorcist";"0"</v>
      </c>
      <c r="U564" t="str">
        <f t="shared" si="60"/>
        <v>Edwin gruber</v>
      </c>
      <c r="V564" t="str">
        <f t="shared" si="61"/>
        <v>The Exorcist</v>
      </c>
      <c r="W564">
        <f t="shared" si="62"/>
        <v>0</v>
      </c>
    </row>
    <row r="565" spans="1:23" x14ac:dyDescent="0.2">
      <c r="A565" s="21" t="s">
        <v>57</v>
      </c>
      <c r="B565" s="21">
        <v>1972</v>
      </c>
      <c r="C565" s="21"/>
      <c r="D565" s="21" t="s">
        <v>74</v>
      </c>
      <c r="E565" s="21" t="s">
        <v>3</v>
      </c>
      <c r="F565" s="21">
        <v>0</v>
      </c>
      <c r="G565" s="21">
        <v>0</v>
      </c>
      <c r="H565" s="21">
        <v>0</v>
      </c>
      <c r="I565" s="6"/>
      <c r="J565" s="6"/>
      <c r="K565" s="6"/>
      <c r="L565" s="6" t="str">
        <f t="shared" si="56"/>
        <v>Edwin gruber</v>
      </c>
      <c r="M565" s="6" t="str">
        <f t="shared" si="57"/>
        <v>The Godfather (Brando, Pacino)</v>
      </c>
      <c r="N565" s="9">
        <f t="shared" si="58"/>
        <v>0</v>
      </c>
      <c r="P565" t="str">
        <f t="shared" si="59"/>
        <v>"Edwin gruber";"The Godfather";"0"</v>
      </c>
      <c r="U565" t="str">
        <f t="shared" si="60"/>
        <v>Edwin gruber</v>
      </c>
      <c r="V565" t="str">
        <f t="shared" si="61"/>
        <v>The Godfather</v>
      </c>
      <c r="W565">
        <f t="shared" si="62"/>
        <v>0</v>
      </c>
    </row>
    <row r="566" spans="1:23" x14ac:dyDescent="0.2">
      <c r="A566" s="21" t="s">
        <v>58</v>
      </c>
      <c r="B566" s="21">
        <v>1994</v>
      </c>
      <c r="C566" s="21"/>
      <c r="D566" s="21" t="s">
        <v>74</v>
      </c>
      <c r="E566" s="21" t="s">
        <v>2</v>
      </c>
      <c r="F566" s="21">
        <v>1</v>
      </c>
      <c r="G566" s="21">
        <v>4</v>
      </c>
      <c r="H566" s="21">
        <v>4</v>
      </c>
      <c r="I566" s="6"/>
      <c r="J566" s="6"/>
      <c r="K566" s="6"/>
      <c r="L566" s="6" t="str">
        <f t="shared" si="56"/>
        <v>Edwin gruber</v>
      </c>
      <c r="M566" s="6" t="str">
        <f t="shared" si="57"/>
        <v>The Lion King (Disney)</v>
      </c>
      <c r="N566" s="9">
        <f t="shared" si="58"/>
        <v>4</v>
      </c>
      <c r="P566" t="str">
        <f t="shared" si="59"/>
        <v>"Edwin gruber";"The Lion King";"4"</v>
      </c>
      <c r="U566" t="str">
        <f t="shared" si="60"/>
        <v>Edwin gruber</v>
      </c>
      <c r="V566" t="str">
        <f t="shared" si="61"/>
        <v>The Lion King</v>
      </c>
      <c r="W566">
        <f t="shared" si="62"/>
        <v>1</v>
      </c>
    </row>
    <row r="567" spans="1:23" x14ac:dyDescent="0.2">
      <c r="A567" s="21" t="s">
        <v>59</v>
      </c>
      <c r="B567" s="21">
        <v>1999</v>
      </c>
      <c r="C567" s="21"/>
      <c r="D567" s="21" t="s">
        <v>74</v>
      </c>
      <c r="E567" s="21" t="s">
        <v>2</v>
      </c>
      <c r="F567" s="21">
        <v>1</v>
      </c>
      <c r="G567" s="21">
        <v>4</v>
      </c>
      <c r="H567" s="21">
        <v>4</v>
      </c>
      <c r="I567" s="6"/>
      <c r="J567" s="6"/>
      <c r="K567" s="6"/>
      <c r="L567" s="6" t="str">
        <f t="shared" si="56"/>
        <v>Edwin gruber</v>
      </c>
      <c r="M567" s="6" t="str">
        <f t="shared" si="57"/>
        <v>The Matrix (Reeves, Fishburn)</v>
      </c>
      <c r="N567" s="9">
        <f t="shared" si="58"/>
        <v>4</v>
      </c>
      <c r="P567" t="str">
        <f t="shared" si="59"/>
        <v>"Edwin gruber";"The Matrix";"4"</v>
      </c>
      <c r="U567" t="str">
        <f t="shared" si="60"/>
        <v>Edwin gruber</v>
      </c>
      <c r="V567" t="str">
        <f t="shared" si="61"/>
        <v>The Matrix</v>
      </c>
      <c r="W567">
        <f t="shared" si="62"/>
        <v>1</v>
      </c>
    </row>
    <row r="568" spans="1:23" x14ac:dyDescent="0.2">
      <c r="A568" s="21" t="s">
        <v>60</v>
      </c>
      <c r="B568" s="21">
        <v>1980</v>
      </c>
      <c r="C568" s="21"/>
      <c r="D568" s="21" t="s">
        <v>74</v>
      </c>
      <c r="E568" s="21" t="s">
        <v>2</v>
      </c>
      <c r="F568" s="21">
        <v>1</v>
      </c>
      <c r="G568" s="21">
        <v>4</v>
      </c>
      <c r="H568" s="21">
        <v>4</v>
      </c>
      <c r="I568" s="6"/>
      <c r="J568" s="6"/>
      <c r="K568" s="6"/>
      <c r="L568" s="6" t="str">
        <f t="shared" si="56"/>
        <v>Edwin gruber</v>
      </c>
      <c r="M568" s="6" t="str">
        <f t="shared" si="57"/>
        <v>The Shining (Nicholson, Duvall)</v>
      </c>
      <c r="N568" s="9">
        <f t="shared" si="58"/>
        <v>4</v>
      </c>
      <c r="P568" t="str">
        <f t="shared" si="59"/>
        <v>"Edwin gruber";"The Shining";"4"</v>
      </c>
      <c r="U568" t="str">
        <f t="shared" si="60"/>
        <v>Edwin gruber</v>
      </c>
      <c r="V568" t="str">
        <f t="shared" si="61"/>
        <v>The Shining</v>
      </c>
      <c r="W568">
        <f t="shared" si="62"/>
        <v>1</v>
      </c>
    </row>
    <row r="569" spans="1:23" x14ac:dyDescent="0.2">
      <c r="A569" s="21" t="s">
        <v>61</v>
      </c>
      <c r="B569" s="21">
        <v>1984</v>
      </c>
      <c r="C569" s="21"/>
      <c r="D569" s="21" t="s">
        <v>74</v>
      </c>
      <c r="E569" s="21" t="s">
        <v>2</v>
      </c>
      <c r="F569" s="21">
        <v>1</v>
      </c>
      <c r="G569" s="21">
        <v>4.5</v>
      </c>
      <c r="H569" s="21">
        <v>4.5</v>
      </c>
      <c r="I569" s="6"/>
      <c r="J569" s="6"/>
      <c r="K569" s="6"/>
      <c r="L569" s="6" t="str">
        <f t="shared" si="56"/>
        <v>Edwin gruber</v>
      </c>
      <c r="M569" s="6" t="str">
        <f t="shared" si="57"/>
        <v>The Terminator (Schwarzenegger, Hamilton)</v>
      </c>
      <c r="N569" s="9">
        <f t="shared" si="58"/>
        <v>4.5</v>
      </c>
      <c r="P569" t="str">
        <f t="shared" si="59"/>
        <v>"Edwin gruber";"The Terminator";"4.5"</v>
      </c>
      <c r="U569" t="str">
        <f t="shared" si="60"/>
        <v>Edwin gruber</v>
      </c>
      <c r="V569" t="str">
        <f t="shared" si="61"/>
        <v>The Terminator</v>
      </c>
      <c r="W569">
        <f t="shared" si="62"/>
        <v>1</v>
      </c>
    </row>
    <row r="570" spans="1:23" x14ac:dyDescent="0.2">
      <c r="A570" s="21" t="s">
        <v>62</v>
      </c>
      <c r="B570" s="21">
        <v>1986</v>
      </c>
      <c r="C570" s="21"/>
      <c r="D570" s="21" t="s">
        <v>74</v>
      </c>
      <c r="E570" s="21" t="s">
        <v>3</v>
      </c>
      <c r="F570" s="21">
        <v>0</v>
      </c>
      <c r="G570" s="21">
        <v>0</v>
      </c>
      <c r="H570" s="21">
        <v>0</v>
      </c>
      <c r="I570" s="6"/>
      <c r="J570" s="6"/>
      <c r="K570" s="6"/>
      <c r="L570" s="6" t="str">
        <f t="shared" si="56"/>
        <v>Edwin gruber</v>
      </c>
      <c r="M570" s="6" t="str">
        <f t="shared" si="57"/>
        <v>Top Gun (Cruise, McGillis)</v>
      </c>
      <c r="N570" s="9">
        <f t="shared" si="58"/>
        <v>0</v>
      </c>
      <c r="P570" t="str">
        <f t="shared" si="59"/>
        <v>"Edwin gruber";"Top Gun";"0"</v>
      </c>
      <c r="U570" t="str">
        <f t="shared" si="60"/>
        <v>Edwin gruber</v>
      </c>
      <c r="V570" t="str">
        <f t="shared" si="61"/>
        <v>Top Gun</v>
      </c>
      <c r="W570">
        <f t="shared" si="62"/>
        <v>0</v>
      </c>
    </row>
    <row r="571" spans="1:23" x14ac:dyDescent="0.2">
      <c r="A571" s="21" t="s">
        <v>63</v>
      </c>
      <c r="B571" s="21">
        <v>1995</v>
      </c>
      <c r="C571" s="21"/>
      <c r="D571" s="21" t="s">
        <v>74</v>
      </c>
      <c r="E571" s="21" t="s">
        <v>2</v>
      </c>
      <c r="F571" s="21">
        <v>1</v>
      </c>
      <c r="G571" s="21">
        <v>3.5</v>
      </c>
      <c r="H571" s="21">
        <v>3.5</v>
      </c>
      <c r="I571" s="6"/>
      <c r="J571" s="6"/>
      <c r="K571" s="6"/>
      <c r="L571" s="6" t="str">
        <f t="shared" si="56"/>
        <v>Edwin gruber</v>
      </c>
      <c r="M571" s="6" t="str">
        <f t="shared" si="57"/>
        <v>Toy Story (Pixar)</v>
      </c>
      <c r="N571" s="9">
        <f t="shared" si="58"/>
        <v>3.5</v>
      </c>
      <c r="P571" t="str">
        <f t="shared" si="59"/>
        <v>"Edwin gruber";"Toy Story";"3.5"</v>
      </c>
      <c r="U571" t="str">
        <f t="shared" si="60"/>
        <v>Edwin gruber</v>
      </c>
      <c r="V571" t="str">
        <f t="shared" si="61"/>
        <v>Toy Story</v>
      </c>
      <c r="W571">
        <f t="shared" si="62"/>
        <v>1</v>
      </c>
    </row>
    <row r="572" spans="1:23" x14ac:dyDescent="0.2">
      <c r="A572" s="6" t="s">
        <v>8</v>
      </c>
      <c r="B572" s="6">
        <v>1968</v>
      </c>
      <c r="C572" s="6"/>
      <c r="D572" s="6" t="s">
        <v>75</v>
      </c>
      <c r="E572" s="6" t="s">
        <v>2</v>
      </c>
      <c r="F572" s="6">
        <v>1</v>
      </c>
      <c r="G572" s="6">
        <v>3</v>
      </c>
      <c r="H572" s="6">
        <v>3</v>
      </c>
      <c r="I572" s="6"/>
      <c r="J572" s="6"/>
      <c r="K572" s="6"/>
      <c r="L572" s="6" t="str">
        <f t="shared" si="56"/>
        <v>Kanyildiz Muhammedmehdi</v>
      </c>
      <c r="M572" s="6" t="str">
        <f t="shared" si="57"/>
        <v>2001: A Space Odyssey (Duella, Lockwood)</v>
      </c>
      <c r="N572" s="9">
        <f t="shared" si="58"/>
        <v>3</v>
      </c>
      <c r="P572" t="str">
        <f t="shared" si="59"/>
        <v>"Kanyildiz Muhammedmehdi";"2001: A Space Odyssey";"3"</v>
      </c>
      <c r="U572" t="str">
        <f t="shared" si="60"/>
        <v>Kanyildiz Muhammedmehdi</v>
      </c>
      <c r="V572" t="str">
        <f t="shared" si="61"/>
        <v>2001: A Space Odyssey</v>
      </c>
      <c r="W572">
        <f t="shared" si="62"/>
        <v>1</v>
      </c>
    </row>
    <row r="573" spans="1:23" x14ac:dyDescent="0.2">
      <c r="A573" s="6" t="s">
        <v>9</v>
      </c>
      <c r="B573" s="6">
        <v>1971</v>
      </c>
      <c r="C573" s="6"/>
      <c r="D573" s="6" t="s">
        <v>75</v>
      </c>
      <c r="E573" s="6" t="s">
        <v>3</v>
      </c>
      <c r="F573" s="6">
        <v>0</v>
      </c>
      <c r="G573" s="6"/>
      <c r="H573" s="6">
        <v>0</v>
      </c>
      <c r="I573" s="6"/>
      <c r="J573" s="6"/>
      <c r="K573" s="6"/>
      <c r="L573" s="6" t="str">
        <f t="shared" si="56"/>
        <v>Kanyildiz Muhammedmehdi</v>
      </c>
      <c r="M573" s="6" t="str">
        <f t="shared" si="57"/>
        <v>A Clockwork Orange (McDowell, Magee)</v>
      </c>
      <c r="N573" s="9">
        <f t="shared" si="58"/>
        <v>0</v>
      </c>
      <c r="P573" t="str">
        <f t="shared" si="59"/>
        <v>"Kanyildiz Muhammedmehdi";"A Clockwork Orange";"0"</v>
      </c>
      <c r="U573" t="str">
        <f t="shared" si="60"/>
        <v>Kanyildiz Muhammedmehdi</v>
      </c>
      <c r="V573" t="str">
        <f t="shared" si="61"/>
        <v>A Clockwork Orange</v>
      </c>
      <c r="W573">
        <f t="shared" si="62"/>
        <v>0</v>
      </c>
    </row>
    <row r="574" spans="1:23" x14ac:dyDescent="0.2">
      <c r="A574" s="6" t="s">
        <v>10</v>
      </c>
      <c r="B574" s="6">
        <v>2018</v>
      </c>
      <c r="C574" s="6"/>
      <c r="D574" s="6" t="s">
        <v>75</v>
      </c>
      <c r="E574" s="6" t="s">
        <v>3</v>
      </c>
      <c r="F574" s="6">
        <v>0</v>
      </c>
      <c r="G574" s="6"/>
      <c r="H574" s="6">
        <v>0</v>
      </c>
      <c r="I574" s="6"/>
      <c r="J574" s="6"/>
      <c r="K574" s="6"/>
      <c r="L574" s="6" t="str">
        <f t="shared" si="56"/>
        <v>Kanyildiz Muhammedmehdi</v>
      </c>
      <c r="M574" s="6" t="str">
        <f t="shared" si="57"/>
        <v>A star is born (Gaga, Cooper)</v>
      </c>
      <c r="N574" s="9">
        <f t="shared" si="58"/>
        <v>0</v>
      </c>
      <c r="P574" t="str">
        <f t="shared" si="59"/>
        <v>"Kanyildiz Muhammedmehdi";"A star is born";"0"</v>
      </c>
      <c r="U574" t="str">
        <f t="shared" si="60"/>
        <v>Kanyildiz Muhammedmehdi</v>
      </c>
      <c r="V574" t="str">
        <f t="shared" si="61"/>
        <v>A star is born</v>
      </c>
      <c r="W574">
        <f t="shared" si="62"/>
        <v>0</v>
      </c>
    </row>
    <row r="575" spans="1:23" x14ac:dyDescent="0.2">
      <c r="A575" s="6" t="s">
        <v>11</v>
      </c>
      <c r="B575" s="6">
        <v>2005</v>
      </c>
      <c r="C575" s="6"/>
      <c r="D575" s="6" t="s">
        <v>75</v>
      </c>
      <c r="E575" s="6" t="s">
        <v>3</v>
      </c>
      <c r="F575" s="6">
        <v>0</v>
      </c>
      <c r="G575" s="6"/>
      <c r="H575" s="6">
        <v>0</v>
      </c>
      <c r="I575" s="6"/>
      <c r="J575" s="6"/>
      <c r="K575" s="6"/>
      <c r="L575" s="6" t="str">
        <f t="shared" si="56"/>
        <v>Kanyildiz Muhammedmehdi</v>
      </c>
      <c r="M575" s="6" t="str">
        <f t="shared" si="57"/>
        <v>Aeon Flux (Theron, Csokas)</v>
      </c>
      <c r="N575" s="9">
        <f t="shared" si="58"/>
        <v>0</v>
      </c>
      <c r="P575" t="str">
        <f t="shared" si="59"/>
        <v>"Kanyildiz Muhammedmehdi";"Aeon Flux";"0"</v>
      </c>
      <c r="U575" t="str">
        <f t="shared" si="60"/>
        <v>Kanyildiz Muhammedmehdi</v>
      </c>
      <c r="V575" t="str">
        <f t="shared" si="61"/>
        <v>Aeon Flux</v>
      </c>
      <c r="W575">
        <f t="shared" si="62"/>
        <v>0</v>
      </c>
    </row>
    <row r="576" spans="1:23" x14ac:dyDescent="0.2">
      <c r="A576" s="6" t="s">
        <v>12</v>
      </c>
      <c r="B576" s="6">
        <v>1951</v>
      </c>
      <c r="C576" s="6"/>
      <c r="D576" s="6" t="s">
        <v>75</v>
      </c>
      <c r="E576" s="6" t="s">
        <v>3</v>
      </c>
      <c r="F576" s="6">
        <v>0</v>
      </c>
      <c r="G576" s="6"/>
      <c r="H576" s="6">
        <v>0</v>
      </c>
      <c r="I576" s="6"/>
      <c r="J576" s="6"/>
      <c r="K576" s="6"/>
      <c r="L576" s="6" t="str">
        <f t="shared" si="56"/>
        <v>Kanyildiz Muhammedmehdi</v>
      </c>
      <c r="M576" s="6" t="str">
        <f t="shared" si="57"/>
        <v>African Queen (Bogart, Hepburn)</v>
      </c>
      <c r="N576" s="9">
        <f t="shared" si="58"/>
        <v>0</v>
      </c>
      <c r="P576" t="str">
        <f t="shared" si="59"/>
        <v>"Kanyildiz Muhammedmehdi";"African Queen";"0"</v>
      </c>
      <c r="U576" t="str">
        <f t="shared" si="60"/>
        <v>Kanyildiz Muhammedmehdi</v>
      </c>
      <c r="V576" t="str">
        <f t="shared" si="61"/>
        <v>African Queen</v>
      </c>
      <c r="W576">
        <f t="shared" si="62"/>
        <v>0</v>
      </c>
    </row>
    <row r="577" spans="1:23" x14ac:dyDescent="0.2">
      <c r="A577" s="6" t="s">
        <v>13</v>
      </c>
      <c r="B577" s="6">
        <v>1979</v>
      </c>
      <c r="C577" s="6"/>
      <c r="D577" s="6" t="s">
        <v>75</v>
      </c>
      <c r="E577" s="6" t="s">
        <v>2</v>
      </c>
      <c r="F577" s="6">
        <v>1</v>
      </c>
      <c r="G577" s="6">
        <v>2</v>
      </c>
      <c r="H577" s="6">
        <v>2</v>
      </c>
      <c r="I577" s="6"/>
      <c r="J577" s="6"/>
      <c r="K577" s="6"/>
      <c r="L577" s="6" t="str">
        <f t="shared" si="56"/>
        <v>Kanyildiz Muhammedmehdi</v>
      </c>
      <c r="M577" s="6" t="str">
        <f t="shared" si="57"/>
        <v>Alien (Weaver, Skerritt)</v>
      </c>
      <c r="N577" s="9">
        <f t="shared" si="58"/>
        <v>2</v>
      </c>
      <c r="P577" t="str">
        <f t="shared" si="59"/>
        <v>"Kanyildiz Muhammedmehdi";"Alien";"2"</v>
      </c>
      <c r="U577" t="str">
        <f t="shared" si="60"/>
        <v>Kanyildiz Muhammedmehdi</v>
      </c>
      <c r="V577" t="str">
        <f t="shared" si="61"/>
        <v>Alien</v>
      </c>
      <c r="W577">
        <f t="shared" si="62"/>
        <v>1</v>
      </c>
    </row>
    <row r="578" spans="1:23" x14ac:dyDescent="0.2">
      <c r="A578" s="6" t="s">
        <v>14</v>
      </c>
      <c r="B578" s="6">
        <v>1960</v>
      </c>
      <c r="C578" s="6"/>
      <c r="D578" s="6" t="s">
        <v>75</v>
      </c>
      <c r="E578" s="6" t="s">
        <v>2</v>
      </c>
      <c r="F578" s="6">
        <v>1</v>
      </c>
      <c r="G578" s="6">
        <v>3</v>
      </c>
      <c r="H578" s="6">
        <v>3</v>
      </c>
      <c r="I578" s="6"/>
      <c r="J578" s="6"/>
      <c r="K578" s="6"/>
      <c r="L578" s="6" t="str">
        <f t="shared" si="56"/>
        <v>Kanyildiz Muhammedmehdi</v>
      </c>
      <c r="M578" s="6" t="str">
        <f t="shared" si="57"/>
        <v>Apartment (Lemmon, MacLaine)</v>
      </c>
      <c r="N578" s="9">
        <f t="shared" si="58"/>
        <v>3</v>
      </c>
      <c r="P578" t="str">
        <f t="shared" si="59"/>
        <v>"Kanyildiz Muhammedmehdi";"Apartment";"3"</v>
      </c>
      <c r="U578" t="str">
        <f t="shared" si="60"/>
        <v>Kanyildiz Muhammedmehdi</v>
      </c>
      <c r="V578" t="str">
        <f t="shared" si="61"/>
        <v>Apartment</v>
      </c>
      <c r="W578">
        <f t="shared" si="62"/>
        <v>1</v>
      </c>
    </row>
    <row r="579" spans="1:23" x14ac:dyDescent="0.2">
      <c r="A579" s="6" t="s">
        <v>15</v>
      </c>
      <c r="B579" s="6">
        <v>1979</v>
      </c>
      <c r="C579" s="6"/>
      <c r="D579" s="6" t="s">
        <v>75</v>
      </c>
      <c r="E579" s="6" t="s">
        <v>2</v>
      </c>
      <c r="F579" s="6">
        <v>1</v>
      </c>
      <c r="G579" s="6">
        <v>2</v>
      </c>
      <c r="H579" s="6">
        <v>2</v>
      </c>
      <c r="I579" s="6"/>
      <c r="J579" s="6"/>
      <c r="K579" s="6"/>
      <c r="L579" s="6" t="str">
        <f t="shared" ref="L579:L642" si="63">D579</f>
        <v>Kanyildiz Muhammedmehdi</v>
      </c>
      <c r="M579" s="6" t="str">
        <f t="shared" ref="M579:M642" si="64">A579</f>
        <v>Apocalypse Now (Sheen, Brando)</v>
      </c>
      <c r="N579" s="9">
        <f t="shared" ref="N579:N642" si="65">H579</f>
        <v>2</v>
      </c>
      <c r="P579" t="str">
        <f t="shared" ref="P579:P642" si="66">""""&amp;L579&amp;""";"""&amp;LEFT(M579,FIND("(",M579)-2)&amp;""";"""&amp;SUBSTITUTE(N579,",",".")&amp;""""</f>
        <v>"Kanyildiz Muhammedmehdi";"Apocalypse Now";"2"</v>
      </c>
      <c r="U579" t="str">
        <f t="shared" ref="U579:U642" si="67">D579</f>
        <v>Kanyildiz Muhammedmehdi</v>
      </c>
      <c r="V579" t="str">
        <f t="shared" ref="V579:V642" si="68">LEFT(A579,FIND("(",A579)-2)</f>
        <v>Apocalypse Now</v>
      </c>
      <c r="W579">
        <f t="shared" ref="W579:W642" si="69">F579</f>
        <v>1</v>
      </c>
    </row>
    <row r="580" spans="1:23" x14ac:dyDescent="0.2">
      <c r="A580" s="6" t="s">
        <v>16</v>
      </c>
      <c r="B580" s="6">
        <v>1956</v>
      </c>
      <c r="C580" s="6"/>
      <c r="D580" s="6" t="s">
        <v>75</v>
      </c>
      <c r="E580" s="6" t="s">
        <v>2</v>
      </c>
      <c r="F580" s="6">
        <v>1</v>
      </c>
      <c r="G580" s="6">
        <v>4</v>
      </c>
      <c r="H580" s="6">
        <v>4</v>
      </c>
      <c r="I580" s="6"/>
      <c r="J580" s="6"/>
      <c r="K580" s="6"/>
      <c r="L580" s="6" t="str">
        <f t="shared" si="63"/>
        <v>Kanyildiz Muhammedmehdi</v>
      </c>
      <c r="M580" s="6" t="str">
        <f t="shared" si="64"/>
        <v>Around The World In 80 Days (Niven, Cantinflas)</v>
      </c>
      <c r="N580" s="9">
        <f t="shared" si="65"/>
        <v>4</v>
      </c>
      <c r="P580" t="str">
        <f t="shared" si="66"/>
        <v>"Kanyildiz Muhammedmehdi";"Around The World In 80 Days";"4"</v>
      </c>
      <c r="U580" t="str">
        <f t="shared" si="67"/>
        <v>Kanyildiz Muhammedmehdi</v>
      </c>
      <c r="V580" t="str">
        <f t="shared" si="68"/>
        <v>Around The World In 80 Days</v>
      </c>
      <c r="W580">
        <f t="shared" si="69"/>
        <v>1</v>
      </c>
    </row>
    <row r="581" spans="1:23" x14ac:dyDescent="0.2">
      <c r="A581" s="6" t="s">
        <v>17</v>
      </c>
      <c r="B581" s="6">
        <v>2009</v>
      </c>
      <c r="C581" s="6"/>
      <c r="D581" s="6" t="s">
        <v>75</v>
      </c>
      <c r="E581" s="6" t="s">
        <v>2</v>
      </c>
      <c r="F581" s="6">
        <v>1</v>
      </c>
      <c r="G581" s="6">
        <v>4</v>
      </c>
      <c r="H581" s="6">
        <v>4</v>
      </c>
      <c r="I581" s="6"/>
      <c r="J581" s="6"/>
      <c r="K581" s="6"/>
      <c r="L581" s="6" t="str">
        <f t="shared" si="63"/>
        <v>Kanyildiz Muhammedmehdi</v>
      </c>
      <c r="M581" s="6" t="str">
        <f t="shared" si="64"/>
        <v>Avatar (Worthington, Saldana)</v>
      </c>
      <c r="N581" s="9">
        <f t="shared" si="65"/>
        <v>4</v>
      </c>
      <c r="P581" t="str">
        <f t="shared" si="66"/>
        <v>"Kanyildiz Muhammedmehdi";"Avatar";"4"</v>
      </c>
      <c r="U581" t="str">
        <f t="shared" si="67"/>
        <v>Kanyildiz Muhammedmehdi</v>
      </c>
      <c r="V581" t="str">
        <f t="shared" si="68"/>
        <v>Avatar</v>
      </c>
      <c r="W581">
        <f t="shared" si="69"/>
        <v>1</v>
      </c>
    </row>
    <row r="582" spans="1:23" x14ac:dyDescent="0.2">
      <c r="A582" s="6" t="s">
        <v>18</v>
      </c>
      <c r="B582" s="6">
        <v>1989</v>
      </c>
      <c r="C582" s="6"/>
      <c r="D582" s="6" t="s">
        <v>75</v>
      </c>
      <c r="E582" s="6" t="s">
        <v>2</v>
      </c>
      <c r="F582" s="6">
        <v>1</v>
      </c>
      <c r="G582" s="6">
        <v>1</v>
      </c>
      <c r="H582" s="6">
        <v>1</v>
      </c>
      <c r="I582" s="6"/>
      <c r="J582" s="6"/>
      <c r="K582" s="6"/>
      <c r="L582" s="6" t="str">
        <f t="shared" si="63"/>
        <v>Kanyildiz Muhammedmehdi</v>
      </c>
      <c r="M582" s="6" t="str">
        <f t="shared" si="64"/>
        <v>Batman (Keaton, Nicholson, Basinger)</v>
      </c>
      <c r="N582" s="9">
        <f t="shared" si="65"/>
        <v>1</v>
      </c>
      <c r="P582" t="str">
        <f t="shared" si="66"/>
        <v>"Kanyildiz Muhammedmehdi";"Batman";"1"</v>
      </c>
      <c r="U582" t="str">
        <f t="shared" si="67"/>
        <v>Kanyildiz Muhammedmehdi</v>
      </c>
      <c r="V582" t="str">
        <f t="shared" si="68"/>
        <v>Batman</v>
      </c>
      <c r="W582">
        <f t="shared" si="69"/>
        <v>1</v>
      </c>
    </row>
    <row r="583" spans="1:23" x14ac:dyDescent="0.2">
      <c r="A583" s="6" t="s">
        <v>19</v>
      </c>
      <c r="B583" s="6">
        <v>1982</v>
      </c>
      <c r="C583" s="6"/>
      <c r="D583" s="6" t="s">
        <v>75</v>
      </c>
      <c r="E583" s="6" t="s">
        <v>2</v>
      </c>
      <c r="F583" s="6">
        <v>1</v>
      </c>
      <c r="G583" s="6">
        <v>2</v>
      </c>
      <c r="H583" s="6">
        <v>2</v>
      </c>
      <c r="I583" s="6"/>
      <c r="J583" s="6"/>
      <c r="K583" s="6"/>
      <c r="L583" s="6" t="str">
        <f t="shared" si="63"/>
        <v>Kanyildiz Muhammedmehdi</v>
      </c>
      <c r="M583" s="6" t="str">
        <f t="shared" si="64"/>
        <v>Blade Runner (Ford, Hauer)</v>
      </c>
      <c r="N583" s="9">
        <f t="shared" si="65"/>
        <v>2</v>
      </c>
      <c r="P583" t="str">
        <f t="shared" si="66"/>
        <v>"Kanyildiz Muhammedmehdi";"Blade Runner";"2"</v>
      </c>
      <c r="U583" t="str">
        <f t="shared" si="67"/>
        <v>Kanyildiz Muhammedmehdi</v>
      </c>
      <c r="V583" t="str">
        <f t="shared" si="68"/>
        <v>Blade Runner</v>
      </c>
      <c r="W583">
        <f t="shared" si="69"/>
        <v>1</v>
      </c>
    </row>
    <row r="584" spans="1:23" x14ac:dyDescent="0.2">
      <c r="A584" s="6" t="s">
        <v>20</v>
      </c>
      <c r="B584" s="6">
        <v>2018</v>
      </c>
      <c r="C584" s="6"/>
      <c r="D584" s="6" t="s">
        <v>75</v>
      </c>
      <c r="E584" s="6" t="s">
        <v>2</v>
      </c>
      <c r="F584" s="6">
        <v>1</v>
      </c>
      <c r="G584" s="6">
        <v>5</v>
      </c>
      <c r="H584" s="6">
        <v>5</v>
      </c>
      <c r="I584" s="6"/>
      <c r="J584" s="6"/>
      <c r="K584" s="6"/>
      <c r="L584" s="6" t="str">
        <f t="shared" si="63"/>
        <v>Kanyildiz Muhammedmehdi</v>
      </c>
      <c r="M584" s="6" t="str">
        <f t="shared" si="64"/>
        <v>Bohemian Rhapsody (Malek, Boynton)</v>
      </c>
      <c r="N584" s="9">
        <f t="shared" si="65"/>
        <v>5</v>
      </c>
      <c r="P584" t="str">
        <f t="shared" si="66"/>
        <v>"Kanyildiz Muhammedmehdi";"Bohemian Rhapsody";"5"</v>
      </c>
      <c r="U584" t="str">
        <f t="shared" si="67"/>
        <v>Kanyildiz Muhammedmehdi</v>
      </c>
      <c r="V584" t="str">
        <f t="shared" si="68"/>
        <v>Bohemian Rhapsody</v>
      </c>
      <c r="W584">
        <f t="shared" si="69"/>
        <v>1</v>
      </c>
    </row>
    <row r="585" spans="1:23" x14ac:dyDescent="0.2">
      <c r="A585" s="6" t="s">
        <v>21</v>
      </c>
      <c r="B585" s="6">
        <v>2011</v>
      </c>
      <c r="C585" s="6"/>
      <c r="D585" s="6" t="s">
        <v>75</v>
      </c>
      <c r="E585" s="6" t="s">
        <v>2</v>
      </c>
      <c r="F585" s="6">
        <v>1</v>
      </c>
      <c r="G585" s="6">
        <v>2</v>
      </c>
      <c r="H585" s="6">
        <v>2</v>
      </c>
      <c r="I585" s="6"/>
      <c r="J585" s="6"/>
      <c r="K585" s="6"/>
      <c r="L585" s="6" t="str">
        <f t="shared" si="63"/>
        <v>Kanyildiz Muhammedmehdi</v>
      </c>
      <c r="M585" s="6" t="str">
        <f t="shared" si="64"/>
        <v>Captain America (Evans, Waeving)</v>
      </c>
      <c r="N585" s="9">
        <f t="shared" si="65"/>
        <v>2</v>
      </c>
      <c r="P585" t="str">
        <f t="shared" si="66"/>
        <v>"Kanyildiz Muhammedmehdi";"Captain America";"2"</v>
      </c>
      <c r="U585" t="str">
        <f t="shared" si="67"/>
        <v>Kanyildiz Muhammedmehdi</v>
      </c>
      <c r="V585" t="str">
        <f t="shared" si="68"/>
        <v>Captain America</v>
      </c>
      <c r="W585">
        <f t="shared" si="69"/>
        <v>1</v>
      </c>
    </row>
    <row r="586" spans="1:23" x14ac:dyDescent="0.2">
      <c r="A586" s="6" t="s">
        <v>22</v>
      </c>
      <c r="B586" s="6">
        <v>2000</v>
      </c>
      <c r="C586" s="6"/>
      <c r="D586" s="6" t="s">
        <v>75</v>
      </c>
      <c r="E586" s="6" t="s">
        <v>2</v>
      </c>
      <c r="F586" s="6">
        <v>1</v>
      </c>
      <c r="G586" s="6">
        <v>4</v>
      </c>
      <c r="H586" s="6">
        <v>4</v>
      </c>
      <c r="I586" s="6"/>
      <c r="J586" s="6"/>
      <c r="K586" s="6"/>
      <c r="L586" s="6" t="str">
        <f t="shared" si="63"/>
        <v>Kanyildiz Muhammedmehdi</v>
      </c>
      <c r="M586" s="6" t="str">
        <f t="shared" si="64"/>
        <v>Cast Away (Hanks, Hunt)</v>
      </c>
      <c r="N586" s="9">
        <f t="shared" si="65"/>
        <v>4</v>
      </c>
      <c r="P586" t="str">
        <f t="shared" si="66"/>
        <v>"Kanyildiz Muhammedmehdi";"Cast Away";"4"</v>
      </c>
      <c r="U586" t="str">
        <f t="shared" si="67"/>
        <v>Kanyildiz Muhammedmehdi</v>
      </c>
      <c r="V586" t="str">
        <f t="shared" si="68"/>
        <v>Cast Away</v>
      </c>
      <c r="W586">
        <f t="shared" si="69"/>
        <v>1</v>
      </c>
    </row>
    <row r="587" spans="1:23" x14ac:dyDescent="0.2">
      <c r="A587" s="6" t="s">
        <v>23</v>
      </c>
      <c r="B587" s="6">
        <v>1958</v>
      </c>
      <c r="C587" s="6"/>
      <c r="D587" s="6" t="s">
        <v>75</v>
      </c>
      <c r="E587" s="6" t="s">
        <v>2</v>
      </c>
      <c r="F587" s="6">
        <v>1</v>
      </c>
      <c r="G587" s="6">
        <v>3</v>
      </c>
      <c r="H587" s="6">
        <v>3</v>
      </c>
      <c r="I587" s="6"/>
      <c r="J587" s="6"/>
      <c r="K587" s="6"/>
      <c r="L587" s="6" t="str">
        <f t="shared" si="63"/>
        <v>Kanyildiz Muhammedmehdi</v>
      </c>
      <c r="M587" s="6" t="str">
        <f t="shared" si="64"/>
        <v>Cat On Hot Tin Roof (Taylor, Newman)</v>
      </c>
      <c r="N587" s="9">
        <f t="shared" si="65"/>
        <v>3</v>
      </c>
      <c r="P587" t="str">
        <f t="shared" si="66"/>
        <v>"Kanyildiz Muhammedmehdi";"Cat On Hot Tin Roof";"3"</v>
      </c>
      <c r="U587" t="str">
        <f t="shared" si="67"/>
        <v>Kanyildiz Muhammedmehdi</v>
      </c>
      <c r="V587" t="str">
        <f t="shared" si="68"/>
        <v>Cat On Hot Tin Roof</v>
      </c>
      <c r="W587">
        <f t="shared" si="69"/>
        <v>1</v>
      </c>
    </row>
    <row r="588" spans="1:23" x14ac:dyDescent="0.2">
      <c r="A588" s="6" t="s">
        <v>24</v>
      </c>
      <c r="B588" s="6">
        <v>1963</v>
      </c>
      <c r="C588" s="6"/>
      <c r="D588" s="6" t="s">
        <v>75</v>
      </c>
      <c r="E588" s="6" t="s">
        <v>3</v>
      </c>
      <c r="F588" s="6">
        <v>0</v>
      </c>
      <c r="G588" s="6"/>
      <c r="H588" s="6">
        <v>0</v>
      </c>
      <c r="I588" s="6"/>
      <c r="J588" s="6"/>
      <c r="K588" s="6"/>
      <c r="L588" s="6" t="str">
        <f t="shared" si="63"/>
        <v>Kanyildiz Muhammedmehdi</v>
      </c>
      <c r="M588" s="6" t="str">
        <f t="shared" si="64"/>
        <v>Charade (Grant, Hepburn)</v>
      </c>
      <c r="N588" s="9">
        <f t="shared" si="65"/>
        <v>0</v>
      </c>
      <c r="P588" t="str">
        <f t="shared" si="66"/>
        <v>"Kanyildiz Muhammedmehdi";"Charade";"0"</v>
      </c>
      <c r="U588" t="str">
        <f t="shared" si="67"/>
        <v>Kanyildiz Muhammedmehdi</v>
      </c>
      <c r="V588" t="str">
        <f t="shared" si="68"/>
        <v>Charade</v>
      </c>
      <c r="W588">
        <f t="shared" si="69"/>
        <v>0</v>
      </c>
    </row>
    <row r="589" spans="1:23" x14ac:dyDescent="0.2">
      <c r="A589" s="6" t="s">
        <v>25</v>
      </c>
      <c r="B589" s="6">
        <v>2000</v>
      </c>
      <c r="C589" s="6"/>
      <c r="D589" s="6" t="s">
        <v>75</v>
      </c>
      <c r="E589" s="6" t="s">
        <v>2</v>
      </c>
      <c r="F589" s="6">
        <v>1</v>
      </c>
      <c r="G589" s="6">
        <v>3</v>
      </c>
      <c r="H589" s="6">
        <v>3</v>
      </c>
      <c r="I589" s="6"/>
      <c r="J589" s="6"/>
      <c r="K589" s="6"/>
      <c r="L589" s="6" t="str">
        <f t="shared" si="63"/>
        <v>Kanyildiz Muhammedmehdi</v>
      </c>
      <c r="M589" s="6" t="str">
        <f t="shared" si="64"/>
        <v>Charlies Angels (Diaz, Barrymore, Liu)</v>
      </c>
      <c r="N589" s="9">
        <f t="shared" si="65"/>
        <v>3</v>
      </c>
      <c r="P589" t="str">
        <f t="shared" si="66"/>
        <v>"Kanyildiz Muhammedmehdi";"Charlies Angels";"3"</v>
      </c>
      <c r="U589" t="str">
        <f t="shared" si="67"/>
        <v>Kanyildiz Muhammedmehdi</v>
      </c>
      <c r="V589" t="str">
        <f t="shared" si="68"/>
        <v>Charlies Angels</v>
      </c>
      <c r="W589">
        <f t="shared" si="69"/>
        <v>1</v>
      </c>
    </row>
    <row r="590" spans="1:23" x14ac:dyDescent="0.2">
      <c r="A590" s="6" t="s">
        <v>26</v>
      </c>
      <c r="B590" s="6">
        <v>1974</v>
      </c>
      <c r="C590" s="6"/>
      <c r="D590" s="6" t="s">
        <v>75</v>
      </c>
      <c r="E590" s="6" t="s">
        <v>3</v>
      </c>
      <c r="F590" s="6">
        <v>0</v>
      </c>
      <c r="G590" s="6"/>
      <c r="H590" s="6">
        <v>0</v>
      </c>
      <c r="I590" s="6"/>
      <c r="J590" s="6"/>
      <c r="K590" s="6"/>
      <c r="L590" s="6" t="str">
        <f t="shared" si="63"/>
        <v>Kanyildiz Muhammedmehdi</v>
      </c>
      <c r="M590" s="6" t="str">
        <f t="shared" si="64"/>
        <v>Chinatown (Nicholson, Dunaway)</v>
      </c>
      <c r="N590" s="9">
        <f t="shared" si="65"/>
        <v>0</v>
      </c>
      <c r="P590" t="str">
        <f t="shared" si="66"/>
        <v>"Kanyildiz Muhammedmehdi";"Chinatown";"0"</v>
      </c>
      <c r="U590" t="str">
        <f t="shared" si="67"/>
        <v>Kanyildiz Muhammedmehdi</v>
      </c>
      <c r="V590" t="str">
        <f t="shared" si="68"/>
        <v>Chinatown</v>
      </c>
      <c r="W590">
        <f t="shared" si="69"/>
        <v>0</v>
      </c>
    </row>
    <row r="591" spans="1:23" x14ac:dyDescent="0.2">
      <c r="A591" s="6" t="s">
        <v>27</v>
      </c>
      <c r="B591" s="6">
        <v>1986</v>
      </c>
      <c r="C591" s="6"/>
      <c r="D591" s="6" t="s">
        <v>75</v>
      </c>
      <c r="E591" s="6" t="s">
        <v>3</v>
      </c>
      <c r="F591" s="6">
        <v>0</v>
      </c>
      <c r="G591" s="6"/>
      <c r="H591" s="6">
        <v>0</v>
      </c>
      <c r="I591" s="6"/>
      <c r="J591" s="6"/>
      <c r="K591" s="6"/>
      <c r="L591" s="6" t="str">
        <f t="shared" si="63"/>
        <v>Kanyildiz Muhammedmehdi</v>
      </c>
      <c r="M591" s="6" t="str">
        <f t="shared" si="64"/>
        <v>Clockwise (Gleese, Leatherbarrow)</v>
      </c>
      <c r="N591" s="9">
        <f t="shared" si="65"/>
        <v>0</v>
      </c>
      <c r="P591" t="str">
        <f t="shared" si="66"/>
        <v>"Kanyildiz Muhammedmehdi";"Clockwise";"0"</v>
      </c>
      <c r="U591" t="str">
        <f t="shared" si="67"/>
        <v>Kanyildiz Muhammedmehdi</v>
      </c>
      <c r="V591" t="str">
        <f t="shared" si="68"/>
        <v>Clockwise</v>
      </c>
      <c r="W591">
        <f t="shared" si="69"/>
        <v>0</v>
      </c>
    </row>
    <row r="592" spans="1:23" x14ac:dyDescent="0.2">
      <c r="A592" s="6" t="s">
        <v>28</v>
      </c>
      <c r="B592" s="6">
        <v>2011</v>
      </c>
      <c r="C592" s="6"/>
      <c r="D592" s="6" t="s">
        <v>75</v>
      </c>
      <c r="E592" s="6" t="s">
        <v>2</v>
      </c>
      <c r="F592" s="6">
        <v>1</v>
      </c>
      <c r="G592" s="6">
        <v>3</v>
      </c>
      <c r="H592" s="6">
        <v>3</v>
      </c>
      <c r="I592" s="6"/>
      <c r="J592" s="6"/>
      <c r="K592" s="6"/>
      <c r="L592" s="6" t="str">
        <f t="shared" si="63"/>
        <v>Kanyildiz Muhammedmehdi</v>
      </c>
      <c r="M592" s="6" t="str">
        <f t="shared" si="64"/>
        <v>Colombiana (Saldana, Molla)</v>
      </c>
      <c r="N592" s="9">
        <f t="shared" si="65"/>
        <v>3</v>
      </c>
      <c r="P592" t="str">
        <f t="shared" si="66"/>
        <v>"Kanyildiz Muhammedmehdi";"Colombiana";"3"</v>
      </c>
      <c r="U592" t="str">
        <f t="shared" si="67"/>
        <v>Kanyildiz Muhammedmehdi</v>
      </c>
      <c r="V592" t="str">
        <f t="shared" si="68"/>
        <v>Colombiana</v>
      </c>
      <c r="W592">
        <f t="shared" si="69"/>
        <v>1</v>
      </c>
    </row>
    <row r="593" spans="1:23" x14ac:dyDescent="0.2">
      <c r="A593" s="6" t="s">
        <v>29</v>
      </c>
      <c r="B593" s="6">
        <v>1962</v>
      </c>
      <c r="C593" s="6"/>
      <c r="D593" s="6" t="s">
        <v>75</v>
      </c>
      <c r="E593" s="6" t="s">
        <v>3</v>
      </c>
      <c r="F593" s="6">
        <v>0</v>
      </c>
      <c r="G593" s="6"/>
      <c r="H593" s="6">
        <v>0</v>
      </c>
      <c r="I593" s="6"/>
      <c r="J593" s="6"/>
      <c r="K593" s="6"/>
      <c r="L593" s="6" t="str">
        <f t="shared" si="63"/>
        <v>Kanyildiz Muhammedmehdi</v>
      </c>
      <c r="M593" s="6" t="str">
        <f t="shared" si="64"/>
        <v>Doctor No (Connery, Andress)</v>
      </c>
      <c r="N593" s="9">
        <f t="shared" si="65"/>
        <v>0</v>
      </c>
      <c r="P593" t="str">
        <f t="shared" si="66"/>
        <v>"Kanyildiz Muhammedmehdi";"Doctor No";"0"</v>
      </c>
      <c r="U593" t="str">
        <f t="shared" si="67"/>
        <v>Kanyildiz Muhammedmehdi</v>
      </c>
      <c r="V593" t="str">
        <f t="shared" si="68"/>
        <v>Doctor No</v>
      </c>
      <c r="W593">
        <f t="shared" si="69"/>
        <v>0</v>
      </c>
    </row>
    <row r="594" spans="1:23" x14ac:dyDescent="0.2">
      <c r="A594" s="6" t="s">
        <v>30</v>
      </c>
      <c r="B594" s="6">
        <v>1965</v>
      </c>
      <c r="C594" s="6"/>
      <c r="D594" s="6" t="s">
        <v>75</v>
      </c>
      <c r="E594" s="6" t="s">
        <v>3</v>
      </c>
      <c r="F594" s="6">
        <v>0</v>
      </c>
      <c r="G594" s="6"/>
      <c r="H594" s="6">
        <v>0</v>
      </c>
      <c r="I594" s="6"/>
      <c r="J594" s="6"/>
      <c r="K594" s="6"/>
      <c r="L594" s="6" t="str">
        <f t="shared" si="63"/>
        <v>Kanyildiz Muhammedmehdi</v>
      </c>
      <c r="M594" s="6" t="str">
        <f t="shared" si="64"/>
        <v>Doctor Zhiwago (Sharif, Christie)</v>
      </c>
      <c r="N594" s="9">
        <f t="shared" si="65"/>
        <v>0</v>
      </c>
      <c r="P594" t="str">
        <f t="shared" si="66"/>
        <v>"Kanyildiz Muhammedmehdi";"Doctor Zhiwago";"0"</v>
      </c>
      <c r="U594" t="str">
        <f t="shared" si="67"/>
        <v>Kanyildiz Muhammedmehdi</v>
      </c>
      <c r="V594" t="str">
        <f t="shared" si="68"/>
        <v>Doctor Zhiwago</v>
      </c>
      <c r="W594">
        <f t="shared" si="69"/>
        <v>0</v>
      </c>
    </row>
    <row r="595" spans="1:23" x14ac:dyDescent="0.2">
      <c r="A595" s="6" t="s">
        <v>31</v>
      </c>
      <c r="B595" s="6">
        <v>1964</v>
      </c>
      <c r="C595" s="6"/>
      <c r="D595" s="6" t="s">
        <v>75</v>
      </c>
      <c r="E595" s="6" t="s">
        <v>3</v>
      </c>
      <c r="F595" s="6">
        <v>0</v>
      </c>
      <c r="G595" s="6"/>
      <c r="H595" s="6">
        <v>0</v>
      </c>
      <c r="I595" s="6"/>
      <c r="J595" s="6"/>
      <c r="K595" s="6"/>
      <c r="L595" s="6" t="str">
        <f t="shared" si="63"/>
        <v>Kanyildiz Muhammedmehdi</v>
      </c>
      <c r="M595" s="6" t="str">
        <f t="shared" si="64"/>
        <v>Dr. Strangelove… (Sellers, Scott)</v>
      </c>
      <c r="N595" s="9">
        <f t="shared" si="65"/>
        <v>0</v>
      </c>
      <c r="P595" t="str">
        <f t="shared" si="66"/>
        <v>"Kanyildiz Muhammedmehdi";"Dr. Strangelove…";"0"</v>
      </c>
      <c r="U595" t="str">
        <f t="shared" si="67"/>
        <v>Kanyildiz Muhammedmehdi</v>
      </c>
      <c r="V595" t="str">
        <f t="shared" si="68"/>
        <v>Dr. Strangelove…</v>
      </c>
      <c r="W595">
        <f t="shared" si="69"/>
        <v>0</v>
      </c>
    </row>
    <row r="596" spans="1:23" x14ac:dyDescent="0.2">
      <c r="A596" s="6" t="s">
        <v>32</v>
      </c>
      <c r="B596" s="6">
        <v>2000</v>
      </c>
      <c r="C596" s="6"/>
      <c r="D596" s="6" t="s">
        <v>75</v>
      </c>
      <c r="E596" s="6" t="s">
        <v>3</v>
      </c>
      <c r="F596" s="6">
        <v>0</v>
      </c>
      <c r="G596" s="6"/>
      <c r="H596" s="6">
        <v>0</v>
      </c>
      <c r="I596" s="6"/>
      <c r="J596" s="6"/>
      <c r="K596" s="6"/>
      <c r="L596" s="6" t="str">
        <f t="shared" si="63"/>
        <v>Kanyildiz Muhammedmehdi</v>
      </c>
      <c r="M596" s="6" t="str">
        <f t="shared" si="64"/>
        <v>Dr. T and the women (Gere, Hunt)</v>
      </c>
      <c r="N596" s="9">
        <f t="shared" si="65"/>
        <v>0</v>
      </c>
      <c r="P596" t="str">
        <f t="shared" si="66"/>
        <v>"Kanyildiz Muhammedmehdi";"Dr. T and the women";"0"</v>
      </c>
      <c r="U596" t="str">
        <f t="shared" si="67"/>
        <v>Kanyildiz Muhammedmehdi</v>
      </c>
      <c r="V596" t="str">
        <f t="shared" si="68"/>
        <v>Dr. T and the women</v>
      </c>
      <c r="W596">
        <f t="shared" si="69"/>
        <v>0</v>
      </c>
    </row>
    <row r="597" spans="1:23" x14ac:dyDescent="0.2">
      <c r="A597" s="6" t="s">
        <v>33</v>
      </c>
      <c r="B597" s="6">
        <v>1953</v>
      </c>
      <c r="C597" s="6"/>
      <c r="D597" s="6" t="s">
        <v>75</v>
      </c>
      <c r="E597" s="6" t="s">
        <v>3</v>
      </c>
      <c r="F597" s="6">
        <v>0</v>
      </c>
      <c r="G597" s="6"/>
      <c r="H597" s="6">
        <v>0</v>
      </c>
      <c r="I597" s="6"/>
      <c r="J597" s="6"/>
      <c r="K597" s="6"/>
      <c r="L597" s="6" t="str">
        <f t="shared" si="63"/>
        <v>Kanyildiz Muhammedmehdi</v>
      </c>
      <c r="M597" s="6" t="str">
        <f t="shared" si="64"/>
        <v>Gentlemen Prefer Blondes (Monroe, Russell)</v>
      </c>
      <c r="N597" s="9">
        <f t="shared" si="65"/>
        <v>0</v>
      </c>
      <c r="P597" t="str">
        <f t="shared" si="66"/>
        <v>"Kanyildiz Muhammedmehdi";"Gentlemen Prefer Blondes";"0"</v>
      </c>
      <c r="U597" t="str">
        <f t="shared" si="67"/>
        <v>Kanyildiz Muhammedmehdi</v>
      </c>
      <c r="V597" t="str">
        <f t="shared" si="68"/>
        <v>Gentlemen Prefer Blondes</v>
      </c>
      <c r="W597">
        <f t="shared" si="69"/>
        <v>0</v>
      </c>
    </row>
    <row r="598" spans="1:23" x14ac:dyDescent="0.2">
      <c r="A598" s="6" t="s">
        <v>34</v>
      </c>
      <c r="B598" s="6">
        <v>2014</v>
      </c>
      <c r="C598" s="6"/>
      <c r="D598" s="6" t="s">
        <v>75</v>
      </c>
      <c r="E598" s="6" t="s">
        <v>3</v>
      </c>
      <c r="F598" s="6">
        <v>0</v>
      </c>
      <c r="G598" s="6"/>
      <c r="H598" s="6">
        <v>0</v>
      </c>
      <c r="I598" s="6"/>
      <c r="J598" s="6"/>
      <c r="K598" s="6"/>
      <c r="L598" s="6" t="str">
        <f t="shared" si="63"/>
        <v>Kanyildiz Muhammedmehdi</v>
      </c>
      <c r="M598" s="6" t="str">
        <f t="shared" si="64"/>
        <v>Grand Budapest Hotel (Fiennes, Abraham)</v>
      </c>
      <c r="N598" s="9">
        <f t="shared" si="65"/>
        <v>0</v>
      </c>
      <c r="P598" t="str">
        <f t="shared" si="66"/>
        <v>"Kanyildiz Muhammedmehdi";"Grand Budapest Hotel";"0"</v>
      </c>
      <c r="U598" t="str">
        <f t="shared" si="67"/>
        <v>Kanyildiz Muhammedmehdi</v>
      </c>
      <c r="V598" t="str">
        <f t="shared" si="68"/>
        <v>Grand Budapest Hotel</v>
      </c>
      <c r="W598">
        <f t="shared" si="69"/>
        <v>0</v>
      </c>
    </row>
    <row r="599" spans="1:23" x14ac:dyDescent="0.2">
      <c r="A599" s="6" t="s">
        <v>35</v>
      </c>
      <c r="B599" s="6">
        <v>2001</v>
      </c>
      <c r="C599" s="6"/>
      <c r="D599" s="6" t="s">
        <v>75</v>
      </c>
      <c r="E599" s="6" t="s">
        <v>2</v>
      </c>
      <c r="F599" s="6">
        <v>1</v>
      </c>
      <c r="G599" s="6">
        <v>4</v>
      </c>
      <c r="H599" s="6">
        <v>4</v>
      </c>
      <c r="I599" s="6"/>
      <c r="J599" s="6"/>
      <c r="K599" s="6"/>
      <c r="L599" s="6" t="str">
        <f t="shared" si="63"/>
        <v>Kanyildiz Muhammedmehdi</v>
      </c>
      <c r="M599" s="6" t="str">
        <f t="shared" si="64"/>
        <v>Harry Potter and the Philosopher's Stone (Radcliff, Harris)</v>
      </c>
      <c r="N599" s="9">
        <f t="shared" si="65"/>
        <v>4</v>
      </c>
      <c r="P599" t="str">
        <f t="shared" si="66"/>
        <v>"Kanyildiz Muhammedmehdi";"Harry Potter and the Philosopher's Stone";"4"</v>
      </c>
      <c r="U599" t="str">
        <f t="shared" si="67"/>
        <v>Kanyildiz Muhammedmehdi</v>
      </c>
      <c r="V599" t="str">
        <f t="shared" si="68"/>
        <v>Harry Potter and the Philosopher's Stone</v>
      </c>
      <c r="W599">
        <f t="shared" si="69"/>
        <v>1</v>
      </c>
    </row>
    <row r="600" spans="1:23" x14ac:dyDescent="0.2">
      <c r="A600" s="6" t="s">
        <v>36</v>
      </c>
      <c r="B600" s="6">
        <v>1950</v>
      </c>
      <c r="C600" s="6"/>
      <c r="D600" s="6" t="s">
        <v>75</v>
      </c>
      <c r="E600" s="6" t="s">
        <v>2</v>
      </c>
      <c r="F600" s="6">
        <v>1</v>
      </c>
      <c r="G600" s="6">
        <v>3</v>
      </c>
      <c r="H600" s="6">
        <v>3</v>
      </c>
      <c r="I600" s="6"/>
      <c r="J600" s="6"/>
      <c r="K600" s="6"/>
      <c r="L600" s="6" t="str">
        <f t="shared" si="63"/>
        <v>Kanyildiz Muhammedmehdi</v>
      </c>
      <c r="M600" s="6" t="str">
        <f t="shared" si="64"/>
        <v>Harvey (Stewart, Hull)</v>
      </c>
      <c r="N600" s="9">
        <f t="shared" si="65"/>
        <v>3</v>
      </c>
      <c r="P600" t="str">
        <f t="shared" si="66"/>
        <v>"Kanyildiz Muhammedmehdi";"Harvey";"3"</v>
      </c>
      <c r="U600" t="str">
        <f t="shared" si="67"/>
        <v>Kanyildiz Muhammedmehdi</v>
      </c>
      <c r="V600" t="str">
        <f t="shared" si="68"/>
        <v>Harvey</v>
      </c>
      <c r="W600">
        <f t="shared" si="69"/>
        <v>1</v>
      </c>
    </row>
    <row r="601" spans="1:23" x14ac:dyDescent="0.2">
      <c r="A601" s="6" t="s">
        <v>37</v>
      </c>
      <c r="B601" s="6">
        <v>1962</v>
      </c>
      <c r="C601" s="6"/>
      <c r="D601" s="6" t="s">
        <v>75</v>
      </c>
      <c r="E601" s="6" t="s">
        <v>3</v>
      </c>
      <c r="F601" s="6">
        <v>0</v>
      </c>
      <c r="G601" s="6"/>
      <c r="H601" s="6">
        <v>0</v>
      </c>
      <c r="I601" s="6"/>
      <c r="J601" s="6"/>
      <c r="K601" s="6"/>
      <c r="L601" s="6" t="str">
        <f t="shared" si="63"/>
        <v>Kanyildiz Muhammedmehdi</v>
      </c>
      <c r="M601" s="6" t="str">
        <f t="shared" si="64"/>
        <v>Hatari! (Wayne, Martinelli)</v>
      </c>
      <c r="N601" s="9">
        <f t="shared" si="65"/>
        <v>0</v>
      </c>
      <c r="P601" t="str">
        <f t="shared" si="66"/>
        <v>"Kanyildiz Muhammedmehdi";"Hatari!";"0"</v>
      </c>
      <c r="U601" t="str">
        <f t="shared" si="67"/>
        <v>Kanyildiz Muhammedmehdi</v>
      </c>
      <c r="V601" t="str">
        <f t="shared" si="68"/>
        <v>Hatari!</v>
      </c>
      <c r="W601">
        <f t="shared" si="69"/>
        <v>0</v>
      </c>
    </row>
    <row r="602" spans="1:23" x14ac:dyDescent="0.2">
      <c r="A602" s="6" t="s">
        <v>38</v>
      </c>
      <c r="B602" s="6">
        <v>1990</v>
      </c>
      <c r="C602" s="6"/>
      <c r="D602" s="6" t="s">
        <v>75</v>
      </c>
      <c r="E602" s="6" t="s">
        <v>2</v>
      </c>
      <c r="F602" s="6">
        <v>1</v>
      </c>
      <c r="G602" s="6">
        <v>5</v>
      </c>
      <c r="H602" s="6">
        <v>5</v>
      </c>
      <c r="I602" s="6"/>
      <c r="J602" s="6"/>
      <c r="K602" s="6"/>
      <c r="L602" s="6" t="str">
        <f t="shared" si="63"/>
        <v>Kanyildiz Muhammedmehdi</v>
      </c>
      <c r="M602" s="6" t="str">
        <f t="shared" si="64"/>
        <v>Home alone (Culkin, Pesci)</v>
      </c>
      <c r="N602" s="9">
        <f t="shared" si="65"/>
        <v>5</v>
      </c>
      <c r="P602" t="str">
        <f t="shared" si="66"/>
        <v>"Kanyildiz Muhammedmehdi";"Home alone";"5"</v>
      </c>
      <c r="U602" t="str">
        <f t="shared" si="67"/>
        <v>Kanyildiz Muhammedmehdi</v>
      </c>
      <c r="V602" t="str">
        <f t="shared" si="68"/>
        <v>Home alone</v>
      </c>
      <c r="W602">
        <f t="shared" si="69"/>
        <v>1</v>
      </c>
    </row>
    <row r="603" spans="1:23" x14ac:dyDescent="0.2">
      <c r="A603" s="6" t="s">
        <v>39</v>
      </c>
      <c r="B603" s="6">
        <v>2004</v>
      </c>
      <c r="C603" s="6"/>
      <c r="D603" s="6" t="s">
        <v>75</v>
      </c>
      <c r="E603" s="6" t="s">
        <v>2</v>
      </c>
      <c r="F603" s="6">
        <v>1</v>
      </c>
      <c r="G603" s="6">
        <v>5</v>
      </c>
      <c r="H603" s="6">
        <v>5</v>
      </c>
      <c r="I603" s="6"/>
      <c r="J603" s="6"/>
      <c r="K603" s="6"/>
      <c r="L603" s="6" t="str">
        <f t="shared" si="63"/>
        <v>Kanyildiz Muhammedmehdi</v>
      </c>
      <c r="M603" s="6" t="str">
        <f t="shared" si="64"/>
        <v>I, Robot (Smith, Moynahan)</v>
      </c>
      <c r="N603" s="9">
        <f t="shared" si="65"/>
        <v>5</v>
      </c>
      <c r="P603" t="str">
        <f t="shared" si="66"/>
        <v>"Kanyildiz Muhammedmehdi";"I, Robot";"5"</v>
      </c>
      <c r="U603" t="str">
        <f t="shared" si="67"/>
        <v>Kanyildiz Muhammedmehdi</v>
      </c>
      <c r="V603" t="str">
        <f t="shared" si="68"/>
        <v>I, Robot</v>
      </c>
      <c r="W603">
        <f t="shared" si="69"/>
        <v>1</v>
      </c>
    </row>
    <row r="604" spans="1:23" x14ac:dyDescent="0.2">
      <c r="A604" s="6" t="s">
        <v>40</v>
      </c>
      <c r="B604" s="6">
        <v>1967</v>
      </c>
      <c r="C604" s="6"/>
      <c r="D604" s="6" t="s">
        <v>75</v>
      </c>
      <c r="E604" s="6" t="s">
        <v>3</v>
      </c>
      <c r="F604" s="6">
        <v>0</v>
      </c>
      <c r="G604" s="6"/>
      <c r="H604" s="6">
        <v>0</v>
      </c>
      <c r="I604" s="6"/>
      <c r="J604" s="6"/>
      <c r="K604" s="6"/>
      <c r="L604" s="6" t="str">
        <f t="shared" si="63"/>
        <v>Kanyildiz Muhammedmehdi</v>
      </c>
      <c r="M604" s="6" t="str">
        <f t="shared" si="64"/>
        <v>In The Heat Of The Night (Poitier, Steiger)</v>
      </c>
      <c r="N604" s="9">
        <f t="shared" si="65"/>
        <v>0</v>
      </c>
      <c r="P604" t="str">
        <f t="shared" si="66"/>
        <v>"Kanyildiz Muhammedmehdi";"In The Heat Of The Night";"0"</v>
      </c>
      <c r="U604" t="str">
        <f t="shared" si="67"/>
        <v>Kanyildiz Muhammedmehdi</v>
      </c>
      <c r="V604" t="str">
        <f t="shared" si="68"/>
        <v>In The Heat Of The Night</v>
      </c>
      <c r="W604">
        <f t="shared" si="69"/>
        <v>0</v>
      </c>
    </row>
    <row r="605" spans="1:23" x14ac:dyDescent="0.2">
      <c r="A605" s="6" t="s">
        <v>41</v>
      </c>
      <c r="B605" s="6">
        <v>2014</v>
      </c>
      <c r="C605" s="6"/>
      <c r="D605" s="6" t="s">
        <v>75</v>
      </c>
      <c r="E605" s="6" t="s">
        <v>3</v>
      </c>
      <c r="F605" s="6">
        <v>0</v>
      </c>
      <c r="G605" s="6"/>
      <c r="H605" s="6">
        <v>0</v>
      </c>
      <c r="I605" s="6"/>
      <c r="J605" s="6"/>
      <c r="K605" s="6"/>
      <c r="L605" s="6" t="str">
        <f t="shared" si="63"/>
        <v>Kanyildiz Muhammedmehdi</v>
      </c>
      <c r="M605" s="6" t="str">
        <f t="shared" si="64"/>
        <v>Jack Ryan: Shadow Recruite (Pine, Costner)</v>
      </c>
      <c r="N605" s="9">
        <f t="shared" si="65"/>
        <v>0</v>
      </c>
      <c r="P605" t="str">
        <f t="shared" si="66"/>
        <v>"Kanyildiz Muhammedmehdi";"Jack Ryan: Shadow Recruite";"0"</v>
      </c>
      <c r="U605" t="str">
        <f t="shared" si="67"/>
        <v>Kanyildiz Muhammedmehdi</v>
      </c>
      <c r="V605" t="str">
        <f t="shared" si="68"/>
        <v>Jack Ryan: Shadow Recruite</v>
      </c>
      <c r="W605">
        <f t="shared" si="69"/>
        <v>0</v>
      </c>
    </row>
    <row r="606" spans="1:23" x14ac:dyDescent="0.2">
      <c r="A606" s="6" t="s">
        <v>42</v>
      </c>
      <c r="B606" s="6">
        <v>1995</v>
      </c>
      <c r="C606" s="6"/>
      <c r="D606" s="6" t="s">
        <v>75</v>
      </c>
      <c r="E606" s="6" t="s">
        <v>2</v>
      </c>
      <c r="F606" s="6">
        <v>1</v>
      </c>
      <c r="G606" s="6">
        <v>4</v>
      </c>
      <c r="H606" s="6">
        <v>4</v>
      </c>
      <c r="I606" s="6"/>
      <c r="J606" s="6"/>
      <c r="K606" s="6"/>
      <c r="L606" s="6" t="str">
        <f t="shared" si="63"/>
        <v>Kanyildiz Muhammedmehdi</v>
      </c>
      <c r="M606" s="6" t="str">
        <f t="shared" si="64"/>
        <v>Jumanji (Williams, Dunst)</v>
      </c>
      <c r="N606" s="9">
        <f t="shared" si="65"/>
        <v>4</v>
      </c>
      <c r="P606" t="str">
        <f t="shared" si="66"/>
        <v>"Kanyildiz Muhammedmehdi";"Jumanji";"4"</v>
      </c>
      <c r="U606" t="str">
        <f t="shared" si="67"/>
        <v>Kanyildiz Muhammedmehdi</v>
      </c>
      <c r="V606" t="str">
        <f t="shared" si="68"/>
        <v>Jumanji</v>
      </c>
      <c r="W606">
        <f t="shared" si="69"/>
        <v>1</v>
      </c>
    </row>
    <row r="607" spans="1:23" x14ac:dyDescent="0.2">
      <c r="A607" s="6" t="s">
        <v>43</v>
      </c>
      <c r="B607" s="6">
        <v>2005</v>
      </c>
      <c r="C607" s="6"/>
      <c r="D607" s="6" t="s">
        <v>75</v>
      </c>
      <c r="E607" s="6" t="s">
        <v>2</v>
      </c>
      <c r="F607" s="6">
        <v>1</v>
      </c>
      <c r="G607" s="6">
        <v>2</v>
      </c>
      <c r="H607" s="6">
        <v>2</v>
      </c>
      <c r="I607" s="6"/>
      <c r="J607" s="6"/>
      <c r="K607" s="6"/>
      <c r="L607" s="6" t="str">
        <f t="shared" si="63"/>
        <v>Kanyildiz Muhammedmehdi</v>
      </c>
      <c r="M607" s="6" t="str">
        <f t="shared" si="64"/>
        <v>King Kong (Watts, Black)</v>
      </c>
      <c r="N607" s="9">
        <f t="shared" si="65"/>
        <v>2</v>
      </c>
      <c r="P607" t="str">
        <f t="shared" si="66"/>
        <v>"Kanyildiz Muhammedmehdi";"King Kong";"2"</v>
      </c>
      <c r="U607" t="str">
        <f t="shared" si="67"/>
        <v>Kanyildiz Muhammedmehdi</v>
      </c>
      <c r="V607" t="str">
        <f t="shared" si="68"/>
        <v>King Kong</v>
      </c>
      <c r="W607">
        <f t="shared" si="69"/>
        <v>1</v>
      </c>
    </row>
    <row r="608" spans="1:23" x14ac:dyDescent="0.2">
      <c r="A608" s="6" t="s">
        <v>44</v>
      </c>
      <c r="B608" s="6">
        <v>2016</v>
      </c>
      <c r="C608" s="6"/>
      <c r="D608" s="6" t="s">
        <v>75</v>
      </c>
      <c r="E608" s="6" t="s">
        <v>3</v>
      </c>
      <c r="F608" s="6">
        <v>0</v>
      </c>
      <c r="G608" s="6"/>
      <c r="H608" s="6">
        <v>0</v>
      </c>
      <c r="I608" s="6"/>
      <c r="J608" s="6"/>
      <c r="K608" s="6"/>
      <c r="L608" s="6" t="str">
        <f t="shared" si="63"/>
        <v>Kanyildiz Muhammedmehdi</v>
      </c>
      <c r="M608" s="6" t="str">
        <f t="shared" si="64"/>
        <v>La La Land (Gosling, Stone)</v>
      </c>
      <c r="N608" s="9">
        <f t="shared" si="65"/>
        <v>0</v>
      </c>
      <c r="P608" t="str">
        <f t="shared" si="66"/>
        <v>"Kanyildiz Muhammedmehdi";"La La Land";"0"</v>
      </c>
      <c r="U608" t="str">
        <f t="shared" si="67"/>
        <v>Kanyildiz Muhammedmehdi</v>
      </c>
      <c r="V608" t="str">
        <f t="shared" si="68"/>
        <v>La La Land</v>
      </c>
      <c r="W608">
        <f t="shared" si="69"/>
        <v>0</v>
      </c>
    </row>
    <row r="609" spans="1:23" x14ac:dyDescent="0.2">
      <c r="A609" s="6" t="s">
        <v>45</v>
      </c>
      <c r="B609" s="6">
        <v>2001</v>
      </c>
      <c r="C609" s="6"/>
      <c r="D609" s="6" t="s">
        <v>75</v>
      </c>
      <c r="E609" s="6" t="s">
        <v>2</v>
      </c>
      <c r="F609" s="6">
        <v>1</v>
      </c>
      <c r="G609" s="6">
        <v>5</v>
      </c>
      <c r="H609" s="6">
        <v>5</v>
      </c>
      <c r="I609" s="6"/>
      <c r="J609" s="6"/>
      <c r="K609" s="6"/>
      <c r="L609" s="6" t="str">
        <f t="shared" si="63"/>
        <v>Kanyildiz Muhammedmehdi</v>
      </c>
      <c r="M609" s="6" t="str">
        <f t="shared" si="64"/>
        <v>Lord of the Rings (Woods, McKellen)</v>
      </c>
      <c r="N609" s="9">
        <f t="shared" si="65"/>
        <v>5</v>
      </c>
      <c r="P609" t="str">
        <f t="shared" si="66"/>
        <v>"Kanyildiz Muhammedmehdi";"Lord of the Rings";"5"</v>
      </c>
      <c r="U609" t="str">
        <f t="shared" si="67"/>
        <v>Kanyildiz Muhammedmehdi</v>
      </c>
      <c r="V609" t="str">
        <f t="shared" si="68"/>
        <v>Lord of the Rings</v>
      </c>
      <c r="W609">
        <f t="shared" si="69"/>
        <v>1</v>
      </c>
    </row>
    <row r="610" spans="1:23" x14ac:dyDescent="0.2">
      <c r="A610" s="6" t="s">
        <v>46</v>
      </c>
      <c r="B610" s="6">
        <v>1964</v>
      </c>
      <c r="C610" s="6"/>
      <c r="D610" s="6" t="s">
        <v>75</v>
      </c>
      <c r="E610" s="6" t="s">
        <v>3</v>
      </c>
      <c r="F610" s="6">
        <v>0</v>
      </c>
      <c r="G610" s="6"/>
      <c r="H610" s="6">
        <v>0</v>
      </c>
      <c r="I610" s="6"/>
      <c r="J610" s="6"/>
      <c r="K610" s="6"/>
      <c r="L610" s="6" t="str">
        <f t="shared" si="63"/>
        <v>Kanyildiz Muhammedmehdi</v>
      </c>
      <c r="M610" s="6" t="str">
        <f t="shared" si="64"/>
        <v>Per Un Pugno Di Dollari (Eastwood, Koch)</v>
      </c>
      <c r="N610" s="9">
        <f t="shared" si="65"/>
        <v>0</v>
      </c>
      <c r="P610" t="str">
        <f t="shared" si="66"/>
        <v>"Kanyildiz Muhammedmehdi";"Per Un Pugno Di Dollari";"0"</v>
      </c>
      <c r="U610" t="str">
        <f t="shared" si="67"/>
        <v>Kanyildiz Muhammedmehdi</v>
      </c>
      <c r="V610" t="str">
        <f t="shared" si="68"/>
        <v>Per Un Pugno Di Dollari</v>
      </c>
      <c r="W610">
        <f t="shared" si="69"/>
        <v>0</v>
      </c>
    </row>
    <row r="611" spans="1:23" x14ac:dyDescent="0.2">
      <c r="A611" s="6" t="s">
        <v>47</v>
      </c>
      <c r="B611" s="6">
        <v>1954</v>
      </c>
      <c r="C611" s="6"/>
      <c r="D611" s="6" t="s">
        <v>75</v>
      </c>
      <c r="E611" s="6" t="s">
        <v>3</v>
      </c>
      <c r="F611" s="6">
        <v>0</v>
      </c>
      <c r="G611" s="6"/>
      <c r="H611" s="6">
        <v>0</v>
      </c>
      <c r="I611" s="6"/>
      <c r="J611" s="6"/>
      <c r="K611" s="6"/>
      <c r="L611" s="6" t="str">
        <f t="shared" si="63"/>
        <v>Kanyildiz Muhammedmehdi</v>
      </c>
      <c r="M611" s="6" t="str">
        <f t="shared" si="64"/>
        <v>Rear Window (Stewart, Kelly)</v>
      </c>
      <c r="N611" s="9">
        <f t="shared" si="65"/>
        <v>0</v>
      </c>
      <c r="P611" t="str">
        <f t="shared" si="66"/>
        <v>"Kanyildiz Muhammedmehdi";"Rear Window";"0"</v>
      </c>
      <c r="U611" t="str">
        <f t="shared" si="67"/>
        <v>Kanyildiz Muhammedmehdi</v>
      </c>
      <c r="V611" t="str">
        <f t="shared" si="68"/>
        <v>Rear Window</v>
      </c>
      <c r="W611">
        <f t="shared" si="69"/>
        <v>0</v>
      </c>
    </row>
    <row r="612" spans="1:23" x14ac:dyDescent="0.2">
      <c r="A612" s="6" t="s">
        <v>48</v>
      </c>
      <c r="B612" s="6">
        <v>1955</v>
      </c>
      <c r="C612" s="6"/>
      <c r="D612" s="6" t="s">
        <v>75</v>
      </c>
      <c r="E612" s="6" t="s">
        <v>3</v>
      </c>
      <c r="F612" s="6">
        <v>0</v>
      </c>
      <c r="G612" s="6"/>
      <c r="H612" s="6">
        <v>0</v>
      </c>
      <c r="I612" s="6"/>
      <c r="J612" s="6"/>
      <c r="K612" s="6"/>
      <c r="L612" s="6" t="str">
        <f t="shared" si="63"/>
        <v>Kanyildiz Muhammedmehdi</v>
      </c>
      <c r="M612" s="6" t="str">
        <f t="shared" si="64"/>
        <v>Rebel Without A Cause (Dean, Wood)</v>
      </c>
      <c r="N612" s="9">
        <f t="shared" si="65"/>
        <v>0</v>
      </c>
      <c r="P612" t="str">
        <f t="shared" si="66"/>
        <v>"Kanyildiz Muhammedmehdi";"Rebel Without A Cause";"0"</v>
      </c>
      <c r="U612" t="str">
        <f t="shared" si="67"/>
        <v>Kanyildiz Muhammedmehdi</v>
      </c>
      <c r="V612" t="str">
        <f t="shared" si="68"/>
        <v>Rebel Without A Cause</v>
      </c>
      <c r="W612">
        <f t="shared" si="69"/>
        <v>0</v>
      </c>
    </row>
    <row r="613" spans="1:23" x14ac:dyDescent="0.2">
      <c r="A613" s="6" t="s">
        <v>66</v>
      </c>
      <c r="B613" s="6">
        <v>2005</v>
      </c>
      <c r="C613" s="6"/>
      <c r="D613" s="6" t="s">
        <v>75</v>
      </c>
      <c r="E613" s="6" t="s">
        <v>3</v>
      </c>
      <c r="F613" s="6">
        <v>0</v>
      </c>
      <c r="G613" s="6"/>
      <c r="H613" s="6">
        <v>0</v>
      </c>
      <c r="I613" s="6"/>
      <c r="J613" s="6"/>
      <c r="K613" s="6"/>
      <c r="L613" s="6" t="str">
        <f t="shared" si="63"/>
        <v>Kanyildiz Muhammedmehdi</v>
      </c>
      <c r="M613" s="6" t="str">
        <f t="shared" si="64"/>
        <v>Rumor has it (Aniston, Costner)</v>
      </c>
      <c r="N613" s="9">
        <f t="shared" si="65"/>
        <v>0</v>
      </c>
      <c r="P613" t="str">
        <f t="shared" si="66"/>
        <v>"Kanyildiz Muhammedmehdi";"Rumor has it";"0"</v>
      </c>
      <c r="U613" t="str">
        <f t="shared" si="67"/>
        <v>Kanyildiz Muhammedmehdi</v>
      </c>
      <c r="V613" t="str">
        <f t="shared" si="68"/>
        <v>Rumor has it</v>
      </c>
      <c r="W613">
        <f t="shared" si="69"/>
        <v>0</v>
      </c>
    </row>
    <row r="614" spans="1:23" x14ac:dyDescent="0.2">
      <c r="A614" s="6" t="s">
        <v>49</v>
      </c>
      <c r="B614" s="6">
        <v>1998</v>
      </c>
      <c r="C614" s="6"/>
      <c r="D614" s="6" t="s">
        <v>75</v>
      </c>
      <c r="E614" s="6" t="s">
        <v>2</v>
      </c>
      <c r="F614" s="6">
        <v>1</v>
      </c>
      <c r="G614" s="6">
        <v>4</v>
      </c>
      <c r="H614" s="6">
        <v>4</v>
      </c>
      <c r="I614" s="6"/>
      <c r="J614" s="6"/>
      <c r="K614" s="6"/>
      <c r="L614" s="6" t="str">
        <f t="shared" si="63"/>
        <v>Kanyildiz Muhammedmehdi</v>
      </c>
      <c r="M614" s="6" t="str">
        <f t="shared" si="64"/>
        <v>Saving private Ryan (Hanks, Damon)</v>
      </c>
      <c r="N614" s="9">
        <f t="shared" si="65"/>
        <v>4</v>
      </c>
      <c r="P614" t="str">
        <f t="shared" si="66"/>
        <v>"Kanyildiz Muhammedmehdi";"Saving private Ryan";"4"</v>
      </c>
      <c r="U614" t="str">
        <f t="shared" si="67"/>
        <v>Kanyildiz Muhammedmehdi</v>
      </c>
      <c r="V614" t="str">
        <f t="shared" si="68"/>
        <v>Saving private Ryan</v>
      </c>
      <c r="W614">
        <f t="shared" si="69"/>
        <v>1</v>
      </c>
    </row>
    <row r="615" spans="1:23" x14ac:dyDescent="0.2">
      <c r="A615" s="6" t="s">
        <v>50</v>
      </c>
      <c r="B615" s="6">
        <v>1993</v>
      </c>
      <c r="C615" s="6"/>
      <c r="D615" s="6" t="s">
        <v>75</v>
      </c>
      <c r="E615" s="6" t="s">
        <v>2</v>
      </c>
      <c r="F615" s="6">
        <v>1</v>
      </c>
      <c r="G615" s="6">
        <v>4</v>
      </c>
      <c r="H615" s="6">
        <v>4</v>
      </c>
      <c r="I615" s="6"/>
      <c r="J615" s="6"/>
      <c r="K615" s="6"/>
      <c r="L615" s="6" t="str">
        <f t="shared" si="63"/>
        <v>Kanyildiz Muhammedmehdi</v>
      </c>
      <c r="M615" s="6" t="str">
        <f t="shared" si="64"/>
        <v>Schindlers List (Neeson, Fiennes)</v>
      </c>
      <c r="N615" s="9">
        <f t="shared" si="65"/>
        <v>4</v>
      </c>
      <c r="P615" t="str">
        <f t="shared" si="66"/>
        <v>"Kanyildiz Muhammedmehdi";"Schindlers List";"4"</v>
      </c>
      <c r="U615" t="str">
        <f t="shared" si="67"/>
        <v>Kanyildiz Muhammedmehdi</v>
      </c>
      <c r="V615" t="str">
        <f t="shared" si="68"/>
        <v>Schindlers List</v>
      </c>
      <c r="W615">
        <f t="shared" si="69"/>
        <v>1</v>
      </c>
    </row>
    <row r="616" spans="1:23" x14ac:dyDescent="0.2">
      <c r="A616" s="6" t="s">
        <v>51</v>
      </c>
      <c r="B616" s="6">
        <v>1996</v>
      </c>
      <c r="C616" s="6"/>
      <c r="D616" s="6" t="s">
        <v>75</v>
      </c>
      <c r="E616" s="6" t="s">
        <v>2</v>
      </c>
      <c r="F616" s="6">
        <v>1</v>
      </c>
      <c r="G616" s="6">
        <v>3</v>
      </c>
      <c r="H616" s="6">
        <v>3</v>
      </c>
      <c r="I616" s="6"/>
      <c r="J616" s="6"/>
      <c r="K616" s="6"/>
      <c r="L616" s="6" t="str">
        <f t="shared" si="63"/>
        <v>Kanyildiz Muhammedmehdi</v>
      </c>
      <c r="M616" s="6" t="str">
        <f t="shared" si="64"/>
        <v>Scream (Arquette, Campell)</v>
      </c>
      <c r="N616" s="9">
        <f t="shared" si="65"/>
        <v>3</v>
      </c>
      <c r="P616" t="str">
        <f t="shared" si="66"/>
        <v>"Kanyildiz Muhammedmehdi";"Scream";"3"</v>
      </c>
      <c r="U616" t="str">
        <f t="shared" si="67"/>
        <v>Kanyildiz Muhammedmehdi</v>
      </c>
      <c r="V616" t="str">
        <f t="shared" si="68"/>
        <v>Scream</v>
      </c>
      <c r="W616">
        <f t="shared" si="69"/>
        <v>1</v>
      </c>
    </row>
    <row r="617" spans="1:23" x14ac:dyDescent="0.2">
      <c r="A617" s="6" t="s">
        <v>52</v>
      </c>
      <c r="B617" s="6">
        <v>1977</v>
      </c>
      <c r="C617" s="6"/>
      <c r="D617" s="6" t="s">
        <v>75</v>
      </c>
      <c r="E617" s="6" t="s">
        <v>2</v>
      </c>
      <c r="F617" s="6">
        <v>1</v>
      </c>
      <c r="G617" s="6">
        <v>1</v>
      </c>
      <c r="H617" s="6">
        <v>1</v>
      </c>
      <c r="I617" s="6"/>
      <c r="J617" s="6"/>
      <c r="K617" s="6"/>
      <c r="L617" s="6" t="str">
        <f t="shared" si="63"/>
        <v>Kanyildiz Muhammedmehdi</v>
      </c>
      <c r="M617" s="6" t="str">
        <f t="shared" si="64"/>
        <v>Star Wars IV: A new hope (Hamill, Ford)</v>
      </c>
      <c r="N617" s="9">
        <f t="shared" si="65"/>
        <v>1</v>
      </c>
      <c r="P617" t="str">
        <f t="shared" si="66"/>
        <v>"Kanyildiz Muhammedmehdi";"Star Wars IV: A new hope";"1"</v>
      </c>
      <c r="U617" t="str">
        <f t="shared" si="67"/>
        <v>Kanyildiz Muhammedmehdi</v>
      </c>
      <c r="V617" t="str">
        <f t="shared" si="68"/>
        <v>Star Wars IV: A new hope</v>
      </c>
      <c r="W617">
        <f t="shared" si="69"/>
        <v>1</v>
      </c>
    </row>
    <row r="618" spans="1:23" x14ac:dyDescent="0.2">
      <c r="A618" s="6" t="s">
        <v>53</v>
      </c>
      <c r="B618" s="6">
        <v>2016</v>
      </c>
      <c r="C618" s="6"/>
      <c r="D618" s="6" t="s">
        <v>75</v>
      </c>
      <c r="E618" s="6" t="s">
        <v>2</v>
      </c>
      <c r="F618" s="6">
        <v>1</v>
      </c>
      <c r="G618" s="6">
        <v>1</v>
      </c>
      <c r="H618" s="6">
        <v>1</v>
      </c>
      <c r="I618" s="6"/>
      <c r="J618" s="6"/>
      <c r="K618" s="6"/>
      <c r="L618" s="6" t="str">
        <f t="shared" si="63"/>
        <v>Kanyildiz Muhammedmehdi</v>
      </c>
      <c r="M618" s="6" t="str">
        <f t="shared" si="64"/>
        <v>Suicide Squad (Smith, Robbie)</v>
      </c>
      <c r="N618" s="9">
        <f t="shared" si="65"/>
        <v>1</v>
      </c>
      <c r="P618" t="str">
        <f t="shared" si="66"/>
        <v>"Kanyildiz Muhammedmehdi";"Suicide Squad";"1"</v>
      </c>
      <c r="U618" t="str">
        <f t="shared" si="67"/>
        <v>Kanyildiz Muhammedmehdi</v>
      </c>
      <c r="V618" t="str">
        <f t="shared" si="68"/>
        <v>Suicide Squad</v>
      </c>
      <c r="W618">
        <f t="shared" si="69"/>
        <v>1</v>
      </c>
    </row>
    <row r="619" spans="1:23" x14ac:dyDescent="0.2">
      <c r="A619" s="6" t="s">
        <v>54</v>
      </c>
      <c r="B619" s="6">
        <v>2010</v>
      </c>
      <c r="C619" s="6"/>
      <c r="D619" s="6" t="s">
        <v>75</v>
      </c>
      <c r="E619" s="6" t="s">
        <v>2</v>
      </c>
      <c r="F619" s="6">
        <v>1</v>
      </c>
      <c r="G619" s="6">
        <v>3</v>
      </c>
      <c r="H619" s="6">
        <v>3</v>
      </c>
      <c r="I619" s="6"/>
      <c r="J619" s="6"/>
      <c r="K619" s="6"/>
      <c r="L619" s="6" t="str">
        <f t="shared" si="63"/>
        <v>Kanyildiz Muhammedmehdi</v>
      </c>
      <c r="M619" s="6" t="str">
        <f t="shared" si="64"/>
        <v>Tangled (Disney)</v>
      </c>
      <c r="N619" s="9">
        <f t="shared" si="65"/>
        <v>3</v>
      </c>
      <c r="P619" t="str">
        <f t="shared" si="66"/>
        <v>"Kanyildiz Muhammedmehdi";"Tangled";"3"</v>
      </c>
      <c r="U619" t="str">
        <f t="shared" si="67"/>
        <v>Kanyildiz Muhammedmehdi</v>
      </c>
      <c r="V619" t="str">
        <f t="shared" si="68"/>
        <v>Tangled</v>
      </c>
      <c r="W619">
        <f t="shared" si="69"/>
        <v>1</v>
      </c>
    </row>
    <row r="620" spans="1:23" x14ac:dyDescent="0.2">
      <c r="A620" s="6" t="s">
        <v>55</v>
      </c>
      <c r="B620" s="6">
        <v>2012</v>
      </c>
      <c r="C620" s="6"/>
      <c r="D620" s="6" t="s">
        <v>75</v>
      </c>
      <c r="E620" s="6" t="s">
        <v>2</v>
      </c>
      <c r="F620" s="6">
        <v>1</v>
      </c>
      <c r="G620" s="6">
        <v>2</v>
      </c>
      <c r="H620" s="6">
        <v>2</v>
      </c>
      <c r="I620" s="6"/>
      <c r="J620" s="6"/>
      <c r="K620" s="6"/>
      <c r="L620" s="6" t="str">
        <f t="shared" si="63"/>
        <v>Kanyildiz Muhammedmehdi</v>
      </c>
      <c r="M620" s="6" t="str">
        <f t="shared" si="64"/>
        <v>The Avengers (Downey Jr. Evans)</v>
      </c>
      <c r="N620" s="9">
        <f t="shared" si="65"/>
        <v>2</v>
      </c>
      <c r="P620" t="str">
        <f t="shared" si="66"/>
        <v>"Kanyildiz Muhammedmehdi";"The Avengers";"2"</v>
      </c>
      <c r="U620" t="str">
        <f t="shared" si="67"/>
        <v>Kanyildiz Muhammedmehdi</v>
      </c>
      <c r="V620" t="str">
        <f t="shared" si="68"/>
        <v>The Avengers</v>
      </c>
      <c r="W620">
        <f t="shared" si="69"/>
        <v>1</v>
      </c>
    </row>
    <row r="621" spans="1:23" x14ac:dyDescent="0.2">
      <c r="A621" s="6" t="s">
        <v>56</v>
      </c>
      <c r="B621" s="6">
        <v>1973</v>
      </c>
      <c r="C621" s="6"/>
      <c r="D621" s="6" t="s">
        <v>75</v>
      </c>
      <c r="E621" s="6" t="s">
        <v>3</v>
      </c>
      <c r="F621" s="6">
        <v>0</v>
      </c>
      <c r="G621" s="6"/>
      <c r="H621" s="6">
        <v>0</v>
      </c>
      <c r="I621" s="6"/>
      <c r="J621" s="6"/>
      <c r="K621" s="6"/>
      <c r="L621" s="6" t="str">
        <f t="shared" si="63"/>
        <v>Kanyildiz Muhammedmehdi</v>
      </c>
      <c r="M621" s="6" t="str">
        <f t="shared" si="64"/>
        <v>The Exorcist (von Sydow, Blair)</v>
      </c>
      <c r="N621" s="9">
        <f t="shared" si="65"/>
        <v>0</v>
      </c>
      <c r="P621" t="str">
        <f t="shared" si="66"/>
        <v>"Kanyildiz Muhammedmehdi";"The Exorcist";"0"</v>
      </c>
      <c r="U621" t="str">
        <f t="shared" si="67"/>
        <v>Kanyildiz Muhammedmehdi</v>
      </c>
      <c r="V621" t="str">
        <f t="shared" si="68"/>
        <v>The Exorcist</v>
      </c>
      <c r="W621">
        <f t="shared" si="69"/>
        <v>0</v>
      </c>
    </row>
    <row r="622" spans="1:23" x14ac:dyDescent="0.2">
      <c r="A622" s="6" t="s">
        <v>57</v>
      </c>
      <c r="B622" s="6">
        <v>1972</v>
      </c>
      <c r="C622" s="6"/>
      <c r="D622" s="6" t="s">
        <v>75</v>
      </c>
      <c r="E622" s="6" t="s">
        <v>2</v>
      </c>
      <c r="F622" s="6">
        <v>1</v>
      </c>
      <c r="G622" s="6">
        <v>5</v>
      </c>
      <c r="H622" s="6">
        <v>5</v>
      </c>
      <c r="I622" s="6"/>
      <c r="J622" s="6"/>
      <c r="K622" s="6"/>
      <c r="L622" s="6" t="str">
        <f t="shared" si="63"/>
        <v>Kanyildiz Muhammedmehdi</v>
      </c>
      <c r="M622" s="6" t="str">
        <f t="shared" si="64"/>
        <v>The Godfather (Brando, Pacino)</v>
      </c>
      <c r="N622" s="9">
        <f t="shared" si="65"/>
        <v>5</v>
      </c>
      <c r="P622" t="str">
        <f t="shared" si="66"/>
        <v>"Kanyildiz Muhammedmehdi";"The Godfather";"5"</v>
      </c>
      <c r="U622" t="str">
        <f t="shared" si="67"/>
        <v>Kanyildiz Muhammedmehdi</v>
      </c>
      <c r="V622" t="str">
        <f t="shared" si="68"/>
        <v>The Godfather</v>
      </c>
      <c r="W622">
        <f t="shared" si="69"/>
        <v>1</v>
      </c>
    </row>
    <row r="623" spans="1:23" x14ac:dyDescent="0.2">
      <c r="A623" s="6" t="s">
        <v>58</v>
      </c>
      <c r="B623" s="6">
        <v>1994</v>
      </c>
      <c r="C623" s="6"/>
      <c r="D623" s="6" t="s">
        <v>75</v>
      </c>
      <c r="E623" s="6" t="s">
        <v>2</v>
      </c>
      <c r="F623" s="6">
        <v>1</v>
      </c>
      <c r="G623" s="6">
        <v>2</v>
      </c>
      <c r="H623" s="6">
        <v>2</v>
      </c>
      <c r="I623" s="6"/>
      <c r="J623" s="6"/>
      <c r="K623" s="6"/>
      <c r="L623" s="6" t="str">
        <f t="shared" si="63"/>
        <v>Kanyildiz Muhammedmehdi</v>
      </c>
      <c r="M623" s="6" t="str">
        <f t="shared" si="64"/>
        <v>The Lion King (Disney)</v>
      </c>
      <c r="N623" s="9">
        <f t="shared" si="65"/>
        <v>2</v>
      </c>
      <c r="P623" t="str">
        <f t="shared" si="66"/>
        <v>"Kanyildiz Muhammedmehdi";"The Lion King";"2"</v>
      </c>
      <c r="U623" t="str">
        <f t="shared" si="67"/>
        <v>Kanyildiz Muhammedmehdi</v>
      </c>
      <c r="V623" t="str">
        <f t="shared" si="68"/>
        <v>The Lion King</v>
      </c>
      <c r="W623">
        <f t="shared" si="69"/>
        <v>1</v>
      </c>
    </row>
    <row r="624" spans="1:23" x14ac:dyDescent="0.2">
      <c r="A624" s="6" t="s">
        <v>59</v>
      </c>
      <c r="B624" s="6">
        <v>1999</v>
      </c>
      <c r="C624" s="6"/>
      <c r="D624" s="6" t="s">
        <v>75</v>
      </c>
      <c r="E624" s="6" t="s">
        <v>2</v>
      </c>
      <c r="F624" s="6">
        <v>1</v>
      </c>
      <c r="G624" s="6">
        <v>2</v>
      </c>
      <c r="H624" s="6">
        <v>2</v>
      </c>
      <c r="I624" s="6"/>
      <c r="J624" s="6"/>
      <c r="K624" s="6"/>
      <c r="L624" s="6" t="str">
        <f t="shared" si="63"/>
        <v>Kanyildiz Muhammedmehdi</v>
      </c>
      <c r="M624" s="6" t="str">
        <f t="shared" si="64"/>
        <v>The Matrix (Reeves, Fishburn)</v>
      </c>
      <c r="N624" s="9">
        <f t="shared" si="65"/>
        <v>2</v>
      </c>
      <c r="P624" t="str">
        <f t="shared" si="66"/>
        <v>"Kanyildiz Muhammedmehdi";"The Matrix";"2"</v>
      </c>
      <c r="U624" t="str">
        <f t="shared" si="67"/>
        <v>Kanyildiz Muhammedmehdi</v>
      </c>
      <c r="V624" t="str">
        <f t="shared" si="68"/>
        <v>The Matrix</v>
      </c>
      <c r="W624">
        <f t="shared" si="69"/>
        <v>1</v>
      </c>
    </row>
    <row r="625" spans="1:23" x14ac:dyDescent="0.2">
      <c r="A625" s="6" t="s">
        <v>60</v>
      </c>
      <c r="B625" s="6">
        <v>1980</v>
      </c>
      <c r="C625" s="6"/>
      <c r="D625" s="6" t="s">
        <v>75</v>
      </c>
      <c r="E625" s="6" t="s">
        <v>2</v>
      </c>
      <c r="F625" s="6">
        <v>1</v>
      </c>
      <c r="G625" s="6">
        <v>5</v>
      </c>
      <c r="H625" s="6">
        <v>5</v>
      </c>
      <c r="I625" s="6"/>
      <c r="J625" s="6"/>
      <c r="K625" s="6"/>
      <c r="L625" s="6" t="str">
        <f t="shared" si="63"/>
        <v>Kanyildiz Muhammedmehdi</v>
      </c>
      <c r="M625" s="6" t="str">
        <f t="shared" si="64"/>
        <v>The Shining (Nicholson, Duvall)</v>
      </c>
      <c r="N625" s="9">
        <f t="shared" si="65"/>
        <v>5</v>
      </c>
      <c r="P625" t="str">
        <f t="shared" si="66"/>
        <v>"Kanyildiz Muhammedmehdi";"The Shining";"5"</v>
      </c>
      <c r="U625" t="str">
        <f t="shared" si="67"/>
        <v>Kanyildiz Muhammedmehdi</v>
      </c>
      <c r="V625" t="str">
        <f t="shared" si="68"/>
        <v>The Shining</v>
      </c>
      <c r="W625">
        <f t="shared" si="69"/>
        <v>1</v>
      </c>
    </row>
    <row r="626" spans="1:23" x14ac:dyDescent="0.2">
      <c r="A626" s="6" t="s">
        <v>61</v>
      </c>
      <c r="B626" s="6">
        <v>1984</v>
      </c>
      <c r="C626" s="6"/>
      <c r="D626" s="6" t="s">
        <v>75</v>
      </c>
      <c r="E626" s="6" t="s">
        <v>2</v>
      </c>
      <c r="F626" s="6">
        <v>1</v>
      </c>
      <c r="G626" s="6">
        <v>3</v>
      </c>
      <c r="H626" s="6">
        <v>3</v>
      </c>
      <c r="I626" s="6"/>
      <c r="J626" s="6"/>
      <c r="K626" s="6"/>
      <c r="L626" s="6" t="str">
        <f t="shared" si="63"/>
        <v>Kanyildiz Muhammedmehdi</v>
      </c>
      <c r="M626" s="6" t="str">
        <f t="shared" si="64"/>
        <v>The Terminator (Schwarzenegger, Hamilton)</v>
      </c>
      <c r="N626" s="9">
        <f t="shared" si="65"/>
        <v>3</v>
      </c>
      <c r="P626" t="str">
        <f t="shared" si="66"/>
        <v>"Kanyildiz Muhammedmehdi";"The Terminator";"3"</v>
      </c>
      <c r="U626" t="str">
        <f t="shared" si="67"/>
        <v>Kanyildiz Muhammedmehdi</v>
      </c>
      <c r="V626" t="str">
        <f t="shared" si="68"/>
        <v>The Terminator</v>
      </c>
      <c r="W626">
        <f t="shared" si="69"/>
        <v>1</v>
      </c>
    </row>
    <row r="627" spans="1:23" x14ac:dyDescent="0.2">
      <c r="A627" s="6" t="s">
        <v>62</v>
      </c>
      <c r="B627" s="6">
        <v>1986</v>
      </c>
      <c r="C627" s="6"/>
      <c r="D627" s="6" t="s">
        <v>75</v>
      </c>
      <c r="E627" s="6" t="s">
        <v>2</v>
      </c>
      <c r="F627" s="6">
        <v>1</v>
      </c>
      <c r="G627" s="6">
        <v>3</v>
      </c>
      <c r="H627" s="6">
        <v>3</v>
      </c>
      <c r="I627" s="6"/>
      <c r="J627" s="6"/>
      <c r="K627" s="6"/>
      <c r="L627" s="6" t="str">
        <f t="shared" si="63"/>
        <v>Kanyildiz Muhammedmehdi</v>
      </c>
      <c r="M627" s="6" t="str">
        <f t="shared" si="64"/>
        <v>Top Gun (Cruise, McGillis)</v>
      </c>
      <c r="N627" s="9">
        <f t="shared" si="65"/>
        <v>3</v>
      </c>
      <c r="P627" t="str">
        <f t="shared" si="66"/>
        <v>"Kanyildiz Muhammedmehdi";"Top Gun";"3"</v>
      </c>
      <c r="U627" t="str">
        <f t="shared" si="67"/>
        <v>Kanyildiz Muhammedmehdi</v>
      </c>
      <c r="V627" t="str">
        <f t="shared" si="68"/>
        <v>Top Gun</v>
      </c>
      <c r="W627">
        <f t="shared" si="69"/>
        <v>1</v>
      </c>
    </row>
    <row r="628" spans="1:23" x14ac:dyDescent="0.2">
      <c r="A628" s="6" t="s">
        <v>63</v>
      </c>
      <c r="B628" s="6">
        <v>1995</v>
      </c>
      <c r="C628" s="6"/>
      <c r="D628" s="6" t="s">
        <v>75</v>
      </c>
      <c r="E628" s="6" t="s">
        <v>2</v>
      </c>
      <c r="F628" s="6">
        <v>1</v>
      </c>
      <c r="G628" s="6">
        <v>4</v>
      </c>
      <c r="H628" s="6">
        <v>4</v>
      </c>
      <c r="I628" s="6"/>
      <c r="J628" s="6"/>
      <c r="K628" s="6"/>
      <c r="L628" s="6" t="str">
        <f t="shared" si="63"/>
        <v>Kanyildiz Muhammedmehdi</v>
      </c>
      <c r="M628" s="6" t="str">
        <f t="shared" si="64"/>
        <v>Toy Story (Pixar)</v>
      </c>
      <c r="N628" s="9">
        <f t="shared" si="65"/>
        <v>4</v>
      </c>
      <c r="P628" t="str">
        <f t="shared" si="66"/>
        <v>"Kanyildiz Muhammedmehdi";"Toy Story";"4"</v>
      </c>
      <c r="U628" t="str">
        <f t="shared" si="67"/>
        <v>Kanyildiz Muhammedmehdi</v>
      </c>
      <c r="V628" t="str">
        <f t="shared" si="68"/>
        <v>Toy Story</v>
      </c>
      <c r="W628">
        <f t="shared" si="69"/>
        <v>1</v>
      </c>
    </row>
    <row r="629" spans="1:23" x14ac:dyDescent="0.2">
      <c r="A629" s="6" t="s">
        <v>8</v>
      </c>
      <c r="B629" s="6">
        <v>1968</v>
      </c>
      <c r="C629" s="6"/>
      <c r="D629" s="6" t="s">
        <v>76</v>
      </c>
      <c r="E629" s="6" t="s">
        <v>2</v>
      </c>
      <c r="F629" s="6">
        <v>1</v>
      </c>
      <c r="G629" s="6">
        <v>3</v>
      </c>
      <c r="H629" s="6">
        <v>3</v>
      </c>
      <c r="I629" s="6"/>
      <c r="J629" s="6"/>
      <c r="K629" s="6"/>
      <c r="L629" s="6" t="str">
        <f t="shared" si="63"/>
        <v>Carlos Rodriguez</v>
      </c>
      <c r="M629" s="6" t="str">
        <f t="shared" si="64"/>
        <v>2001: A Space Odyssey (Duella, Lockwood)</v>
      </c>
      <c r="N629" s="9">
        <f t="shared" si="65"/>
        <v>3</v>
      </c>
      <c r="P629" t="str">
        <f t="shared" si="66"/>
        <v>"Carlos Rodriguez";"2001: A Space Odyssey";"3"</v>
      </c>
      <c r="U629" t="str">
        <f t="shared" si="67"/>
        <v>Carlos Rodriguez</v>
      </c>
      <c r="V629" t="str">
        <f t="shared" si="68"/>
        <v>2001: A Space Odyssey</v>
      </c>
      <c r="W629">
        <f t="shared" si="69"/>
        <v>1</v>
      </c>
    </row>
    <row r="630" spans="1:23" x14ac:dyDescent="0.2">
      <c r="A630" s="6" t="s">
        <v>9</v>
      </c>
      <c r="B630" s="6">
        <v>1971</v>
      </c>
      <c r="C630" s="6"/>
      <c r="D630" s="6" t="s">
        <v>76</v>
      </c>
      <c r="E630" s="6" t="s">
        <v>2</v>
      </c>
      <c r="F630" s="6">
        <v>1</v>
      </c>
      <c r="G630" s="6">
        <v>4</v>
      </c>
      <c r="H630" s="6">
        <v>4</v>
      </c>
      <c r="I630" s="6"/>
      <c r="J630" s="6"/>
      <c r="K630" s="6"/>
      <c r="L630" s="6" t="str">
        <f t="shared" si="63"/>
        <v>Carlos Rodriguez</v>
      </c>
      <c r="M630" s="6" t="str">
        <f t="shared" si="64"/>
        <v>A Clockwork Orange (McDowell, Magee)</v>
      </c>
      <c r="N630" s="9">
        <f t="shared" si="65"/>
        <v>4</v>
      </c>
      <c r="P630" t="str">
        <f t="shared" si="66"/>
        <v>"Carlos Rodriguez";"A Clockwork Orange";"4"</v>
      </c>
      <c r="U630" t="str">
        <f t="shared" si="67"/>
        <v>Carlos Rodriguez</v>
      </c>
      <c r="V630" t="str">
        <f t="shared" si="68"/>
        <v>A Clockwork Orange</v>
      </c>
      <c r="W630">
        <f t="shared" si="69"/>
        <v>1</v>
      </c>
    </row>
    <row r="631" spans="1:23" x14ac:dyDescent="0.2">
      <c r="A631" s="6" t="s">
        <v>10</v>
      </c>
      <c r="B631" s="6">
        <v>2018</v>
      </c>
      <c r="C631" s="6"/>
      <c r="D631" s="6" t="s">
        <v>76</v>
      </c>
      <c r="E631" s="6" t="s">
        <v>3</v>
      </c>
      <c r="F631" s="6">
        <v>0</v>
      </c>
      <c r="G631" s="6"/>
      <c r="H631" s="6">
        <v>0</v>
      </c>
      <c r="I631" s="6"/>
      <c r="J631" s="6"/>
      <c r="K631" s="6"/>
      <c r="L631" s="6" t="str">
        <f t="shared" si="63"/>
        <v>Carlos Rodriguez</v>
      </c>
      <c r="M631" s="6" t="str">
        <f t="shared" si="64"/>
        <v>A star is born (Gaga, Cooper)</v>
      </c>
      <c r="N631" s="9">
        <f t="shared" si="65"/>
        <v>0</v>
      </c>
      <c r="P631" t="str">
        <f t="shared" si="66"/>
        <v>"Carlos Rodriguez";"A star is born";"0"</v>
      </c>
      <c r="U631" t="str">
        <f t="shared" si="67"/>
        <v>Carlos Rodriguez</v>
      </c>
      <c r="V631" t="str">
        <f t="shared" si="68"/>
        <v>A star is born</v>
      </c>
      <c r="W631">
        <f t="shared" si="69"/>
        <v>0</v>
      </c>
    </row>
    <row r="632" spans="1:23" x14ac:dyDescent="0.2">
      <c r="A632" s="6" t="s">
        <v>11</v>
      </c>
      <c r="B632" s="6">
        <v>2005</v>
      </c>
      <c r="C632" s="6"/>
      <c r="D632" s="6" t="s">
        <v>76</v>
      </c>
      <c r="E632" s="6" t="s">
        <v>2</v>
      </c>
      <c r="F632" s="6">
        <v>1</v>
      </c>
      <c r="G632" s="6">
        <v>3</v>
      </c>
      <c r="H632" s="6">
        <v>3</v>
      </c>
      <c r="I632" s="6"/>
      <c r="J632" s="6"/>
      <c r="K632" s="6"/>
      <c r="L632" s="6" t="str">
        <f t="shared" si="63"/>
        <v>Carlos Rodriguez</v>
      </c>
      <c r="M632" s="6" t="str">
        <f t="shared" si="64"/>
        <v>Aeon Flux (Theron, Csokas)</v>
      </c>
      <c r="N632" s="9">
        <f t="shared" si="65"/>
        <v>3</v>
      </c>
      <c r="P632" t="str">
        <f t="shared" si="66"/>
        <v>"Carlos Rodriguez";"Aeon Flux";"3"</v>
      </c>
      <c r="U632" t="str">
        <f t="shared" si="67"/>
        <v>Carlos Rodriguez</v>
      </c>
      <c r="V632" t="str">
        <f t="shared" si="68"/>
        <v>Aeon Flux</v>
      </c>
      <c r="W632">
        <f t="shared" si="69"/>
        <v>1</v>
      </c>
    </row>
    <row r="633" spans="1:23" x14ac:dyDescent="0.2">
      <c r="A633" s="6" t="s">
        <v>12</v>
      </c>
      <c r="B633" s="6">
        <v>1951</v>
      </c>
      <c r="C633" s="6"/>
      <c r="D633" s="6" t="s">
        <v>76</v>
      </c>
      <c r="E633" s="6" t="s">
        <v>3</v>
      </c>
      <c r="F633" s="6">
        <v>0</v>
      </c>
      <c r="G633" s="6"/>
      <c r="H633" s="6">
        <v>0</v>
      </c>
      <c r="I633" s="6"/>
      <c r="J633" s="6"/>
      <c r="K633" s="6"/>
      <c r="L633" s="6" t="str">
        <f t="shared" si="63"/>
        <v>Carlos Rodriguez</v>
      </c>
      <c r="M633" s="6" t="str">
        <f t="shared" si="64"/>
        <v>African Queen (Bogart, Hepburn)</v>
      </c>
      <c r="N633" s="9">
        <f t="shared" si="65"/>
        <v>0</v>
      </c>
      <c r="P633" t="str">
        <f t="shared" si="66"/>
        <v>"Carlos Rodriguez";"African Queen";"0"</v>
      </c>
      <c r="U633" t="str">
        <f t="shared" si="67"/>
        <v>Carlos Rodriguez</v>
      </c>
      <c r="V633" t="str">
        <f t="shared" si="68"/>
        <v>African Queen</v>
      </c>
      <c r="W633">
        <f t="shared" si="69"/>
        <v>0</v>
      </c>
    </row>
    <row r="634" spans="1:23" x14ac:dyDescent="0.2">
      <c r="A634" s="6" t="s">
        <v>13</v>
      </c>
      <c r="B634" s="6">
        <v>1979</v>
      </c>
      <c r="C634" s="6"/>
      <c r="D634" s="6" t="s">
        <v>76</v>
      </c>
      <c r="E634" s="6" t="s">
        <v>2</v>
      </c>
      <c r="F634" s="6">
        <v>1</v>
      </c>
      <c r="G634" s="6">
        <v>3</v>
      </c>
      <c r="H634" s="6">
        <v>3</v>
      </c>
      <c r="I634" s="6"/>
      <c r="J634" s="6"/>
      <c r="K634" s="6"/>
      <c r="L634" s="6" t="str">
        <f t="shared" si="63"/>
        <v>Carlos Rodriguez</v>
      </c>
      <c r="M634" s="6" t="str">
        <f t="shared" si="64"/>
        <v>Alien (Weaver, Skerritt)</v>
      </c>
      <c r="N634" s="9">
        <f t="shared" si="65"/>
        <v>3</v>
      </c>
      <c r="P634" t="str">
        <f t="shared" si="66"/>
        <v>"Carlos Rodriguez";"Alien";"3"</v>
      </c>
      <c r="U634" t="str">
        <f t="shared" si="67"/>
        <v>Carlos Rodriguez</v>
      </c>
      <c r="V634" t="str">
        <f t="shared" si="68"/>
        <v>Alien</v>
      </c>
      <c r="W634">
        <f t="shared" si="69"/>
        <v>1</v>
      </c>
    </row>
    <row r="635" spans="1:23" x14ac:dyDescent="0.2">
      <c r="A635" s="6" t="s">
        <v>14</v>
      </c>
      <c r="B635" s="6">
        <v>1960</v>
      </c>
      <c r="C635" s="6"/>
      <c r="D635" s="6" t="s">
        <v>76</v>
      </c>
      <c r="E635" s="6" t="s">
        <v>3</v>
      </c>
      <c r="F635" s="6">
        <v>0</v>
      </c>
      <c r="G635" s="6"/>
      <c r="H635" s="6">
        <v>0</v>
      </c>
      <c r="I635" s="6"/>
      <c r="J635" s="6"/>
      <c r="K635" s="6"/>
      <c r="L635" s="6" t="str">
        <f t="shared" si="63"/>
        <v>Carlos Rodriguez</v>
      </c>
      <c r="M635" s="6" t="str">
        <f t="shared" si="64"/>
        <v>Apartment (Lemmon, MacLaine)</v>
      </c>
      <c r="N635" s="9">
        <f t="shared" si="65"/>
        <v>0</v>
      </c>
      <c r="P635" t="str">
        <f t="shared" si="66"/>
        <v>"Carlos Rodriguez";"Apartment";"0"</v>
      </c>
      <c r="U635" t="str">
        <f t="shared" si="67"/>
        <v>Carlos Rodriguez</v>
      </c>
      <c r="V635" t="str">
        <f t="shared" si="68"/>
        <v>Apartment</v>
      </c>
      <c r="W635">
        <f t="shared" si="69"/>
        <v>0</v>
      </c>
    </row>
    <row r="636" spans="1:23" x14ac:dyDescent="0.2">
      <c r="A636" s="6" t="s">
        <v>15</v>
      </c>
      <c r="B636" s="6">
        <v>1979</v>
      </c>
      <c r="C636" s="6"/>
      <c r="D636" s="6" t="s">
        <v>76</v>
      </c>
      <c r="E636" s="6" t="s">
        <v>2</v>
      </c>
      <c r="F636" s="6">
        <v>1</v>
      </c>
      <c r="G636" s="6">
        <v>4</v>
      </c>
      <c r="H636" s="6">
        <v>4</v>
      </c>
      <c r="I636" s="6"/>
      <c r="J636" s="6"/>
      <c r="K636" s="6"/>
      <c r="L636" s="6" t="str">
        <f t="shared" si="63"/>
        <v>Carlos Rodriguez</v>
      </c>
      <c r="M636" s="6" t="str">
        <f t="shared" si="64"/>
        <v>Apocalypse Now (Sheen, Brando)</v>
      </c>
      <c r="N636" s="9">
        <f t="shared" si="65"/>
        <v>4</v>
      </c>
      <c r="P636" t="str">
        <f t="shared" si="66"/>
        <v>"Carlos Rodriguez";"Apocalypse Now";"4"</v>
      </c>
      <c r="U636" t="str">
        <f t="shared" si="67"/>
        <v>Carlos Rodriguez</v>
      </c>
      <c r="V636" t="str">
        <f t="shared" si="68"/>
        <v>Apocalypse Now</v>
      </c>
      <c r="W636">
        <f t="shared" si="69"/>
        <v>1</v>
      </c>
    </row>
    <row r="637" spans="1:23" x14ac:dyDescent="0.2">
      <c r="A637" s="6" t="s">
        <v>16</v>
      </c>
      <c r="B637" s="6">
        <v>1956</v>
      </c>
      <c r="C637" s="6"/>
      <c r="D637" s="6" t="s">
        <v>76</v>
      </c>
      <c r="E637" s="6" t="s">
        <v>2</v>
      </c>
      <c r="F637" s="6">
        <v>1</v>
      </c>
      <c r="G637" s="6">
        <v>5</v>
      </c>
      <c r="H637" s="6">
        <v>5</v>
      </c>
      <c r="I637" s="6"/>
      <c r="J637" s="6"/>
      <c r="K637" s="6"/>
      <c r="L637" s="6" t="str">
        <f t="shared" si="63"/>
        <v>Carlos Rodriguez</v>
      </c>
      <c r="M637" s="6" t="str">
        <f t="shared" si="64"/>
        <v>Around The World In 80 Days (Niven, Cantinflas)</v>
      </c>
      <c r="N637" s="9">
        <f t="shared" si="65"/>
        <v>5</v>
      </c>
      <c r="P637" t="str">
        <f t="shared" si="66"/>
        <v>"Carlos Rodriguez";"Around The World In 80 Days";"5"</v>
      </c>
      <c r="U637" t="str">
        <f t="shared" si="67"/>
        <v>Carlos Rodriguez</v>
      </c>
      <c r="V637" t="str">
        <f t="shared" si="68"/>
        <v>Around The World In 80 Days</v>
      </c>
      <c r="W637">
        <f t="shared" si="69"/>
        <v>1</v>
      </c>
    </row>
    <row r="638" spans="1:23" x14ac:dyDescent="0.2">
      <c r="A638" s="6" t="s">
        <v>17</v>
      </c>
      <c r="B638" s="6">
        <v>2009</v>
      </c>
      <c r="C638" s="6"/>
      <c r="D638" s="6" t="s">
        <v>76</v>
      </c>
      <c r="E638" s="6" t="s">
        <v>2</v>
      </c>
      <c r="F638" s="6">
        <v>1</v>
      </c>
      <c r="G638" s="6">
        <v>5</v>
      </c>
      <c r="H638" s="6">
        <v>5</v>
      </c>
      <c r="I638" s="6"/>
      <c r="J638" s="6"/>
      <c r="K638" s="6"/>
      <c r="L638" s="6" t="str">
        <f t="shared" si="63"/>
        <v>Carlos Rodriguez</v>
      </c>
      <c r="M638" s="6" t="str">
        <f t="shared" si="64"/>
        <v>Avatar (Worthington, Saldana)</v>
      </c>
      <c r="N638" s="9">
        <f t="shared" si="65"/>
        <v>5</v>
      </c>
      <c r="P638" t="str">
        <f t="shared" si="66"/>
        <v>"Carlos Rodriguez";"Avatar";"5"</v>
      </c>
      <c r="U638" t="str">
        <f t="shared" si="67"/>
        <v>Carlos Rodriguez</v>
      </c>
      <c r="V638" t="str">
        <f t="shared" si="68"/>
        <v>Avatar</v>
      </c>
      <c r="W638">
        <f t="shared" si="69"/>
        <v>1</v>
      </c>
    </row>
    <row r="639" spans="1:23" x14ac:dyDescent="0.2">
      <c r="A639" s="6" t="s">
        <v>18</v>
      </c>
      <c r="B639" s="6">
        <v>1989</v>
      </c>
      <c r="C639" s="6"/>
      <c r="D639" s="6" t="s">
        <v>76</v>
      </c>
      <c r="E639" s="6" t="s">
        <v>2</v>
      </c>
      <c r="F639" s="6">
        <v>1</v>
      </c>
      <c r="G639" s="6">
        <v>5</v>
      </c>
      <c r="H639" s="6">
        <v>5</v>
      </c>
      <c r="I639" s="6"/>
      <c r="J639" s="6"/>
      <c r="K639" s="6"/>
      <c r="L639" s="6" t="str">
        <f t="shared" si="63"/>
        <v>Carlos Rodriguez</v>
      </c>
      <c r="M639" s="6" t="str">
        <f t="shared" si="64"/>
        <v>Batman (Keaton, Nicholson, Basinger)</v>
      </c>
      <c r="N639" s="9">
        <f t="shared" si="65"/>
        <v>5</v>
      </c>
      <c r="P639" t="str">
        <f t="shared" si="66"/>
        <v>"Carlos Rodriguez";"Batman";"5"</v>
      </c>
      <c r="U639" t="str">
        <f t="shared" si="67"/>
        <v>Carlos Rodriguez</v>
      </c>
      <c r="V639" t="str">
        <f t="shared" si="68"/>
        <v>Batman</v>
      </c>
      <c r="W639">
        <f t="shared" si="69"/>
        <v>1</v>
      </c>
    </row>
    <row r="640" spans="1:23" x14ac:dyDescent="0.2">
      <c r="A640" s="6" t="s">
        <v>19</v>
      </c>
      <c r="B640" s="6">
        <v>1982</v>
      </c>
      <c r="C640" s="6"/>
      <c r="D640" s="6" t="s">
        <v>76</v>
      </c>
      <c r="E640" s="6" t="s">
        <v>2</v>
      </c>
      <c r="F640" s="6">
        <v>1</v>
      </c>
      <c r="G640" s="6">
        <v>3</v>
      </c>
      <c r="H640" s="6">
        <v>3</v>
      </c>
      <c r="I640" s="6"/>
      <c r="J640" s="6"/>
      <c r="K640" s="6"/>
      <c r="L640" s="6" t="str">
        <f t="shared" si="63"/>
        <v>Carlos Rodriguez</v>
      </c>
      <c r="M640" s="6" t="str">
        <f t="shared" si="64"/>
        <v>Blade Runner (Ford, Hauer)</v>
      </c>
      <c r="N640" s="9">
        <f t="shared" si="65"/>
        <v>3</v>
      </c>
      <c r="P640" t="str">
        <f t="shared" si="66"/>
        <v>"Carlos Rodriguez";"Blade Runner";"3"</v>
      </c>
      <c r="U640" t="str">
        <f t="shared" si="67"/>
        <v>Carlos Rodriguez</v>
      </c>
      <c r="V640" t="str">
        <f t="shared" si="68"/>
        <v>Blade Runner</v>
      </c>
      <c r="W640">
        <f t="shared" si="69"/>
        <v>1</v>
      </c>
    </row>
    <row r="641" spans="1:23" x14ac:dyDescent="0.2">
      <c r="A641" s="6" t="s">
        <v>20</v>
      </c>
      <c r="B641" s="6">
        <v>2018</v>
      </c>
      <c r="C641" s="6"/>
      <c r="D641" s="6" t="s">
        <v>76</v>
      </c>
      <c r="E641" s="6" t="s">
        <v>2</v>
      </c>
      <c r="F641" s="6">
        <v>1</v>
      </c>
      <c r="G641" s="6">
        <v>3</v>
      </c>
      <c r="H641" s="6">
        <v>3</v>
      </c>
      <c r="I641" s="6"/>
      <c r="J641" s="6"/>
      <c r="K641" s="6"/>
      <c r="L641" s="6" t="str">
        <f t="shared" si="63"/>
        <v>Carlos Rodriguez</v>
      </c>
      <c r="M641" s="6" t="str">
        <f t="shared" si="64"/>
        <v>Bohemian Rhapsody (Malek, Boynton)</v>
      </c>
      <c r="N641" s="9">
        <f t="shared" si="65"/>
        <v>3</v>
      </c>
      <c r="P641" t="str">
        <f t="shared" si="66"/>
        <v>"Carlos Rodriguez";"Bohemian Rhapsody";"3"</v>
      </c>
      <c r="U641" t="str">
        <f t="shared" si="67"/>
        <v>Carlos Rodriguez</v>
      </c>
      <c r="V641" t="str">
        <f t="shared" si="68"/>
        <v>Bohemian Rhapsody</v>
      </c>
      <c r="W641">
        <f t="shared" si="69"/>
        <v>1</v>
      </c>
    </row>
    <row r="642" spans="1:23" x14ac:dyDescent="0.2">
      <c r="A642" s="6" t="s">
        <v>21</v>
      </c>
      <c r="B642" s="6">
        <v>2011</v>
      </c>
      <c r="C642" s="6"/>
      <c r="D642" s="6" t="s">
        <v>76</v>
      </c>
      <c r="E642" s="6" t="s">
        <v>2</v>
      </c>
      <c r="F642" s="6">
        <v>1</v>
      </c>
      <c r="G642" s="6">
        <v>1</v>
      </c>
      <c r="H642" s="6">
        <v>1</v>
      </c>
      <c r="I642" s="6"/>
      <c r="J642" s="6"/>
      <c r="K642" s="6"/>
      <c r="L642" s="6" t="str">
        <f t="shared" si="63"/>
        <v>Carlos Rodriguez</v>
      </c>
      <c r="M642" s="6" t="str">
        <f t="shared" si="64"/>
        <v>Captain America (Evans, Waeving)</v>
      </c>
      <c r="N642" s="9">
        <f t="shared" si="65"/>
        <v>1</v>
      </c>
      <c r="P642" t="str">
        <f t="shared" si="66"/>
        <v>"Carlos Rodriguez";"Captain America";"1"</v>
      </c>
      <c r="U642" t="str">
        <f t="shared" si="67"/>
        <v>Carlos Rodriguez</v>
      </c>
      <c r="V642" t="str">
        <f t="shared" si="68"/>
        <v>Captain America</v>
      </c>
      <c r="W642">
        <f t="shared" si="69"/>
        <v>1</v>
      </c>
    </row>
    <row r="643" spans="1:23" x14ac:dyDescent="0.2">
      <c r="A643" s="6" t="s">
        <v>22</v>
      </c>
      <c r="B643" s="6">
        <v>2000</v>
      </c>
      <c r="C643" s="6"/>
      <c r="D643" s="6" t="s">
        <v>76</v>
      </c>
      <c r="E643" s="6" t="s">
        <v>2</v>
      </c>
      <c r="F643" s="6">
        <v>1</v>
      </c>
      <c r="G643" s="6">
        <v>4</v>
      </c>
      <c r="H643" s="6">
        <v>4</v>
      </c>
      <c r="I643" s="6"/>
      <c r="J643" s="6"/>
      <c r="K643" s="6"/>
      <c r="L643" s="6" t="str">
        <f t="shared" ref="L643:L706" si="70">D643</f>
        <v>Carlos Rodriguez</v>
      </c>
      <c r="M643" s="6" t="str">
        <f t="shared" ref="M643:M706" si="71">A643</f>
        <v>Cast Away (Hanks, Hunt)</v>
      </c>
      <c r="N643" s="9">
        <f t="shared" ref="N643:N706" si="72">H643</f>
        <v>4</v>
      </c>
      <c r="P643" t="str">
        <f t="shared" ref="P643:P706" si="73">""""&amp;L643&amp;""";"""&amp;LEFT(M643,FIND("(",M643)-2)&amp;""";"""&amp;SUBSTITUTE(N643,",",".")&amp;""""</f>
        <v>"Carlos Rodriguez";"Cast Away";"4"</v>
      </c>
      <c r="U643" t="str">
        <f t="shared" ref="U643:U706" si="74">D643</f>
        <v>Carlos Rodriguez</v>
      </c>
      <c r="V643" t="str">
        <f t="shared" ref="V643:V706" si="75">LEFT(A643,FIND("(",A643)-2)</f>
        <v>Cast Away</v>
      </c>
      <c r="W643">
        <f t="shared" ref="W643:W706" si="76">F643</f>
        <v>1</v>
      </c>
    </row>
    <row r="644" spans="1:23" x14ac:dyDescent="0.2">
      <c r="A644" s="6" t="s">
        <v>23</v>
      </c>
      <c r="B644" s="6">
        <v>1958</v>
      </c>
      <c r="C644" s="6"/>
      <c r="D644" s="6" t="s">
        <v>76</v>
      </c>
      <c r="E644" s="6" t="s">
        <v>3</v>
      </c>
      <c r="F644" s="6">
        <v>0</v>
      </c>
      <c r="G644" s="6"/>
      <c r="H644" s="6">
        <v>0</v>
      </c>
      <c r="I644" s="6"/>
      <c r="J644" s="6"/>
      <c r="K644" s="6"/>
      <c r="L644" s="6" t="str">
        <f t="shared" si="70"/>
        <v>Carlos Rodriguez</v>
      </c>
      <c r="M644" s="6" t="str">
        <f t="shared" si="71"/>
        <v>Cat On Hot Tin Roof (Taylor, Newman)</v>
      </c>
      <c r="N644" s="9">
        <f t="shared" si="72"/>
        <v>0</v>
      </c>
      <c r="P644" t="str">
        <f t="shared" si="73"/>
        <v>"Carlos Rodriguez";"Cat On Hot Tin Roof";"0"</v>
      </c>
      <c r="U644" t="str">
        <f t="shared" si="74"/>
        <v>Carlos Rodriguez</v>
      </c>
      <c r="V644" t="str">
        <f t="shared" si="75"/>
        <v>Cat On Hot Tin Roof</v>
      </c>
      <c r="W644">
        <f t="shared" si="76"/>
        <v>0</v>
      </c>
    </row>
    <row r="645" spans="1:23" x14ac:dyDescent="0.2">
      <c r="A645" s="6" t="s">
        <v>24</v>
      </c>
      <c r="B645" s="6">
        <v>1963</v>
      </c>
      <c r="C645" s="6"/>
      <c r="D645" s="6" t="s">
        <v>76</v>
      </c>
      <c r="E645" s="6" t="s">
        <v>3</v>
      </c>
      <c r="F645" s="6">
        <v>0</v>
      </c>
      <c r="G645" s="6"/>
      <c r="H645" s="6">
        <v>0</v>
      </c>
      <c r="I645" s="6"/>
      <c r="J645" s="6"/>
      <c r="K645" s="6"/>
      <c r="L645" s="6" t="str">
        <f t="shared" si="70"/>
        <v>Carlos Rodriguez</v>
      </c>
      <c r="M645" s="6" t="str">
        <f t="shared" si="71"/>
        <v>Charade (Grant, Hepburn)</v>
      </c>
      <c r="N645" s="9">
        <f t="shared" si="72"/>
        <v>0</v>
      </c>
      <c r="P645" t="str">
        <f t="shared" si="73"/>
        <v>"Carlos Rodriguez";"Charade";"0"</v>
      </c>
      <c r="U645" t="str">
        <f t="shared" si="74"/>
        <v>Carlos Rodriguez</v>
      </c>
      <c r="V645" t="str">
        <f t="shared" si="75"/>
        <v>Charade</v>
      </c>
      <c r="W645">
        <f t="shared" si="76"/>
        <v>0</v>
      </c>
    </row>
    <row r="646" spans="1:23" x14ac:dyDescent="0.2">
      <c r="A646" s="6" t="s">
        <v>25</v>
      </c>
      <c r="B646" s="6">
        <v>2000</v>
      </c>
      <c r="C646" s="6"/>
      <c r="D646" s="6" t="s">
        <v>76</v>
      </c>
      <c r="E646" s="6" t="s">
        <v>2</v>
      </c>
      <c r="F646" s="6">
        <v>1</v>
      </c>
      <c r="G646" s="6">
        <v>3</v>
      </c>
      <c r="H646" s="6">
        <v>3</v>
      </c>
      <c r="I646" s="6"/>
      <c r="J646" s="6"/>
      <c r="K646" s="6"/>
      <c r="L646" s="6" t="str">
        <f t="shared" si="70"/>
        <v>Carlos Rodriguez</v>
      </c>
      <c r="M646" s="6" t="str">
        <f t="shared" si="71"/>
        <v>Charlies Angels (Diaz, Barrymore, Liu)</v>
      </c>
      <c r="N646" s="9">
        <f t="shared" si="72"/>
        <v>3</v>
      </c>
      <c r="P646" t="str">
        <f t="shared" si="73"/>
        <v>"Carlos Rodriguez";"Charlies Angels";"3"</v>
      </c>
      <c r="U646" t="str">
        <f t="shared" si="74"/>
        <v>Carlos Rodriguez</v>
      </c>
      <c r="V646" t="str">
        <f t="shared" si="75"/>
        <v>Charlies Angels</v>
      </c>
      <c r="W646">
        <f t="shared" si="76"/>
        <v>1</v>
      </c>
    </row>
    <row r="647" spans="1:23" x14ac:dyDescent="0.2">
      <c r="A647" s="6" t="s">
        <v>26</v>
      </c>
      <c r="B647" s="6">
        <v>1974</v>
      </c>
      <c r="C647" s="6"/>
      <c r="D647" s="6" t="s">
        <v>76</v>
      </c>
      <c r="E647" s="6" t="s">
        <v>3</v>
      </c>
      <c r="F647" s="6">
        <v>0</v>
      </c>
      <c r="G647" s="6"/>
      <c r="H647" s="6">
        <v>0</v>
      </c>
      <c r="I647" s="6"/>
      <c r="J647" s="6"/>
      <c r="K647" s="6"/>
      <c r="L647" s="6" t="str">
        <f t="shared" si="70"/>
        <v>Carlos Rodriguez</v>
      </c>
      <c r="M647" s="6" t="str">
        <f t="shared" si="71"/>
        <v>Chinatown (Nicholson, Dunaway)</v>
      </c>
      <c r="N647" s="9">
        <f t="shared" si="72"/>
        <v>0</v>
      </c>
      <c r="P647" t="str">
        <f t="shared" si="73"/>
        <v>"Carlos Rodriguez";"Chinatown";"0"</v>
      </c>
      <c r="U647" t="str">
        <f t="shared" si="74"/>
        <v>Carlos Rodriguez</v>
      </c>
      <c r="V647" t="str">
        <f t="shared" si="75"/>
        <v>Chinatown</v>
      </c>
      <c r="W647">
        <f t="shared" si="76"/>
        <v>0</v>
      </c>
    </row>
    <row r="648" spans="1:23" x14ac:dyDescent="0.2">
      <c r="A648" s="6" t="s">
        <v>27</v>
      </c>
      <c r="B648" s="6">
        <v>1986</v>
      </c>
      <c r="C648" s="6"/>
      <c r="D648" s="6" t="s">
        <v>76</v>
      </c>
      <c r="E648" s="6" t="s">
        <v>2</v>
      </c>
      <c r="F648" s="6">
        <v>1</v>
      </c>
      <c r="G648" s="6">
        <v>4</v>
      </c>
      <c r="H648" s="6">
        <v>4</v>
      </c>
      <c r="I648" s="6"/>
      <c r="J648" s="6"/>
      <c r="K648" s="6"/>
      <c r="L648" s="6" t="str">
        <f t="shared" si="70"/>
        <v>Carlos Rodriguez</v>
      </c>
      <c r="M648" s="6" t="str">
        <f t="shared" si="71"/>
        <v>Clockwise (Gleese, Leatherbarrow)</v>
      </c>
      <c r="N648" s="9">
        <f t="shared" si="72"/>
        <v>4</v>
      </c>
      <c r="P648" t="str">
        <f t="shared" si="73"/>
        <v>"Carlos Rodriguez";"Clockwise";"4"</v>
      </c>
      <c r="U648" t="str">
        <f t="shared" si="74"/>
        <v>Carlos Rodriguez</v>
      </c>
      <c r="V648" t="str">
        <f t="shared" si="75"/>
        <v>Clockwise</v>
      </c>
      <c r="W648">
        <f t="shared" si="76"/>
        <v>1</v>
      </c>
    </row>
    <row r="649" spans="1:23" x14ac:dyDescent="0.2">
      <c r="A649" s="6" t="s">
        <v>28</v>
      </c>
      <c r="B649" s="6">
        <v>2011</v>
      </c>
      <c r="C649" s="6"/>
      <c r="D649" s="6" t="s">
        <v>76</v>
      </c>
      <c r="E649" s="6" t="s">
        <v>2</v>
      </c>
      <c r="F649" s="6">
        <v>1</v>
      </c>
      <c r="G649" s="6">
        <v>3</v>
      </c>
      <c r="H649" s="6">
        <v>3</v>
      </c>
      <c r="I649" s="6"/>
      <c r="J649" s="6"/>
      <c r="K649" s="6"/>
      <c r="L649" s="6" t="str">
        <f t="shared" si="70"/>
        <v>Carlos Rodriguez</v>
      </c>
      <c r="M649" s="6" t="str">
        <f t="shared" si="71"/>
        <v>Colombiana (Saldana, Molla)</v>
      </c>
      <c r="N649" s="9">
        <f t="shared" si="72"/>
        <v>3</v>
      </c>
      <c r="P649" t="str">
        <f t="shared" si="73"/>
        <v>"Carlos Rodriguez";"Colombiana";"3"</v>
      </c>
      <c r="U649" t="str">
        <f t="shared" si="74"/>
        <v>Carlos Rodriguez</v>
      </c>
      <c r="V649" t="str">
        <f t="shared" si="75"/>
        <v>Colombiana</v>
      </c>
      <c r="W649">
        <f t="shared" si="76"/>
        <v>1</v>
      </c>
    </row>
    <row r="650" spans="1:23" x14ac:dyDescent="0.2">
      <c r="A650" s="6" t="s">
        <v>29</v>
      </c>
      <c r="B650" s="6">
        <v>1962</v>
      </c>
      <c r="C650" s="6"/>
      <c r="D650" s="6" t="s">
        <v>76</v>
      </c>
      <c r="E650" s="6" t="s">
        <v>2</v>
      </c>
      <c r="F650" s="6">
        <v>1</v>
      </c>
      <c r="G650" s="6">
        <v>2</v>
      </c>
      <c r="H650" s="6">
        <v>2</v>
      </c>
      <c r="I650" s="6"/>
      <c r="J650" s="6"/>
      <c r="K650" s="6"/>
      <c r="L650" s="6" t="str">
        <f t="shared" si="70"/>
        <v>Carlos Rodriguez</v>
      </c>
      <c r="M650" s="6" t="str">
        <f t="shared" si="71"/>
        <v>Doctor No (Connery, Andress)</v>
      </c>
      <c r="N650" s="9">
        <f t="shared" si="72"/>
        <v>2</v>
      </c>
      <c r="P650" t="str">
        <f t="shared" si="73"/>
        <v>"Carlos Rodriguez";"Doctor No";"2"</v>
      </c>
      <c r="U650" t="str">
        <f t="shared" si="74"/>
        <v>Carlos Rodriguez</v>
      </c>
      <c r="V650" t="str">
        <f t="shared" si="75"/>
        <v>Doctor No</v>
      </c>
      <c r="W650">
        <f t="shared" si="76"/>
        <v>1</v>
      </c>
    </row>
    <row r="651" spans="1:23" x14ac:dyDescent="0.2">
      <c r="A651" s="6" t="s">
        <v>30</v>
      </c>
      <c r="B651" s="6">
        <v>1965</v>
      </c>
      <c r="C651" s="6"/>
      <c r="D651" s="6" t="s">
        <v>76</v>
      </c>
      <c r="E651" s="6" t="s">
        <v>3</v>
      </c>
      <c r="F651" s="6">
        <v>0</v>
      </c>
      <c r="G651" s="6"/>
      <c r="H651" s="6">
        <v>0</v>
      </c>
      <c r="I651" s="6"/>
      <c r="J651" s="6"/>
      <c r="K651" s="6"/>
      <c r="L651" s="6" t="str">
        <f t="shared" si="70"/>
        <v>Carlos Rodriguez</v>
      </c>
      <c r="M651" s="6" t="str">
        <f t="shared" si="71"/>
        <v>Doctor Zhiwago (Sharif, Christie)</v>
      </c>
      <c r="N651" s="9">
        <f t="shared" si="72"/>
        <v>0</v>
      </c>
      <c r="P651" t="str">
        <f t="shared" si="73"/>
        <v>"Carlos Rodriguez";"Doctor Zhiwago";"0"</v>
      </c>
      <c r="U651" t="str">
        <f t="shared" si="74"/>
        <v>Carlos Rodriguez</v>
      </c>
      <c r="V651" t="str">
        <f t="shared" si="75"/>
        <v>Doctor Zhiwago</v>
      </c>
      <c r="W651">
        <f t="shared" si="76"/>
        <v>0</v>
      </c>
    </row>
    <row r="652" spans="1:23" x14ac:dyDescent="0.2">
      <c r="A652" s="6" t="s">
        <v>31</v>
      </c>
      <c r="B652" s="6">
        <v>1964</v>
      </c>
      <c r="C652" s="6"/>
      <c r="D652" s="6" t="s">
        <v>76</v>
      </c>
      <c r="E652" s="6" t="s">
        <v>3</v>
      </c>
      <c r="F652" s="6">
        <v>0</v>
      </c>
      <c r="G652" s="6"/>
      <c r="H652" s="6">
        <v>0</v>
      </c>
      <c r="I652" s="6"/>
      <c r="J652" s="6"/>
      <c r="K652" s="6"/>
      <c r="L652" s="6" t="str">
        <f t="shared" si="70"/>
        <v>Carlos Rodriguez</v>
      </c>
      <c r="M652" s="6" t="str">
        <f t="shared" si="71"/>
        <v>Dr. Strangelove… (Sellers, Scott)</v>
      </c>
      <c r="N652" s="9">
        <f t="shared" si="72"/>
        <v>0</v>
      </c>
      <c r="P652" t="str">
        <f t="shared" si="73"/>
        <v>"Carlos Rodriguez";"Dr. Strangelove…";"0"</v>
      </c>
      <c r="U652" t="str">
        <f t="shared" si="74"/>
        <v>Carlos Rodriguez</v>
      </c>
      <c r="V652" t="str">
        <f t="shared" si="75"/>
        <v>Dr. Strangelove…</v>
      </c>
      <c r="W652">
        <f t="shared" si="76"/>
        <v>0</v>
      </c>
    </row>
    <row r="653" spans="1:23" x14ac:dyDescent="0.2">
      <c r="A653" s="6" t="s">
        <v>32</v>
      </c>
      <c r="B653" s="6">
        <v>2000</v>
      </c>
      <c r="C653" s="6"/>
      <c r="D653" s="6" t="s">
        <v>76</v>
      </c>
      <c r="E653" s="6" t="s">
        <v>2</v>
      </c>
      <c r="F653" s="6">
        <v>1</v>
      </c>
      <c r="G653" s="6">
        <v>2</v>
      </c>
      <c r="H653" s="6">
        <v>2</v>
      </c>
      <c r="I653" s="6"/>
      <c r="J653" s="6"/>
      <c r="K653" s="6"/>
      <c r="L653" s="6" t="str">
        <f t="shared" si="70"/>
        <v>Carlos Rodriguez</v>
      </c>
      <c r="M653" s="6" t="str">
        <f t="shared" si="71"/>
        <v>Dr. T and the women (Gere, Hunt)</v>
      </c>
      <c r="N653" s="9">
        <f t="shared" si="72"/>
        <v>2</v>
      </c>
      <c r="P653" t="str">
        <f t="shared" si="73"/>
        <v>"Carlos Rodriguez";"Dr. T and the women";"2"</v>
      </c>
      <c r="U653" t="str">
        <f t="shared" si="74"/>
        <v>Carlos Rodriguez</v>
      </c>
      <c r="V653" t="str">
        <f t="shared" si="75"/>
        <v>Dr. T and the women</v>
      </c>
      <c r="W653">
        <f t="shared" si="76"/>
        <v>1</v>
      </c>
    </row>
    <row r="654" spans="1:23" x14ac:dyDescent="0.2">
      <c r="A654" s="6" t="s">
        <v>33</v>
      </c>
      <c r="B654" s="6">
        <v>1953</v>
      </c>
      <c r="C654" s="6"/>
      <c r="D654" s="6" t="s">
        <v>76</v>
      </c>
      <c r="E654" s="6" t="s">
        <v>3</v>
      </c>
      <c r="F654" s="6">
        <v>0</v>
      </c>
      <c r="G654" s="6"/>
      <c r="H654" s="6">
        <v>0</v>
      </c>
      <c r="I654" s="6"/>
      <c r="J654" s="6"/>
      <c r="K654" s="6"/>
      <c r="L654" s="6" t="str">
        <f t="shared" si="70"/>
        <v>Carlos Rodriguez</v>
      </c>
      <c r="M654" s="6" t="str">
        <f t="shared" si="71"/>
        <v>Gentlemen Prefer Blondes (Monroe, Russell)</v>
      </c>
      <c r="N654" s="9">
        <f t="shared" si="72"/>
        <v>0</v>
      </c>
      <c r="P654" t="str">
        <f t="shared" si="73"/>
        <v>"Carlos Rodriguez";"Gentlemen Prefer Blondes";"0"</v>
      </c>
      <c r="U654" t="str">
        <f t="shared" si="74"/>
        <v>Carlos Rodriguez</v>
      </c>
      <c r="V654" t="str">
        <f t="shared" si="75"/>
        <v>Gentlemen Prefer Blondes</v>
      </c>
      <c r="W654">
        <f t="shared" si="76"/>
        <v>0</v>
      </c>
    </row>
    <row r="655" spans="1:23" x14ac:dyDescent="0.2">
      <c r="A655" s="6" t="s">
        <v>34</v>
      </c>
      <c r="B655" s="6">
        <v>2014</v>
      </c>
      <c r="C655" s="6"/>
      <c r="D655" s="6" t="s">
        <v>76</v>
      </c>
      <c r="E655" s="6" t="s">
        <v>2</v>
      </c>
      <c r="F655" s="6">
        <v>1</v>
      </c>
      <c r="G655" s="6">
        <v>3</v>
      </c>
      <c r="H655" s="6">
        <v>3</v>
      </c>
      <c r="I655" s="6"/>
      <c r="J655" s="6"/>
      <c r="K655" s="6"/>
      <c r="L655" s="6" t="str">
        <f t="shared" si="70"/>
        <v>Carlos Rodriguez</v>
      </c>
      <c r="M655" s="6" t="str">
        <f t="shared" si="71"/>
        <v>Grand Budapest Hotel (Fiennes, Abraham)</v>
      </c>
      <c r="N655" s="9">
        <f t="shared" si="72"/>
        <v>3</v>
      </c>
      <c r="P655" t="str">
        <f t="shared" si="73"/>
        <v>"Carlos Rodriguez";"Grand Budapest Hotel";"3"</v>
      </c>
      <c r="U655" t="str">
        <f t="shared" si="74"/>
        <v>Carlos Rodriguez</v>
      </c>
      <c r="V655" t="str">
        <f t="shared" si="75"/>
        <v>Grand Budapest Hotel</v>
      </c>
      <c r="W655">
        <f t="shared" si="76"/>
        <v>1</v>
      </c>
    </row>
    <row r="656" spans="1:23" x14ac:dyDescent="0.2">
      <c r="A656" s="6" t="s">
        <v>35</v>
      </c>
      <c r="B656" s="6">
        <v>2001</v>
      </c>
      <c r="C656" s="6"/>
      <c r="D656" s="6" t="s">
        <v>76</v>
      </c>
      <c r="E656" s="6" t="s">
        <v>2</v>
      </c>
      <c r="F656" s="6">
        <v>1</v>
      </c>
      <c r="G656" s="6">
        <v>1</v>
      </c>
      <c r="H656" s="6">
        <v>1</v>
      </c>
      <c r="I656" s="6"/>
      <c r="J656" s="6"/>
      <c r="K656" s="6"/>
      <c r="L656" s="6" t="str">
        <f t="shared" si="70"/>
        <v>Carlos Rodriguez</v>
      </c>
      <c r="M656" s="6" t="str">
        <f t="shared" si="71"/>
        <v>Harry Potter and the Philosopher's Stone (Radcliff, Harris)</v>
      </c>
      <c r="N656" s="9">
        <f t="shared" si="72"/>
        <v>1</v>
      </c>
      <c r="P656" t="str">
        <f t="shared" si="73"/>
        <v>"Carlos Rodriguez";"Harry Potter and the Philosopher's Stone";"1"</v>
      </c>
      <c r="U656" t="str">
        <f t="shared" si="74"/>
        <v>Carlos Rodriguez</v>
      </c>
      <c r="V656" t="str">
        <f t="shared" si="75"/>
        <v>Harry Potter and the Philosopher's Stone</v>
      </c>
      <c r="W656">
        <f t="shared" si="76"/>
        <v>1</v>
      </c>
    </row>
    <row r="657" spans="1:23" x14ac:dyDescent="0.2">
      <c r="A657" s="6" t="s">
        <v>36</v>
      </c>
      <c r="B657" s="6">
        <v>1950</v>
      </c>
      <c r="C657" s="6"/>
      <c r="D657" s="6" t="s">
        <v>76</v>
      </c>
      <c r="E657" s="6" t="s">
        <v>3</v>
      </c>
      <c r="F657" s="6">
        <v>0</v>
      </c>
      <c r="G657" s="6"/>
      <c r="H657" s="6">
        <v>0</v>
      </c>
      <c r="I657" s="6"/>
      <c r="J657" s="6"/>
      <c r="K657" s="6"/>
      <c r="L657" s="6" t="str">
        <f t="shared" si="70"/>
        <v>Carlos Rodriguez</v>
      </c>
      <c r="M657" s="6" t="str">
        <f t="shared" si="71"/>
        <v>Harvey (Stewart, Hull)</v>
      </c>
      <c r="N657" s="9">
        <f t="shared" si="72"/>
        <v>0</v>
      </c>
      <c r="P657" t="str">
        <f t="shared" si="73"/>
        <v>"Carlos Rodriguez";"Harvey";"0"</v>
      </c>
      <c r="U657" t="str">
        <f t="shared" si="74"/>
        <v>Carlos Rodriguez</v>
      </c>
      <c r="V657" t="str">
        <f t="shared" si="75"/>
        <v>Harvey</v>
      </c>
      <c r="W657">
        <f t="shared" si="76"/>
        <v>0</v>
      </c>
    </row>
    <row r="658" spans="1:23" x14ac:dyDescent="0.2">
      <c r="A658" s="6" t="s">
        <v>37</v>
      </c>
      <c r="B658" s="6">
        <v>1962</v>
      </c>
      <c r="C658" s="6"/>
      <c r="D658" s="6" t="s">
        <v>76</v>
      </c>
      <c r="E658" s="6" t="s">
        <v>2</v>
      </c>
      <c r="F658" s="6">
        <v>1</v>
      </c>
      <c r="G658" s="6">
        <v>2</v>
      </c>
      <c r="H658" s="6">
        <v>2</v>
      </c>
      <c r="I658" s="6"/>
      <c r="J658" s="6"/>
      <c r="K658" s="6"/>
      <c r="L658" s="6" t="str">
        <f t="shared" si="70"/>
        <v>Carlos Rodriguez</v>
      </c>
      <c r="M658" s="6" t="str">
        <f t="shared" si="71"/>
        <v>Hatari! (Wayne, Martinelli)</v>
      </c>
      <c r="N658" s="9">
        <f t="shared" si="72"/>
        <v>2</v>
      </c>
      <c r="P658" t="str">
        <f t="shared" si="73"/>
        <v>"Carlos Rodriguez";"Hatari!";"2"</v>
      </c>
      <c r="U658" t="str">
        <f t="shared" si="74"/>
        <v>Carlos Rodriguez</v>
      </c>
      <c r="V658" t="str">
        <f t="shared" si="75"/>
        <v>Hatari!</v>
      </c>
      <c r="W658">
        <f t="shared" si="76"/>
        <v>1</v>
      </c>
    </row>
    <row r="659" spans="1:23" x14ac:dyDescent="0.2">
      <c r="A659" s="6" t="s">
        <v>38</v>
      </c>
      <c r="B659" s="6">
        <v>1990</v>
      </c>
      <c r="C659" s="6"/>
      <c r="D659" s="6" t="s">
        <v>76</v>
      </c>
      <c r="E659" s="6" t="s">
        <v>2</v>
      </c>
      <c r="F659" s="6">
        <v>1</v>
      </c>
      <c r="G659" s="6">
        <v>5</v>
      </c>
      <c r="H659" s="6">
        <v>5</v>
      </c>
      <c r="I659" s="6"/>
      <c r="J659" s="6"/>
      <c r="K659" s="6"/>
      <c r="L659" s="6" t="str">
        <f t="shared" si="70"/>
        <v>Carlos Rodriguez</v>
      </c>
      <c r="M659" s="6" t="str">
        <f t="shared" si="71"/>
        <v>Home alone (Culkin, Pesci)</v>
      </c>
      <c r="N659" s="9">
        <f t="shared" si="72"/>
        <v>5</v>
      </c>
      <c r="P659" t="str">
        <f t="shared" si="73"/>
        <v>"Carlos Rodriguez";"Home alone";"5"</v>
      </c>
      <c r="U659" t="str">
        <f t="shared" si="74"/>
        <v>Carlos Rodriguez</v>
      </c>
      <c r="V659" t="str">
        <f t="shared" si="75"/>
        <v>Home alone</v>
      </c>
      <c r="W659">
        <f t="shared" si="76"/>
        <v>1</v>
      </c>
    </row>
    <row r="660" spans="1:23" x14ac:dyDescent="0.2">
      <c r="A660" s="6" t="s">
        <v>39</v>
      </c>
      <c r="B660" s="6">
        <v>2004</v>
      </c>
      <c r="C660" s="6"/>
      <c r="D660" s="6" t="s">
        <v>76</v>
      </c>
      <c r="E660" s="6" t="s">
        <v>2</v>
      </c>
      <c r="F660" s="6">
        <v>1</v>
      </c>
      <c r="G660" s="6">
        <v>5</v>
      </c>
      <c r="H660" s="6">
        <v>5</v>
      </c>
      <c r="I660" s="6"/>
      <c r="J660" s="6"/>
      <c r="K660" s="6"/>
      <c r="L660" s="6" t="str">
        <f t="shared" si="70"/>
        <v>Carlos Rodriguez</v>
      </c>
      <c r="M660" s="6" t="str">
        <f t="shared" si="71"/>
        <v>I, Robot (Smith, Moynahan)</v>
      </c>
      <c r="N660" s="9">
        <f t="shared" si="72"/>
        <v>5</v>
      </c>
      <c r="P660" t="str">
        <f t="shared" si="73"/>
        <v>"Carlos Rodriguez";"I, Robot";"5"</v>
      </c>
      <c r="U660" t="str">
        <f t="shared" si="74"/>
        <v>Carlos Rodriguez</v>
      </c>
      <c r="V660" t="str">
        <f t="shared" si="75"/>
        <v>I, Robot</v>
      </c>
      <c r="W660">
        <f t="shared" si="76"/>
        <v>1</v>
      </c>
    </row>
    <row r="661" spans="1:23" x14ac:dyDescent="0.2">
      <c r="A661" s="6" t="s">
        <v>40</v>
      </c>
      <c r="B661" s="6">
        <v>1967</v>
      </c>
      <c r="C661" s="6"/>
      <c r="D661" s="6" t="s">
        <v>76</v>
      </c>
      <c r="E661" s="6" t="s">
        <v>3</v>
      </c>
      <c r="F661" s="6">
        <v>0</v>
      </c>
      <c r="G661" s="6"/>
      <c r="H661" s="6">
        <v>0</v>
      </c>
      <c r="I661" s="6"/>
      <c r="J661" s="6"/>
      <c r="K661" s="6"/>
      <c r="L661" s="6" t="str">
        <f t="shared" si="70"/>
        <v>Carlos Rodriguez</v>
      </c>
      <c r="M661" s="6" t="str">
        <f t="shared" si="71"/>
        <v>In The Heat Of The Night (Poitier, Steiger)</v>
      </c>
      <c r="N661" s="9">
        <f t="shared" si="72"/>
        <v>0</v>
      </c>
      <c r="P661" t="str">
        <f t="shared" si="73"/>
        <v>"Carlos Rodriguez";"In The Heat Of The Night";"0"</v>
      </c>
      <c r="U661" t="str">
        <f t="shared" si="74"/>
        <v>Carlos Rodriguez</v>
      </c>
      <c r="V661" t="str">
        <f t="shared" si="75"/>
        <v>In The Heat Of The Night</v>
      </c>
      <c r="W661">
        <f t="shared" si="76"/>
        <v>0</v>
      </c>
    </row>
    <row r="662" spans="1:23" x14ac:dyDescent="0.2">
      <c r="A662" s="6" t="s">
        <v>41</v>
      </c>
      <c r="B662" s="6">
        <v>2014</v>
      </c>
      <c r="C662" s="6"/>
      <c r="D662" s="6" t="s">
        <v>76</v>
      </c>
      <c r="E662" s="6" t="s">
        <v>2</v>
      </c>
      <c r="F662" s="6">
        <v>1</v>
      </c>
      <c r="G662" s="6">
        <v>5</v>
      </c>
      <c r="H662" s="6">
        <v>5</v>
      </c>
      <c r="I662" s="6"/>
      <c r="J662" s="6"/>
      <c r="K662" s="6"/>
      <c r="L662" s="6" t="str">
        <f t="shared" si="70"/>
        <v>Carlos Rodriguez</v>
      </c>
      <c r="M662" s="6" t="str">
        <f t="shared" si="71"/>
        <v>Jack Ryan: Shadow Recruite (Pine, Costner)</v>
      </c>
      <c r="N662" s="9">
        <f t="shared" si="72"/>
        <v>5</v>
      </c>
      <c r="P662" t="str">
        <f t="shared" si="73"/>
        <v>"Carlos Rodriguez";"Jack Ryan: Shadow Recruite";"5"</v>
      </c>
      <c r="U662" t="str">
        <f t="shared" si="74"/>
        <v>Carlos Rodriguez</v>
      </c>
      <c r="V662" t="str">
        <f t="shared" si="75"/>
        <v>Jack Ryan: Shadow Recruite</v>
      </c>
      <c r="W662">
        <f t="shared" si="76"/>
        <v>1</v>
      </c>
    </row>
    <row r="663" spans="1:23" x14ac:dyDescent="0.2">
      <c r="A663" s="6" t="s">
        <v>42</v>
      </c>
      <c r="B663" s="6">
        <v>1995</v>
      </c>
      <c r="C663" s="6"/>
      <c r="D663" s="6" t="s">
        <v>76</v>
      </c>
      <c r="E663" s="6" t="s">
        <v>2</v>
      </c>
      <c r="F663" s="6">
        <v>1</v>
      </c>
      <c r="G663" s="6">
        <v>3</v>
      </c>
      <c r="H663" s="6">
        <v>3</v>
      </c>
      <c r="I663" s="6"/>
      <c r="J663" s="6"/>
      <c r="K663" s="6"/>
      <c r="L663" s="6" t="str">
        <f t="shared" si="70"/>
        <v>Carlos Rodriguez</v>
      </c>
      <c r="M663" s="6" t="str">
        <f t="shared" si="71"/>
        <v>Jumanji (Williams, Dunst)</v>
      </c>
      <c r="N663" s="9">
        <f t="shared" si="72"/>
        <v>3</v>
      </c>
      <c r="P663" t="str">
        <f t="shared" si="73"/>
        <v>"Carlos Rodriguez";"Jumanji";"3"</v>
      </c>
      <c r="U663" t="str">
        <f t="shared" si="74"/>
        <v>Carlos Rodriguez</v>
      </c>
      <c r="V663" t="str">
        <f t="shared" si="75"/>
        <v>Jumanji</v>
      </c>
      <c r="W663">
        <f t="shared" si="76"/>
        <v>1</v>
      </c>
    </row>
    <row r="664" spans="1:23" x14ac:dyDescent="0.2">
      <c r="A664" s="6" t="s">
        <v>43</v>
      </c>
      <c r="B664" s="6">
        <v>2005</v>
      </c>
      <c r="C664" s="6"/>
      <c r="D664" s="6" t="s">
        <v>76</v>
      </c>
      <c r="E664" s="6" t="s">
        <v>2</v>
      </c>
      <c r="F664" s="6">
        <v>1</v>
      </c>
      <c r="G664" s="6">
        <v>3</v>
      </c>
      <c r="H664" s="6">
        <v>3</v>
      </c>
      <c r="I664" s="6"/>
      <c r="J664" s="6"/>
      <c r="K664" s="6"/>
      <c r="L664" s="6" t="str">
        <f t="shared" si="70"/>
        <v>Carlos Rodriguez</v>
      </c>
      <c r="M664" s="6" t="str">
        <f t="shared" si="71"/>
        <v>King Kong (Watts, Black)</v>
      </c>
      <c r="N664" s="9">
        <f t="shared" si="72"/>
        <v>3</v>
      </c>
      <c r="P664" t="str">
        <f t="shared" si="73"/>
        <v>"Carlos Rodriguez";"King Kong";"3"</v>
      </c>
      <c r="U664" t="str">
        <f t="shared" si="74"/>
        <v>Carlos Rodriguez</v>
      </c>
      <c r="V664" t="str">
        <f t="shared" si="75"/>
        <v>King Kong</v>
      </c>
      <c r="W664">
        <f t="shared" si="76"/>
        <v>1</v>
      </c>
    </row>
    <row r="665" spans="1:23" x14ac:dyDescent="0.2">
      <c r="A665" s="6" t="s">
        <v>44</v>
      </c>
      <c r="B665" s="6">
        <v>2016</v>
      </c>
      <c r="C665" s="6"/>
      <c r="D665" s="6" t="s">
        <v>76</v>
      </c>
      <c r="E665" s="6" t="s">
        <v>2</v>
      </c>
      <c r="F665" s="6">
        <v>1</v>
      </c>
      <c r="G665" s="6">
        <v>4</v>
      </c>
      <c r="H665" s="6">
        <v>4</v>
      </c>
      <c r="I665" s="6"/>
      <c r="J665" s="6"/>
      <c r="K665" s="6"/>
      <c r="L665" s="6" t="str">
        <f t="shared" si="70"/>
        <v>Carlos Rodriguez</v>
      </c>
      <c r="M665" s="6" t="str">
        <f t="shared" si="71"/>
        <v>La La Land (Gosling, Stone)</v>
      </c>
      <c r="N665" s="9">
        <f t="shared" si="72"/>
        <v>4</v>
      </c>
      <c r="P665" t="str">
        <f t="shared" si="73"/>
        <v>"Carlos Rodriguez";"La La Land";"4"</v>
      </c>
      <c r="U665" t="str">
        <f t="shared" si="74"/>
        <v>Carlos Rodriguez</v>
      </c>
      <c r="V665" t="str">
        <f t="shared" si="75"/>
        <v>La La Land</v>
      </c>
      <c r="W665">
        <f t="shared" si="76"/>
        <v>1</v>
      </c>
    </row>
    <row r="666" spans="1:23" x14ac:dyDescent="0.2">
      <c r="A666" s="6" t="s">
        <v>45</v>
      </c>
      <c r="B666" s="6">
        <v>2001</v>
      </c>
      <c r="C666" s="6"/>
      <c r="D666" s="6" t="s">
        <v>76</v>
      </c>
      <c r="E666" s="6" t="s">
        <v>2</v>
      </c>
      <c r="F666" s="6">
        <v>1</v>
      </c>
      <c r="G666" s="6">
        <v>5</v>
      </c>
      <c r="H666" s="6">
        <v>5</v>
      </c>
      <c r="I666" s="6"/>
      <c r="J666" s="6"/>
      <c r="K666" s="6"/>
      <c r="L666" s="6" t="str">
        <f t="shared" si="70"/>
        <v>Carlos Rodriguez</v>
      </c>
      <c r="M666" s="6" t="str">
        <f t="shared" si="71"/>
        <v>Lord of the Rings (Woods, McKellen)</v>
      </c>
      <c r="N666" s="9">
        <f t="shared" si="72"/>
        <v>5</v>
      </c>
      <c r="P666" t="str">
        <f t="shared" si="73"/>
        <v>"Carlos Rodriguez";"Lord of the Rings";"5"</v>
      </c>
      <c r="U666" t="str">
        <f t="shared" si="74"/>
        <v>Carlos Rodriguez</v>
      </c>
      <c r="V666" t="str">
        <f t="shared" si="75"/>
        <v>Lord of the Rings</v>
      </c>
      <c r="W666">
        <f t="shared" si="76"/>
        <v>1</v>
      </c>
    </row>
    <row r="667" spans="1:23" x14ac:dyDescent="0.2">
      <c r="A667" s="6" t="s">
        <v>46</v>
      </c>
      <c r="B667" s="6">
        <v>1964</v>
      </c>
      <c r="C667" s="6"/>
      <c r="D667" s="6" t="s">
        <v>76</v>
      </c>
      <c r="E667" s="6" t="s">
        <v>2</v>
      </c>
      <c r="F667" s="6">
        <v>1</v>
      </c>
      <c r="G667" s="6">
        <v>5</v>
      </c>
      <c r="H667" s="6">
        <v>5</v>
      </c>
      <c r="I667" s="6"/>
      <c r="J667" s="6"/>
      <c r="K667" s="6"/>
      <c r="L667" s="6" t="str">
        <f t="shared" si="70"/>
        <v>Carlos Rodriguez</v>
      </c>
      <c r="M667" s="6" t="str">
        <f t="shared" si="71"/>
        <v>Per Un Pugno Di Dollari (Eastwood, Koch)</v>
      </c>
      <c r="N667" s="9">
        <f t="shared" si="72"/>
        <v>5</v>
      </c>
      <c r="P667" t="str">
        <f t="shared" si="73"/>
        <v>"Carlos Rodriguez";"Per Un Pugno Di Dollari";"5"</v>
      </c>
      <c r="U667" t="str">
        <f t="shared" si="74"/>
        <v>Carlos Rodriguez</v>
      </c>
      <c r="V667" t="str">
        <f t="shared" si="75"/>
        <v>Per Un Pugno Di Dollari</v>
      </c>
      <c r="W667">
        <f t="shared" si="76"/>
        <v>1</v>
      </c>
    </row>
    <row r="668" spans="1:23" x14ac:dyDescent="0.2">
      <c r="A668" s="6" t="s">
        <v>47</v>
      </c>
      <c r="B668" s="6">
        <v>1954</v>
      </c>
      <c r="C668" s="6"/>
      <c r="D668" s="6" t="s">
        <v>76</v>
      </c>
      <c r="E668" s="6" t="s">
        <v>3</v>
      </c>
      <c r="F668" s="6">
        <v>0</v>
      </c>
      <c r="G668" s="6"/>
      <c r="H668" s="6">
        <v>0</v>
      </c>
      <c r="I668" s="6"/>
      <c r="J668" s="6"/>
      <c r="K668" s="6"/>
      <c r="L668" s="6" t="str">
        <f t="shared" si="70"/>
        <v>Carlos Rodriguez</v>
      </c>
      <c r="M668" s="6" t="str">
        <f t="shared" si="71"/>
        <v>Rear Window (Stewart, Kelly)</v>
      </c>
      <c r="N668" s="9">
        <f t="shared" si="72"/>
        <v>0</v>
      </c>
      <c r="P668" t="str">
        <f t="shared" si="73"/>
        <v>"Carlos Rodriguez";"Rear Window";"0"</v>
      </c>
      <c r="U668" t="str">
        <f t="shared" si="74"/>
        <v>Carlos Rodriguez</v>
      </c>
      <c r="V668" t="str">
        <f t="shared" si="75"/>
        <v>Rear Window</v>
      </c>
      <c r="W668">
        <f t="shared" si="76"/>
        <v>0</v>
      </c>
    </row>
    <row r="669" spans="1:23" x14ac:dyDescent="0.2">
      <c r="A669" s="6" t="s">
        <v>48</v>
      </c>
      <c r="B669" s="6">
        <v>1955</v>
      </c>
      <c r="C669" s="6"/>
      <c r="D669" s="6" t="s">
        <v>76</v>
      </c>
      <c r="E669" s="6" t="s">
        <v>3</v>
      </c>
      <c r="F669" s="6">
        <v>0</v>
      </c>
      <c r="G669" s="6"/>
      <c r="H669" s="6">
        <v>0</v>
      </c>
      <c r="I669" s="6"/>
      <c r="J669" s="6"/>
      <c r="K669" s="6"/>
      <c r="L669" s="6" t="str">
        <f t="shared" si="70"/>
        <v>Carlos Rodriguez</v>
      </c>
      <c r="M669" s="6" t="str">
        <f t="shared" si="71"/>
        <v>Rebel Without A Cause (Dean, Wood)</v>
      </c>
      <c r="N669" s="9">
        <f t="shared" si="72"/>
        <v>0</v>
      </c>
      <c r="P669" t="str">
        <f t="shared" si="73"/>
        <v>"Carlos Rodriguez";"Rebel Without A Cause";"0"</v>
      </c>
      <c r="U669" t="str">
        <f t="shared" si="74"/>
        <v>Carlos Rodriguez</v>
      </c>
      <c r="V669" t="str">
        <f t="shared" si="75"/>
        <v>Rebel Without A Cause</v>
      </c>
      <c r="W669">
        <f t="shared" si="76"/>
        <v>0</v>
      </c>
    </row>
    <row r="670" spans="1:23" x14ac:dyDescent="0.2">
      <c r="A670" s="6" t="s">
        <v>66</v>
      </c>
      <c r="B670" s="6">
        <v>2005</v>
      </c>
      <c r="C670" s="6"/>
      <c r="D670" s="6" t="s">
        <v>76</v>
      </c>
      <c r="E670" s="6" t="s">
        <v>3</v>
      </c>
      <c r="F670" s="6">
        <v>0</v>
      </c>
      <c r="G670" s="6"/>
      <c r="H670" s="6">
        <v>0</v>
      </c>
      <c r="I670" s="6"/>
      <c r="J670" s="6"/>
      <c r="K670" s="6"/>
      <c r="L670" s="6" t="str">
        <f t="shared" si="70"/>
        <v>Carlos Rodriguez</v>
      </c>
      <c r="M670" s="6" t="str">
        <f t="shared" si="71"/>
        <v>Rumor has it (Aniston, Costner)</v>
      </c>
      <c r="N670" s="9">
        <f t="shared" si="72"/>
        <v>0</v>
      </c>
      <c r="P670" t="str">
        <f t="shared" si="73"/>
        <v>"Carlos Rodriguez";"Rumor has it";"0"</v>
      </c>
      <c r="U670" t="str">
        <f t="shared" si="74"/>
        <v>Carlos Rodriguez</v>
      </c>
      <c r="V670" t="str">
        <f t="shared" si="75"/>
        <v>Rumor has it</v>
      </c>
      <c r="W670">
        <f t="shared" si="76"/>
        <v>0</v>
      </c>
    </row>
    <row r="671" spans="1:23" x14ac:dyDescent="0.2">
      <c r="A671" s="6" t="s">
        <v>49</v>
      </c>
      <c r="B671" s="6">
        <v>1998</v>
      </c>
      <c r="C671" s="6"/>
      <c r="D671" s="6" t="s">
        <v>76</v>
      </c>
      <c r="E671" s="6" t="s">
        <v>2</v>
      </c>
      <c r="F671" s="6">
        <v>1</v>
      </c>
      <c r="G671" s="6">
        <v>5</v>
      </c>
      <c r="H671" s="6">
        <v>5</v>
      </c>
      <c r="I671" s="6"/>
      <c r="J671" s="6"/>
      <c r="K671" s="6"/>
      <c r="L671" s="6" t="str">
        <f t="shared" si="70"/>
        <v>Carlos Rodriguez</v>
      </c>
      <c r="M671" s="6" t="str">
        <f t="shared" si="71"/>
        <v>Saving private Ryan (Hanks, Damon)</v>
      </c>
      <c r="N671" s="9">
        <f t="shared" si="72"/>
        <v>5</v>
      </c>
      <c r="P671" t="str">
        <f t="shared" si="73"/>
        <v>"Carlos Rodriguez";"Saving private Ryan";"5"</v>
      </c>
      <c r="U671" t="str">
        <f t="shared" si="74"/>
        <v>Carlos Rodriguez</v>
      </c>
      <c r="V671" t="str">
        <f t="shared" si="75"/>
        <v>Saving private Ryan</v>
      </c>
      <c r="W671">
        <f t="shared" si="76"/>
        <v>1</v>
      </c>
    </row>
    <row r="672" spans="1:23" x14ac:dyDescent="0.2">
      <c r="A672" s="6" t="s">
        <v>50</v>
      </c>
      <c r="B672" s="6">
        <v>1993</v>
      </c>
      <c r="C672" s="6"/>
      <c r="D672" s="6" t="s">
        <v>76</v>
      </c>
      <c r="E672" s="6" t="s">
        <v>2</v>
      </c>
      <c r="F672" s="6">
        <v>1</v>
      </c>
      <c r="G672" s="6">
        <v>5</v>
      </c>
      <c r="H672" s="6">
        <v>5</v>
      </c>
      <c r="I672" s="6"/>
      <c r="J672" s="6"/>
      <c r="K672" s="6"/>
      <c r="L672" s="6" t="str">
        <f t="shared" si="70"/>
        <v>Carlos Rodriguez</v>
      </c>
      <c r="M672" s="6" t="str">
        <f t="shared" si="71"/>
        <v>Schindlers List (Neeson, Fiennes)</v>
      </c>
      <c r="N672" s="9">
        <f t="shared" si="72"/>
        <v>5</v>
      </c>
      <c r="P672" t="str">
        <f t="shared" si="73"/>
        <v>"Carlos Rodriguez";"Schindlers List";"5"</v>
      </c>
      <c r="U672" t="str">
        <f t="shared" si="74"/>
        <v>Carlos Rodriguez</v>
      </c>
      <c r="V672" t="str">
        <f t="shared" si="75"/>
        <v>Schindlers List</v>
      </c>
      <c r="W672">
        <f t="shared" si="76"/>
        <v>1</v>
      </c>
    </row>
    <row r="673" spans="1:23" x14ac:dyDescent="0.2">
      <c r="A673" s="6" t="s">
        <v>51</v>
      </c>
      <c r="B673" s="6">
        <v>1996</v>
      </c>
      <c r="C673" s="6"/>
      <c r="D673" s="6" t="s">
        <v>76</v>
      </c>
      <c r="E673" s="6" t="s">
        <v>2</v>
      </c>
      <c r="F673" s="6">
        <v>1</v>
      </c>
      <c r="G673" s="6">
        <v>2</v>
      </c>
      <c r="H673" s="6">
        <v>2</v>
      </c>
      <c r="I673" s="6"/>
      <c r="J673" s="6"/>
      <c r="K673" s="6"/>
      <c r="L673" s="6" t="str">
        <f t="shared" si="70"/>
        <v>Carlos Rodriguez</v>
      </c>
      <c r="M673" s="6" t="str">
        <f t="shared" si="71"/>
        <v>Scream (Arquette, Campell)</v>
      </c>
      <c r="N673" s="9">
        <f t="shared" si="72"/>
        <v>2</v>
      </c>
      <c r="P673" t="str">
        <f t="shared" si="73"/>
        <v>"Carlos Rodriguez";"Scream";"2"</v>
      </c>
      <c r="U673" t="str">
        <f t="shared" si="74"/>
        <v>Carlos Rodriguez</v>
      </c>
      <c r="V673" t="str">
        <f t="shared" si="75"/>
        <v>Scream</v>
      </c>
      <c r="W673">
        <f t="shared" si="76"/>
        <v>1</v>
      </c>
    </row>
    <row r="674" spans="1:23" x14ac:dyDescent="0.2">
      <c r="A674" s="6" t="s">
        <v>52</v>
      </c>
      <c r="B674" s="6">
        <v>1977</v>
      </c>
      <c r="C674" s="6"/>
      <c r="D674" s="6" t="s">
        <v>76</v>
      </c>
      <c r="E674" s="6" t="s">
        <v>2</v>
      </c>
      <c r="F674" s="6">
        <v>1</v>
      </c>
      <c r="G674" s="6">
        <v>4</v>
      </c>
      <c r="H674" s="6">
        <v>4</v>
      </c>
      <c r="I674" s="6"/>
      <c r="J674" s="6"/>
      <c r="K674" s="6"/>
      <c r="L674" s="6" t="str">
        <f t="shared" si="70"/>
        <v>Carlos Rodriguez</v>
      </c>
      <c r="M674" s="6" t="str">
        <f t="shared" si="71"/>
        <v>Star Wars IV: A new hope (Hamill, Ford)</v>
      </c>
      <c r="N674" s="9">
        <f t="shared" si="72"/>
        <v>4</v>
      </c>
      <c r="P674" t="str">
        <f t="shared" si="73"/>
        <v>"Carlos Rodriguez";"Star Wars IV: A new hope";"4"</v>
      </c>
      <c r="U674" t="str">
        <f t="shared" si="74"/>
        <v>Carlos Rodriguez</v>
      </c>
      <c r="V674" t="str">
        <f t="shared" si="75"/>
        <v>Star Wars IV: A new hope</v>
      </c>
      <c r="W674">
        <f t="shared" si="76"/>
        <v>1</v>
      </c>
    </row>
    <row r="675" spans="1:23" x14ac:dyDescent="0.2">
      <c r="A675" s="6" t="s">
        <v>53</v>
      </c>
      <c r="B675" s="6">
        <v>2016</v>
      </c>
      <c r="C675" s="6"/>
      <c r="D675" s="6" t="s">
        <v>76</v>
      </c>
      <c r="E675" s="6" t="s">
        <v>2</v>
      </c>
      <c r="F675" s="6">
        <v>1</v>
      </c>
      <c r="G675" s="6">
        <v>4</v>
      </c>
      <c r="H675" s="6">
        <v>4</v>
      </c>
      <c r="I675" s="6"/>
      <c r="J675" s="6"/>
      <c r="K675" s="6"/>
      <c r="L675" s="6" t="str">
        <f t="shared" si="70"/>
        <v>Carlos Rodriguez</v>
      </c>
      <c r="M675" s="6" t="str">
        <f t="shared" si="71"/>
        <v>Suicide Squad (Smith, Robbie)</v>
      </c>
      <c r="N675" s="9">
        <f t="shared" si="72"/>
        <v>4</v>
      </c>
      <c r="P675" t="str">
        <f t="shared" si="73"/>
        <v>"Carlos Rodriguez";"Suicide Squad";"4"</v>
      </c>
      <c r="U675" t="str">
        <f t="shared" si="74"/>
        <v>Carlos Rodriguez</v>
      </c>
      <c r="V675" t="str">
        <f t="shared" si="75"/>
        <v>Suicide Squad</v>
      </c>
      <c r="W675">
        <f t="shared" si="76"/>
        <v>1</v>
      </c>
    </row>
    <row r="676" spans="1:23" x14ac:dyDescent="0.2">
      <c r="A676" s="6" t="s">
        <v>54</v>
      </c>
      <c r="B676" s="6">
        <v>2010</v>
      </c>
      <c r="C676" s="6"/>
      <c r="D676" s="6" t="s">
        <v>76</v>
      </c>
      <c r="E676" s="6" t="s">
        <v>2</v>
      </c>
      <c r="F676" s="6">
        <v>1</v>
      </c>
      <c r="G676" s="6">
        <v>5</v>
      </c>
      <c r="H676" s="6">
        <v>5</v>
      </c>
      <c r="I676" s="6"/>
      <c r="J676" s="6"/>
      <c r="K676" s="6"/>
      <c r="L676" s="6" t="str">
        <f t="shared" si="70"/>
        <v>Carlos Rodriguez</v>
      </c>
      <c r="M676" s="6" t="str">
        <f t="shared" si="71"/>
        <v>Tangled (Disney)</v>
      </c>
      <c r="N676" s="9">
        <f t="shared" si="72"/>
        <v>5</v>
      </c>
      <c r="P676" t="str">
        <f t="shared" si="73"/>
        <v>"Carlos Rodriguez";"Tangled";"5"</v>
      </c>
      <c r="U676" t="str">
        <f t="shared" si="74"/>
        <v>Carlos Rodriguez</v>
      </c>
      <c r="V676" t="str">
        <f t="shared" si="75"/>
        <v>Tangled</v>
      </c>
      <c r="W676">
        <f t="shared" si="76"/>
        <v>1</v>
      </c>
    </row>
    <row r="677" spans="1:23" x14ac:dyDescent="0.2">
      <c r="A677" s="6" t="s">
        <v>55</v>
      </c>
      <c r="B677" s="6">
        <v>2012</v>
      </c>
      <c r="C677" s="6"/>
      <c r="D677" s="6" t="s">
        <v>76</v>
      </c>
      <c r="E677" s="6" t="s">
        <v>2</v>
      </c>
      <c r="F677" s="6">
        <v>1</v>
      </c>
      <c r="G677" s="6">
        <v>1</v>
      </c>
      <c r="H677" s="6">
        <v>1</v>
      </c>
      <c r="I677" s="6"/>
      <c r="J677" s="6"/>
      <c r="K677" s="6"/>
      <c r="L677" s="6" t="str">
        <f t="shared" si="70"/>
        <v>Carlos Rodriguez</v>
      </c>
      <c r="M677" s="6" t="str">
        <f t="shared" si="71"/>
        <v>The Avengers (Downey Jr. Evans)</v>
      </c>
      <c r="N677" s="9">
        <f t="shared" si="72"/>
        <v>1</v>
      </c>
      <c r="P677" t="str">
        <f t="shared" si="73"/>
        <v>"Carlos Rodriguez";"The Avengers";"1"</v>
      </c>
      <c r="U677" t="str">
        <f t="shared" si="74"/>
        <v>Carlos Rodriguez</v>
      </c>
      <c r="V677" t="str">
        <f t="shared" si="75"/>
        <v>The Avengers</v>
      </c>
      <c r="W677">
        <f t="shared" si="76"/>
        <v>1</v>
      </c>
    </row>
    <row r="678" spans="1:23" x14ac:dyDescent="0.2">
      <c r="A678" s="6" t="s">
        <v>56</v>
      </c>
      <c r="B678" s="6">
        <v>1973</v>
      </c>
      <c r="C678" s="6"/>
      <c r="D678" s="6" t="s">
        <v>76</v>
      </c>
      <c r="E678" s="6" t="s">
        <v>2</v>
      </c>
      <c r="F678" s="6">
        <v>1</v>
      </c>
      <c r="G678" s="6">
        <v>3</v>
      </c>
      <c r="H678" s="6">
        <v>3</v>
      </c>
      <c r="I678" s="6"/>
      <c r="J678" s="6"/>
      <c r="K678" s="6"/>
      <c r="L678" s="6" t="str">
        <f t="shared" si="70"/>
        <v>Carlos Rodriguez</v>
      </c>
      <c r="M678" s="6" t="str">
        <f t="shared" si="71"/>
        <v>The Exorcist (von Sydow, Blair)</v>
      </c>
      <c r="N678" s="9">
        <f t="shared" si="72"/>
        <v>3</v>
      </c>
      <c r="P678" t="str">
        <f t="shared" si="73"/>
        <v>"Carlos Rodriguez";"The Exorcist";"3"</v>
      </c>
      <c r="U678" t="str">
        <f t="shared" si="74"/>
        <v>Carlos Rodriguez</v>
      </c>
      <c r="V678" t="str">
        <f t="shared" si="75"/>
        <v>The Exorcist</v>
      </c>
      <c r="W678">
        <f t="shared" si="76"/>
        <v>1</v>
      </c>
    </row>
    <row r="679" spans="1:23" x14ac:dyDescent="0.2">
      <c r="A679" s="6" t="s">
        <v>57</v>
      </c>
      <c r="B679" s="6">
        <v>1972</v>
      </c>
      <c r="C679" s="6"/>
      <c r="D679" s="6" t="s">
        <v>76</v>
      </c>
      <c r="E679" s="6" t="s">
        <v>2</v>
      </c>
      <c r="F679" s="6">
        <v>1</v>
      </c>
      <c r="G679" s="6">
        <v>4</v>
      </c>
      <c r="H679" s="6">
        <v>4</v>
      </c>
      <c r="I679" s="6"/>
      <c r="J679" s="6"/>
      <c r="K679" s="6"/>
      <c r="L679" s="6" t="str">
        <f t="shared" si="70"/>
        <v>Carlos Rodriguez</v>
      </c>
      <c r="M679" s="6" t="str">
        <f t="shared" si="71"/>
        <v>The Godfather (Brando, Pacino)</v>
      </c>
      <c r="N679" s="9">
        <f t="shared" si="72"/>
        <v>4</v>
      </c>
      <c r="P679" t="str">
        <f t="shared" si="73"/>
        <v>"Carlos Rodriguez";"The Godfather";"4"</v>
      </c>
      <c r="U679" t="str">
        <f t="shared" si="74"/>
        <v>Carlos Rodriguez</v>
      </c>
      <c r="V679" t="str">
        <f t="shared" si="75"/>
        <v>The Godfather</v>
      </c>
      <c r="W679">
        <f t="shared" si="76"/>
        <v>1</v>
      </c>
    </row>
    <row r="680" spans="1:23" x14ac:dyDescent="0.2">
      <c r="A680" s="6" t="s">
        <v>58</v>
      </c>
      <c r="B680" s="6">
        <v>1994</v>
      </c>
      <c r="C680" s="6"/>
      <c r="D680" s="6" t="s">
        <v>76</v>
      </c>
      <c r="E680" s="6" t="s">
        <v>2</v>
      </c>
      <c r="F680" s="6">
        <v>1</v>
      </c>
      <c r="G680" s="6">
        <v>1</v>
      </c>
      <c r="H680" s="6">
        <v>1</v>
      </c>
      <c r="I680" s="6"/>
      <c r="J680" s="6"/>
      <c r="K680" s="6"/>
      <c r="L680" s="6" t="str">
        <f t="shared" si="70"/>
        <v>Carlos Rodriguez</v>
      </c>
      <c r="M680" s="6" t="str">
        <f t="shared" si="71"/>
        <v>The Lion King (Disney)</v>
      </c>
      <c r="N680" s="9">
        <f t="shared" si="72"/>
        <v>1</v>
      </c>
      <c r="P680" t="str">
        <f t="shared" si="73"/>
        <v>"Carlos Rodriguez";"The Lion King";"1"</v>
      </c>
      <c r="U680" t="str">
        <f t="shared" si="74"/>
        <v>Carlos Rodriguez</v>
      </c>
      <c r="V680" t="str">
        <f t="shared" si="75"/>
        <v>The Lion King</v>
      </c>
      <c r="W680">
        <f t="shared" si="76"/>
        <v>1</v>
      </c>
    </row>
    <row r="681" spans="1:23" x14ac:dyDescent="0.2">
      <c r="A681" s="6" t="s">
        <v>59</v>
      </c>
      <c r="B681" s="6">
        <v>1999</v>
      </c>
      <c r="C681" s="6"/>
      <c r="D681" s="6" t="s">
        <v>76</v>
      </c>
      <c r="E681" s="6" t="s">
        <v>2</v>
      </c>
      <c r="F681" s="6">
        <v>1</v>
      </c>
      <c r="G681" s="6">
        <v>5</v>
      </c>
      <c r="H681" s="6">
        <v>5</v>
      </c>
      <c r="I681" s="6"/>
      <c r="J681" s="6"/>
      <c r="K681" s="6"/>
      <c r="L681" s="6" t="str">
        <f t="shared" si="70"/>
        <v>Carlos Rodriguez</v>
      </c>
      <c r="M681" s="6" t="str">
        <f t="shared" si="71"/>
        <v>The Matrix (Reeves, Fishburn)</v>
      </c>
      <c r="N681" s="9">
        <f t="shared" si="72"/>
        <v>5</v>
      </c>
      <c r="P681" t="str">
        <f t="shared" si="73"/>
        <v>"Carlos Rodriguez";"The Matrix";"5"</v>
      </c>
      <c r="U681" t="str">
        <f t="shared" si="74"/>
        <v>Carlos Rodriguez</v>
      </c>
      <c r="V681" t="str">
        <f t="shared" si="75"/>
        <v>The Matrix</v>
      </c>
      <c r="W681">
        <f t="shared" si="76"/>
        <v>1</v>
      </c>
    </row>
    <row r="682" spans="1:23" x14ac:dyDescent="0.2">
      <c r="A682" s="6" t="s">
        <v>60</v>
      </c>
      <c r="B682" s="6">
        <v>1980</v>
      </c>
      <c r="C682" s="6"/>
      <c r="D682" s="6" t="s">
        <v>76</v>
      </c>
      <c r="E682" s="6" t="s">
        <v>3</v>
      </c>
      <c r="F682" s="6">
        <v>0</v>
      </c>
      <c r="G682" s="6"/>
      <c r="H682" s="6">
        <v>0</v>
      </c>
      <c r="I682" s="6"/>
      <c r="J682" s="6"/>
      <c r="K682" s="6"/>
      <c r="L682" s="6" t="str">
        <f t="shared" si="70"/>
        <v>Carlos Rodriguez</v>
      </c>
      <c r="M682" s="6" t="str">
        <f t="shared" si="71"/>
        <v>The Shining (Nicholson, Duvall)</v>
      </c>
      <c r="N682" s="9">
        <f t="shared" si="72"/>
        <v>0</v>
      </c>
      <c r="P682" t="str">
        <f t="shared" si="73"/>
        <v>"Carlos Rodriguez";"The Shining";"0"</v>
      </c>
      <c r="U682" t="str">
        <f t="shared" si="74"/>
        <v>Carlos Rodriguez</v>
      </c>
      <c r="V682" t="str">
        <f t="shared" si="75"/>
        <v>The Shining</v>
      </c>
      <c r="W682">
        <f t="shared" si="76"/>
        <v>0</v>
      </c>
    </row>
    <row r="683" spans="1:23" x14ac:dyDescent="0.2">
      <c r="A683" s="6" t="s">
        <v>61</v>
      </c>
      <c r="B683" s="6">
        <v>1984</v>
      </c>
      <c r="C683" s="6"/>
      <c r="D683" s="6" t="s">
        <v>76</v>
      </c>
      <c r="E683" s="6" t="s">
        <v>2</v>
      </c>
      <c r="F683" s="6">
        <v>1</v>
      </c>
      <c r="G683" s="6">
        <v>5</v>
      </c>
      <c r="H683" s="6">
        <v>5</v>
      </c>
      <c r="I683" s="6"/>
      <c r="J683" s="6"/>
      <c r="K683" s="6"/>
      <c r="L683" s="6" t="str">
        <f t="shared" si="70"/>
        <v>Carlos Rodriguez</v>
      </c>
      <c r="M683" s="6" t="str">
        <f t="shared" si="71"/>
        <v>The Terminator (Schwarzenegger, Hamilton)</v>
      </c>
      <c r="N683" s="9">
        <f t="shared" si="72"/>
        <v>5</v>
      </c>
      <c r="P683" t="str">
        <f t="shared" si="73"/>
        <v>"Carlos Rodriguez";"The Terminator";"5"</v>
      </c>
      <c r="U683" t="str">
        <f t="shared" si="74"/>
        <v>Carlos Rodriguez</v>
      </c>
      <c r="V683" t="str">
        <f t="shared" si="75"/>
        <v>The Terminator</v>
      </c>
      <c r="W683">
        <f t="shared" si="76"/>
        <v>1</v>
      </c>
    </row>
    <row r="684" spans="1:23" x14ac:dyDescent="0.2">
      <c r="A684" s="6" t="s">
        <v>62</v>
      </c>
      <c r="B684" s="6">
        <v>1986</v>
      </c>
      <c r="C684" s="6"/>
      <c r="D684" s="6" t="s">
        <v>76</v>
      </c>
      <c r="E684" s="6" t="s">
        <v>2</v>
      </c>
      <c r="F684" s="6">
        <v>1</v>
      </c>
      <c r="G684" s="6">
        <v>5</v>
      </c>
      <c r="H684" s="6">
        <v>5</v>
      </c>
      <c r="I684" s="6"/>
      <c r="J684" s="6"/>
      <c r="K684" s="6"/>
      <c r="L684" s="6" t="str">
        <f t="shared" si="70"/>
        <v>Carlos Rodriguez</v>
      </c>
      <c r="M684" s="6" t="str">
        <f t="shared" si="71"/>
        <v>Top Gun (Cruise, McGillis)</v>
      </c>
      <c r="N684" s="9">
        <f t="shared" si="72"/>
        <v>5</v>
      </c>
      <c r="P684" t="str">
        <f t="shared" si="73"/>
        <v>"Carlos Rodriguez";"Top Gun";"5"</v>
      </c>
      <c r="U684" t="str">
        <f t="shared" si="74"/>
        <v>Carlos Rodriguez</v>
      </c>
      <c r="V684" t="str">
        <f t="shared" si="75"/>
        <v>Top Gun</v>
      </c>
      <c r="W684">
        <f t="shared" si="76"/>
        <v>1</v>
      </c>
    </row>
    <row r="685" spans="1:23" x14ac:dyDescent="0.2">
      <c r="A685" s="6" t="s">
        <v>63</v>
      </c>
      <c r="B685" s="6">
        <v>1995</v>
      </c>
      <c r="C685" s="6"/>
      <c r="D685" s="6" t="s">
        <v>76</v>
      </c>
      <c r="E685" s="6" t="s">
        <v>2</v>
      </c>
      <c r="F685" s="6">
        <v>1</v>
      </c>
      <c r="G685" s="6">
        <v>5</v>
      </c>
      <c r="H685" s="6">
        <v>5</v>
      </c>
      <c r="I685" s="6"/>
      <c r="J685" s="6"/>
      <c r="K685" s="6"/>
      <c r="L685" s="6" t="str">
        <f t="shared" si="70"/>
        <v>Carlos Rodriguez</v>
      </c>
      <c r="M685" s="6" t="str">
        <f t="shared" si="71"/>
        <v>Toy Story (Pixar)</v>
      </c>
      <c r="N685" s="9">
        <f t="shared" si="72"/>
        <v>5</v>
      </c>
      <c r="P685" t="str">
        <f t="shared" si="73"/>
        <v>"Carlos Rodriguez";"Toy Story";"5"</v>
      </c>
      <c r="U685" t="str">
        <f t="shared" si="74"/>
        <v>Carlos Rodriguez</v>
      </c>
      <c r="V685" t="str">
        <f t="shared" si="75"/>
        <v>Toy Story</v>
      </c>
      <c r="W685">
        <f t="shared" si="76"/>
        <v>1</v>
      </c>
    </row>
    <row r="686" spans="1:23" x14ac:dyDescent="0.2">
      <c r="A686" s="6" t="s">
        <v>8</v>
      </c>
      <c r="B686" s="6">
        <v>1968</v>
      </c>
      <c r="C686" s="6"/>
      <c r="D686" s="6" t="s">
        <v>77</v>
      </c>
      <c r="E686" s="6" t="s">
        <v>3</v>
      </c>
      <c r="F686" s="6">
        <v>0</v>
      </c>
      <c r="G686" s="6"/>
      <c r="H686" s="6">
        <v>0</v>
      </c>
      <c r="I686" s="6"/>
      <c r="J686" s="6"/>
      <c r="K686" s="6"/>
      <c r="L686" s="6" t="str">
        <f t="shared" si="70"/>
        <v>Manuel Plech</v>
      </c>
      <c r="M686" s="6" t="str">
        <f t="shared" si="71"/>
        <v>2001: A Space Odyssey (Duella, Lockwood)</v>
      </c>
      <c r="N686" s="9">
        <f t="shared" si="72"/>
        <v>0</v>
      </c>
      <c r="P686" t="str">
        <f t="shared" si="73"/>
        <v>"Manuel Plech";"2001: A Space Odyssey";"0"</v>
      </c>
      <c r="U686" t="str">
        <f t="shared" si="74"/>
        <v>Manuel Plech</v>
      </c>
      <c r="V686" t="str">
        <f t="shared" si="75"/>
        <v>2001: A Space Odyssey</v>
      </c>
      <c r="W686">
        <f t="shared" si="76"/>
        <v>0</v>
      </c>
    </row>
    <row r="687" spans="1:23" x14ac:dyDescent="0.2">
      <c r="A687" s="6" t="s">
        <v>9</v>
      </c>
      <c r="B687" s="6">
        <v>1971</v>
      </c>
      <c r="C687" s="6"/>
      <c r="D687" s="6" t="s">
        <v>77</v>
      </c>
      <c r="E687" s="6" t="s">
        <v>3</v>
      </c>
      <c r="F687" s="6">
        <v>0</v>
      </c>
      <c r="G687" s="6"/>
      <c r="H687" s="6">
        <v>0</v>
      </c>
      <c r="I687" s="6"/>
      <c r="J687" s="6"/>
      <c r="K687" s="6"/>
      <c r="L687" s="6" t="str">
        <f t="shared" si="70"/>
        <v>Manuel Plech</v>
      </c>
      <c r="M687" s="6" t="str">
        <f t="shared" si="71"/>
        <v>A Clockwork Orange (McDowell, Magee)</v>
      </c>
      <c r="N687" s="9">
        <f t="shared" si="72"/>
        <v>0</v>
      </c>
      <c r="P687" t="str">
        <f t="shared" si="73"/>
        <v>"Manuel Plech";"A Clockwork Orange";"0"</v>
      </c>
      <c r="U687" t="str">
        <f t="shared" si="74"/>
        <v>Manuel Plech</v>
      </c>
      <c r="V687" t="str">
        <f t="shared" si="75"/>
        <v>A Clockwork Orange</v>
      </c>
      <c r="W687">
        <f t="shared" si="76"/>
        <v>0</v>
      </c>
    </row>
    <row r="688" spans="1:23" x14ac:dyDescent="0.2">
      <c r="A688" s="6" t="s">
        <v>10</v>
      </c>
      <c r="B688" s="6">
        <v>2018</v>
      </c>
      <c r="C688" s="6"/>
      <c r="D688" s="6" t="s">
        <v>77</v>
      </c>
      <c r="E688" s="6" t="s">
        <v>2</v>
      </c>
      <c r="F688" s="6">
        <v>1</v>
      </c>
      <c r="G688" s="6">
        <v>4</v>
      </c>
      <c r="H688" s="6">
        <v>4</v>
      </c>
      <c r="I688" s="6"/>
      <c r="J688" s="6"/>
      <c r="K688" s="6"/>
      <c r="L688" s="6" t="str">
        <f t="shared" si="70"/>
        <v>Manuel Plech</v>
      </c>
      <c r="M688" s="6" t="str">
        <f t="shared" si="71"/>
        <v>A star is born (Gaga, Cooper)</v>
      </c>
      <c r="N688" s="9">
        <f t="shared" si="72"/>
        <v>4</v>
      </c>
      <c r="P688" t="str">
        <f t="shared" si="73"/>
        <v>"Manuel Plech";"A star is born";"4"</v>
      </c>
      <c r="U688" t="str">
        <f t="shared" si="74"/>
        <v>Manuel Plech</v>
      </c>
      <c r="V688" t="str">
        <f t="shared" si="75"/>
        <v>A star is born</v>
      </c>
      <c r="W688">
        <f t="shared" si="76"/>
        <v>1</v>
      </c>
    </row>
    <row r="689" spans="1:23" x14ac:dyDescent="0.2">
      <c r="A689" s="6" t="s">
        <v>11</v>
      </c>
      <c r="B689" s="6">
        <v>2005</v>
      </c>
      <c r="C689" s="6"/>
      <c r="D689" s="6" t="s">
        <v>77</v>
      </c>
      <c r="E689" s="6" t="s">
        <v>3</v>
      </c>
      <c r="F689" s="6">
        <v>0</v>
      </c>
      <c r="G689" s="6"/>
      <c r="H689" s="6">
        <v>0</v>
      </c>
      <c r="I689" s="6"/>
      <c r="J689" s="6"/>
      <c r="K689" s="6"/>
      <c r="L689" s="6" t="str">
        <f t="shared" si="70"/>
        <v>Manuel Plech</v>
      </c>
      <c r="M689" s="6" t="str">
        <f t="shared" si="71"/>
        <v>Aeon Flux (Theron, Csokas)</v>
      </c>
      <c r="N689" s="9">
        <f t="shared" si="72"/>
        <v>0</v>
      </c>
      <c r="P689" t="str">
        <f t="shared" si="73"/>
        <v>"Manuel Plech";"Aeon Flux";"0"</v>
      </c>
      <c r="U689" t="str">
        <f t="shared" si="74"/>
        <v>Manuel Plech</v>
      </c>
      <c r="V689" t="str">
        <f t="shared" si="75"/>
        <v>Aeon Flux</v>
      </c>
      <c r="W689">
        <f t="shared" si="76"/>
        <v>0</v>
      </c>
    </row>
    <row r="690" spans="1:23" x14ac:dyDescent="0.2">
      <c r="A690" s="6" t="s">
        <v>12</v>
      </c>
      <c r="B690" s="6">
        <v>1951</v>
      </c>
      <c r="C690" s="6"/>
      <c r="D690" s="6" t="s">
        <v>77</v>
      </c>
      <c r="E690" s="6" t="s">
        <v>3</v>
      </c>
      <c r="F690" s="6">
        <v>0</v>
      </c>
      <c r="G690" s="6"/>
      <c r="H690" s="6">
        <v>0</v>
      </c>
      <c r="I690" s="6"/>
      <c r="J690" s="6"/>
      <c r="K690" s="6"/>
      <c r="L690" s="6" t="str">
        <f t="shared" si="70"/>
        <v>Manuel Plech</v>
      </c>
      <c r="M690" s="6" t="str">
        <f t="shared" si="71"/>
        <v>African Queen (Bogart, Hepburn)</v>
      </c>
      <c r="N690" s="9">
        <f t="shared" si="72"/>
        <v>0</v>
      </c>
      <c r="P690" t="str">
        <f t="shared" si="73"/>
        <v>"Manuel Plech";"African Queen";"0"</v>
      </c>
      <c r="U690" t="str">
        <f t="shared" si="74"/>
        <v>Manuel Plech</v>
      </c>
      <c r="V690" t="str">
        <f t="shared" si="75"/>
        <v>African Queen</v>
      </c>
      <c r="W690">
        <f t="shared" si="76"/>
        <v>0</v>
      </c>
    </row>
    <row r="691" spans="1:23" x14ac:dyDescent="0.2">
      <c r="A691" s="6" t="s">
        <v>13</v>
      </c>
      <c r="B691" s="6">
        <v>1979</v>
      </c>
      <c r="C691" s="6"/>
      <c r="D691" s="6" t="s">
        <v>77</v>
      </c>
      <c r="E691" s="6" t="s">
        <v>3</v>
      </c>
      <c r="F691" s="6">
        <v>0</v>
      </c>
      <c r="G691" s="6"/>
      <c r="H691" s="6">
        <v>0</v>
      </c>
      <c r="I691" s="6"/>
      <c r="J691" s="6"/>
      <c r="K691" s="6"/>
      <c r="L691" s="6" t="str">
        <f t="shared" si="70"/>
        <v>Manuel Plech</v>
      </c>
      <c r="M691" s="6" t="str">
        <f t="shared" si="71"/>
        <v>Alien (Weaver, Skerritt)</v>
      </c>
      <c r="N691" s="9">
        <f t="shared" si="72"/>
        <v>0</v>
      </c>
      <c r="P691" t="str">
        <f t="shared" si="73"/>
        <v>"Manuel Plech";"Alien";"0"</v>
      </c>
      <c r="U691" t="str">
        <f t="shared" si="74"/>
        <v>Manuel Plech</v>
      </c>
      <c r="V691" t="str">
        <f t="shared" si="75"/>
        <v>Alien</v>
      </c>
      <c r="W691">
        <f t="shared" si="76"/>
        <v>0</v>
      </c>
    </row>
    <row r="692" spans="1:23" x14ac:dyDescent="0.2">
      <c r="A692" s="6" t="s">
        <v>14</v>
      </c>
      <c r="B692" s="6">
        <v>1960</v>
      </c>
      <c r="C692" s="6"/>
      <c r="D692" s="6" t="s">
        <v>77</v>
      </c>
      <c r="E692" s="6" t="s">
        <v>3</v>
      </c>
      <c r="F692" s="6">
        <v>0</v>
      </c>
      <c r="G692" s="6"/>
      <c r="H692" s="6">
        <v>0</v>
      </c>
      <c r="I692" s="6"/>
      <c r="J692" s="6"/>
      <c r="K692" s="6"/>
      <c r="L692" s="6" t="str">
        <f t="shared" si="70"/>
        <v>Manuel Plech</v>
      </c>
      <c r="M692" s="6" t="str">
        <f t="shared" si="71"/>
        <v>Apartment (Lemmon, MacLaine)</v>
      </c>
      <c r="N692" s="9">
        <f t="shared" si="72"/>
        <v>0</v>
      </c>
      <c r="P692" t="str">
        <f t="shared" si="73"/>
        <v>"Manuel Plech";"Apartment";"0"</v>
      </c>
      <c r="U692" t="str">
        <f t="shared" si="74"/>
        <v>Manuel Plech</v>
      </c>
      <c r="V692" t="str">
        <f t="shared" si="75"/>
        <v>Apartment</v>
      </c>
      <c r="W692">
        <f t="shared" si="76"/>
        <v>0</v>
      </c>
    </row>
    <row r="693" spans="1:23" x14ac:dyDescent="0.2">
      <c r="A693" s="6" t="s">
        <v>15</v>
      </c>
      <c r="B693" s="6">
        <v>1979</v>
      </c>
      <c r="C693" s="6"/>
      <c r="D693" s="6" t="s">
        <v>77</v>
      </c>
      <c r="E693" s="6" t="s">
        <v>3</v>
      </c>
      <c r="F693" s="6">
        <v>0</v>
      </c>
      <c r="G693" s="6"/>
      <c r="H693" s="6">
        <v>0</v>
      </c>
      <c r="I693" s="6"/>
      <c r="J693" s="6"/>
      <c r="K693" s="6"/>
      <c r="L693" s="6" t="str">
        <f t="shared" si="70"/>
        <v>Manuel Plech</v>
      </c>
      <c r="M693" s="6" t="str">
        <f t="shared" si="71"/>
        <v>Apocalypse Now (Sheen, Brando)</v>
      </c>
      <c r="N693" s="9">
        <f t="shared" si="72"/>
        <v>0</v>
      </c>
      <c r="P693" t="str">
        <f t="shared" si="73"/>
        <v>"Manuel Plech";"Apocalypse Now";"0"</v>
      </c>
      <c r="U693" t="str">
        <f t="shared" si="74"/>
        <v>Manuel Plech</v>
      </c>
      <c r="V693" t="str">
        <f t="shared" si="75"/>
        <v>Apocalypse Now</v>
      </c>
      <c r="W693">
        <f t="shared" si="76"/>
        <v>0</v>
      </c>
    </row>
    <row r="694" spans="1:23" x14ac:dyDescent="0.2">
      <c r="A694" s="6" t="s">
        <v>16</v>
      </c>
      <c r="B694" s="6">
        <v>1956</v>
      </c>
      <c r="C694" s="6"/>
      <c r="D694" s="6" t="s">
        <v>77</v>
      </c>
      <c r="E694" s="6" t="s">
        <v>2</v>
      </c>
      <c r="F694" s="6">
        <v>1</v>
      </c>
      <c r="G694" s="6">
        <v>3</v>
      </c>
      <c r="H694" s="6">
        <v>3</v>
      </c>
      <c r="I694" s="6"/>
      <c r="J694" s="6"/>
      <c r="K694" s="6"/>
      <c r="L694" s="6" t="str">
        <f t="shared" si="70"/>
        <v>Manuel Plech</v>
      </c>
      <c r="M694" s="6" t="str">
        <f t="shared" si="71"/>
        <v>Around The World In 80 Days (Niven, Cantinflas)</v>
      </c>
      <c r="N694" s="9">
        <f t="shared" si="72"/>
        <v>3</v>
      </c>
      <c r="P694" t="str">
        <f t="shared" si="73"/>
        <v>"Manuel Plech";"Around The World In 80 Days";"3"</v>
      </c>
      <c r="U694" t="str">
        <f t="shared" si="74"/>
        <v>Manuel Plech</v>
      </c>
      <c r="V694" t="str">
        <f t="shared" si="75"/>
        <v>Around The World In 80 Days</v>
      </c>
      <c r="W694">
        <f t="shared" si="76"/>
        <v>1</v>
      </c>
    </row>
    <row r="695" spans="1:23" x14ac:dyDescent="0.2">
      <c r="A695" s="6" t="s">
        <v>17</v>
      </c>
      <c r="B695" s="6">
        <v>2009</v>
      </c>
      <c r="C695" s="6"/>
      <c r="D695" s="6" t="s">
        <v>77</v>
      </c>
      <c r="E695" s="6" t="s">
        <v>2</v>
      </c>
      <c r="F695" s="6">
        <v>1</v>
      </c>
      <c r="G695" s="6">
        <v>5</v>
      </c>
      <c r="H695" s="6">
        <v>5</v>
      </c>
      <c r="I695" s="6"/>
      <c r="J695" s="6"/>
      <c r="K695" s="6"/>
      <c r="L695" s="6" t="str">
        <f t="shared" si="70"/>
        <v>Manuel Plech</v>
      </c>
      <c r="M695" s="6" t="str">
        <f t="shared" si="71"/>
        <v>Avatar (Worthington, Saldana)</v>
      </c>
      <c r="N695" s="9">
        <f t="shared" si="72"/>
        <v>5</v>
      </c>
      <c r="P695" t="str">
        <f t="shared" si="73"/>
        <v>"Manuel Plech";"Avatar";"5"</v>
      </c>
      <c r="U695" t="str">
        <f t="shared" si="74"/>
        <v>Manuel Plech</v>
      </c>
      <c r="V695" t="str">
        <f t="shared" si="75"/>
        <v>Avatar</v>
      </c>
      <c r="W695">
        <f t="shared" si="76"/>
        <v>1</v>
      </c>
    </row>
    <row r="696" spans="1:23" x14ac:dyDescent="0.2">
      <c r="A696" s="6" t="s">
        <v>18</v>
      </c>
      <c r="B696" s="6">
        <v>1989</v>
      </c>
      <c r="C696" s="6"/>
      <c r="D696" s="6" t="s">
        <v>77</v>
      </c>
      <c r="E696" s="6" t="s">
        <v>2</v>
      </c>
      <c r="F696" s="6">
        <v>1</v>
      </c>
      <c r="G696" s="6">
        <v>3</v>
      </c>
      <c r="H696" s="6">
        <v>3</v>
      </c>
      <c r="I696" s="6"/>
      <c r="J696" s="6"/>
      <c r="K696" s="6"/>
      <c r="L696" s="6" t="str">
        <f t="shared" si="70"/>
        <v>Manuel Plech</v>
      </c>
      <c r="M696" s="6" t="str">
        <f t="shared" si="71"/>
        <v>Batman (Keaton, Nicholson, Basinger)</v>
      </c>
      <c r="N696" s="9">
        <f t="shared" si="72"/>
        <v>3</v>
      </c>
      <c r="P696" t="str">
        <f t="shared" si="73"/>
        <v>"Manuel Plech";"Batman";"3"</v>
      </c>
      <c r="U696" t="str">
        <f t="shared" si="74"/>
        <v>Manuel Plech</v>
      </c>
      <c r="V696" t="str">
        <f t="shared" si="75"/>
        <v>Batman</v>
      </c>
      <c r="W696">
        <f t="shared" si="76"/>
        <v>1</v>
      </c>
    </row>
    <row r="697" spans="1:23" x14ac:dyDescent="0.2">
      <c r="A697" s="6" t="s">
        <v>19</v>
      </c>
      <c r="B697" s="6">
        <v>1982</v>
      </c>
      <c r="C697" s="6"/>
      <c r="D697" s="6" t="s">
        <v>77</v>
      </c>
      <c r="E697" s="6" t="s">
        <v>2</v>
      </c>
      <c r="F697" s="6">
        <v>1</v>
      </c>
      <c r="G697" s="6">
        <v>2</v>
      </c>
      <c r="H697" s="6">
        <v>2</v>
      </c>
      <c r="I697" s="6"/>
      <c r="J697" s="6"/>
      <c r="K697" s="6"/>
      <c r="L697" s="6" t="str">
        <f t="shared" si="70"/>
        <v>Manuel Plech</v>
      </c>
      <c r="M697" s="6" t="str">
        <f t="shared" si="71"/>
        <v>Blade Runner (Ford, Hauer)</v>
      </c>
      <c r="N697" s="9">
        <f t="shared" si="72"/>
        <v>2</v>
      </c>
      <c r="P697" t="str">
        <f t="shared" si="73"/>
        <v>"Manuel Plech";"Blade Runner";"2"</v>
      </c>
      <c r="U697" t="str">
        <f t="shared" si="74"/>
        <v>Manuel Plech</v>
      </c>
      <c r="V697" t="str">
        <f t="shared" si="75"/>
        <v>Blade Runner</v>
      </c>
      <c r="W697">
        <f t="shared" si="76"/>
        <v>1</v>
      </c>
    </row>
    <row r="698" spans="1:23" x14ac:dyDescent="0.2">
      <c r="A698" s="6" t="s">
        <v>20</v>
      </c>
      <c r="B698" s="6">
        <v>2018</v>
      </c>
      <c r="C698" s="6"/>
      <c r="D698" s="6" t="s">
        <v>77</v>
      </c>
      <c r="E698" s="6" t="s">
        <v>2</v>
      </c>
      <c r="F698" s="6">
        <v>1</v>
      </c>
      <c r="G698" s="6">
        <v>3</v>
      </c>
      <c r="H698" s="6">
        <v>3</v>
      </c>
      <c r="I698" s="6"/>
      <c r="J698" s="6"/>
      <c r="K698" s="6"/>
      <c r="L698" s="6" t="str">
        <f t="shared" si="70"/>
        <v>Manuel Plech</v>
      </c>
      <c r="M698" s="6" t="str">
        <f t="shared" si="71"/>
        <v>Bohemian Rhapsody (Malek, Boynton)</v>
      </c>
      <c r="N698" s="9">
        <f t="shared" si="72"/>
        <v>3</v>
      </c>
      <c r="P698" t="str">
        <f t="shared" si="73"/>
        <v>"Manuel Plech";"Bohemian Rhapsody";"3"</v>
      </c>
      <c r="U698" t="str">
        <f t="shared" si="74"/>
        <v>Manuel Plech</v>
      </c>
      <c r="V698" t="str">
        <f t="shared" si="75"/>
        <v>Bohemian Rhapsody</v>
      </c>
      <c r="W698">
        <f t="shared" si="76"/>
        <v>1</v>
      </c>
    </row>
    <row r="699" spans="1:23" x14ac:dyDescent="0.2">
      <c r="A699" s="6" t="s">
        <v>21</v>
      </c>
      <c r="B699" s="6">
        <v>2011</v>
      </c>
      <c r="C699" s="6"/>
      <c r="D699" s="6" t="s">
        <v>77</v>
      </c>
      <c r="E699" s="6" t="s">
        <v>2</v>
      </c>
      <c r="F699" s="6">
        <v>1</v>
      </c>
      <c r="G699" s="6">
        <v>5</v>
      </c>
      <c r="H699" s="6">
        <v>5</v>
      </c>
      <c r="I699" s="6"/>
      <c r="J699" s="6"/>
      <c r="K699" s="6"/>
      <c r="L699" s="6" t="str">
        <f t="shared" si="70"/>
        <v>Manuel Plech</v>
      </c>
      <c r="M699" s="6" t="str">
        <f t="shared" si="71"/>
        <v>Captain America (Evans, Waeving)</v>
      </c>
      <c r="N699" s="9">
        <f t="shared" si="72"/>
        <v>5</v>
      </c>
      <c r="P699" t="str">
        <f t="shared" si="73"/>
        <v>"Manuel Plech";"Captain America";"5"</v>
      </c>
      <c r="U699" t="str">
        <f t="shared" si="74"/>
        <v>Manuel Plech</v>
      </c>
      <c r="V699" t="str">
        <f t="shared" si="75"/>
        <v>Captain America</v>
      </c>
      <c r="W699">
        <f t="shared" si="76"/>
        <v>1</v>
      </c>
    </row>
    <row r="700" spans="1:23" x14ac:dyDescent="0.2">
      <c r="A700" s="6" t="s">
        <v>22</v>
      </c>
      <c r="B700" s="6">
        <v>2000</v>
      </c>
      <c r="C700" s="6"/>
      <c r="D700" s="6" t="s">
        <v>77</v>
      </c>
      <c r="E700" s="6" t="s">
        <v>2</v>
      </c>
      <c r="F700" s="6">
        <v>1</v>
      </c>
      <c r="G700" s="6">
        <v>4</v>
      </c>
      <c r="H700" s="6">
        <v>4</v>
      </c>
      <c r="I700" s="6"/>
      <c r="J700" s="6"/>
      <c r="K700" s="6"/>
      <c r="L700" s="6" t="str">
        <f t="shared" si="70"/>
        <v>Manuel Plech</v>
      </c>
      <c r="M700" s="6" t="str">
        <f t="shared" si="71"/>
        <v>Cast Away (Hanks, Hunt)</v>
      </c>
      <c r="N700" s="9">
        <f t="shared" si="72"/>
        <v>4</v>
      </c>
      <c r="P700" t="str">
        <f t="shared" si="73"/>
        <v>"Manuel Plech";"Cast Away";"4"</v>
      </c>
      <c r="U700" t="str">
        <f t="shared" si="74"/>
        <v>Manuel Plech</v>
      </c>
      <c r="V700" t="str">
        <f t="shared" si="75"/>
        <v>Cast Away</v>
      </c>
      <c r="W700">
        <f t="shared" si="76"/>
        <v>1</v>
      </c>
    </row>
    <row r="701" spans="1:23" x14ac:dyDescent="0.2">
      <c r="A701" s="6" t="s">
        <v>23</v>
      </c>
      <c r="B701" s="6">
        <v>1958</v>
      </c>
      <c r="C701" s="6"/>
      <c r="D701" s="6" t="s">
        <v>77</v>
      </c>
      <c r="E701" s="6" t="s">
        <v>3</v>
      </c>
      <c r="F701" s="6">
        <v>0</v>
      </c>
      <c r="G701" s="6"/>
      <c r="H701" s="6">
        <v>0</v>
      </c>
      <c r="I701" s="6"/>
      <c r="J701" s="6"/>
      <c r="K701" s="6"/>
      <c r="L701" s="6" t="str">
        <f t="shared" si="70"/>
        <v>Manuel Plech</v>
      </c>
      <c r="M701" s="6" t="str">
        <f t="shared" si="71"/>
        <v>Cat On Hot Tin Roof (Taylor, Newman)</v>
      </c>
      <c r="N701" s="9">
        <f t="shared" si="72"/>
        <v>0</v>
      </c>
      <c r="P701" t="str">
        <f t="shared" si="73"/>
        <v>"Manuel Plech";"Cat On Hot Tin Roof";"0"</v>
      </c>
      <c r="U701" t="str">
        <f t="shared" si="74"/>
        <v>Manuel Plech</v>
      </c>
      <c r="V701" t="str">
        <f t="shared" si="75"/>
        <v>Cat On Hot Tin Roof</v>
      </c>
      <c r="W701">
        <f t="shared" si="76"/>
        <v>0</v>
      </c>
    </row>
    <row r="702" spans="1:23" x14ac:dyDescent="0.2">
      <c r="A702" s="6" t="s">
        <v>24</v>
      </c>
      <c r="B702" s="6">
        <v>1963</v>
      </c>
      <c r="C702" s="6"/>
      <c r="D702" s="6" t="s">
        <v>77</v>
      </c>
      <c r="E702" s="6" t="s">
        <v>3</v>
      </c>
      <c r="F702" s="6">
        <v>0</v>
      </c>
      <c r="G702" s="6"/>
      <c r="H702" s="6">
        <v>0</v>
      </c>
      <c r="I702" s="6"/>
      <c r="J702" s="6"/>
      <c r="K702" s="6"/>
      <c r="L702" s="6" t="str">
        <f t="shared" si="70"/>
        <v>Manuel Plech</v>
      </c>
      <c r="M702" s="6" t="str">
        <f t="shared" si="71"/>
        <v>Charade (Grant, Hepburn)</v>
      </c>
      <c r="N702" s="9">
        <f t="shared" si="72"/>
        <v>0</v>
      </c>
      <c r="P702" t="str">
        <f t="shared" si="73"/>
        <v>"Manuel Plech";"Charade";"0"</v>
      </c>
      <c r="U702" t="str">
        <f t="shared" si="74"/>
        <v>Manuel Plech</v>
      </c>
      <c r="V702" t="str">
        <f t="shared" si="75"/>
        <v>Charade</v>
      </c>
      <c r="W702">
        <f t="shared" si="76"/>
        <v>0</v>
      </c>
    </row>
    <row r="703" spans="1:23" x14ac:dyDescent="0.2">
      <c r="A703" s="6" t="s">
        <v>25</v>
      </c>
      <c r="B703" s="6">
        <v>2000</v>
      </c>
      <c r="C703" s="6"/>
      <c r="D703" s="6" t="s">
        <v>77</v>
      </c>
      <c r="E703" s="6" t="s">
        <v>2</v>
      </c>
      <c r="F703" s="6">
        <v>1</v>
      </c>
      <c r="G703" s="6">
        <v>4</v>
      </c>
      <c r="H703" s="6">
        <v>4</v>
      </c>
      <c r="I703" s="6"/>
      <c r="J703" s="6"/>
      <c r="K703" s="6"/>
      <c r="L703" s="6" t="str">
        <f t="shared" si="70"/>
        <v>Manuel Plech</v>
      </c>
      <c r="M703" s="6" t="str">
        <f t="shared" si="71"/>
        <v>Charlies Angels (Diaz, Barrymore, Liu)</v>
      </c>
      <c r="N703" s="9">
        <f t="shared" si="72"/>
        <v>4</v>
      </c>
      <c r="P703" t="str">
        <f t="shared" si="73"/>
        <v>"Manuel Plech";"Charlies Angels";"4"</v>
      </c>
      <c r="U703" t="str">
        <f t="shared" si="74"/>
        <v>Manuel Plech</v>
      </c>
      <c r="V703" t="str">
        <f t="shared" si="75"/>
        <v>Charlies Angels</v>
      </c>
      <c r="W703">
        <f t="shared" si="76"/>
        <v>1</v>
      </c>
    </row>
    <row r="704" spans="1:23" x14ac:dyDescent="0.2">
      <c r="A704" s="6" t="s">
        <v>26</v>
      </c>
      <c r="B704" s="6">
        <v>1974</v>
      </c>
      <c r="C704" s="6"/>
      <c r="D704" s="6" t="s">
        <v>77</v>
      </c>
      <c r="E704" s="6" t="s">
        <v>3</v>
      </c>
      <c r="F704" s="6">
        <v>0</v>
      </c>
      <c r="G704" s="6"/>
      <c r="H704" s="6">
        <v>0</v>
      </c>
      <c r="I704" s="6"/>
      <c r="J704" s="6"/>
      <c r="K704" s="6"/>
      <c r="L704" s="6" t="str">
        <f t="shared" si="70"/>
        <v>Manuel Plech</v>
      </c>
      <c r="M704" s="6" t="str">
        <f t="shared" si="71"/>
        <v>Chinatown (Nicholson, Dunaway)</v>
      </c>
      <c r="N704" s="9">
        <f t="shared" si="72"/>
        <v>0</v>
      </c>
      <c r="P704" t="str">
        <f t="shared" si="73"/>
        <v>"Manuel Plech";"Chinatown";"0"</v>
      </c>
      <c r="U704" t="str">
        <f t="shared" si="74"/>
        <v>Manuel Plech</v>
      </c>
      <c r="V704" t="str">
        <f t="shared" si="75"/>
        <v>Chinatown</v>
      </c>
      <c r="W704">
        <f t="shared" si="76"/>
        <v>0</v>
      </c>
    </row>
    <row r="705" spans="1:23" x14ac:dyDescent="0.2">
      <c r="A705" s="6" t="s">
        <v>27</v>
      </c>
      <c r="B705" s="6">
        <v>1986</v>
      </c>
      <c r="C705" s="6"/>
      <c r="D705" s="6" t="s">
        <v>77</v>
      </c>
      <c r="E705" s="6" t="s">
        <v>3</v>
      </c>
      <c r="F705" s="6">
        <v>0</v>
      </c>
      <c r="G705" s="6"/>
      <c r="H705" s="6">
        <v>0</v>
      </c>
      <c r="I705" s="6"/>
      <c r="J705" s="6"/>
      <c r="K705" s="6"/>
      <c r="L705" s="6" t="str">
        <f t="shared" si="70"/>
        <v>Manuel Plech</v>
      </c>
      <c r="M705" s="6" t="str">
        <f t="shared" si="71"/>
        <v>Clockwise (Gleese, Leatherbarrow)</v>
      </c>
      <c r="N705" s="9">
        <f t="shared" si="72"/>
        <v>0</v>
      </c>
      <c r="P705" t="str">
        <f t="shared" si="73"/>
        <v>"Manuel Plech";"Clockwise";"0"</v>
      </c>
      <c r="U705" t="str">
        <f t="shared" si="74"/>
        <v>Manuel Plech</v>
      </c>
      <c r="V705" t="str">
        <f t="shared" si="75"/>
        <v>Clockwise</v>
      </c>
      <c r="W705">
        <f t="shared" si="76"/>
        <v>0</v>
      </c>
    </row>
    <row r="706" spans="1:23" x14ac:dyDescent="0.2">
      <c r="A706" s="6" t="s">
        <v>28</v>
      </c>
      <c r="B706" s="6">
        <v>2011</v>
      </c>
      <c r="C706" s="6"/>
      <c r="D706" s="6" t="s">
        <v>77</v>
      </c>
      <c r="E706" s="6" t="s">
        <v>2</v>
      </c>
      <c r="F706" s="6">
        <v>1</v>
      </c>
      <c r="G706" s="6">
        <v>4</v>
      </c>
      <c r="H706" s="6">
        <v>4</v>
      </c>
      <c r="I706" s="6"/>
      <c r="J706" s="6"/>
      <c r="K706" s="6"/>
      <c r="L706" s="6" t="str">
        <f t="shared" si="70"/>
        <v>Manuel Plech</v>
      </c>
      <c r="M706" s="6" t="str">
        <f t="shared" si="71"/>
        <v>Colombiana (Saldana, Molla)</v>
      </c>
      <c r="N706" s="9">
        <f t="shared" si="72"/>
        <v>4</v>
      </c>
      <c r="P706" t="str">
        <f t="shared" si="73"/>
        <v>"Manuel Plech";"Colombiana";"4"</v>
      </c>
      <c r="U706" t="str">
        <f t="shared" si="74"/>
        <v>Manuel Plech</v>
      </c>
      <c r="V706" t="str">
        <f t="shared" si="75"/>
        <v>Colombiana</v>
      </c>
      <c r="W706">
        <f t="shared" si="76"/>
        <v>1</v>
      </c>
    </row>
    <row r="707" spans="1:23" x14ac:dyDescent="0.2">
      <c r="A707" s="6" t="s">
        <v>29</v>
      </c>
      <c r="B707" s="6">
        <v>1962</v>
      </c>
      <c r="C707" s="6"/>
      <c r="D707" s="6" t="s">
        <v>77</v>
      </c>
      <c r="E707" s="6" t="s">
        <v>2</v>
      </c>
      <c r="F707" s="6">
        <v>1</v>
      </c>
      <c r="G707" s="6">
        <v>4</v>
      </c>
      <c r="H707" s="6">
        <v>4</v>
      </c>
      <c r="I707" s="6"/>
      <c r="J707" s="6"/>
      <c r="K707" s="6"/>
      <c r="L707" s="6" t="str">
        <f t="shared" ref="L707:L770" si="77">D707</f>
        <v>Manuel Plech</v>
      </c>
      <c r="M707" s="6" t="str">
        <f t="shared" ref="M707:M770" si="78">A707</f>
        <v>Doctor No (Connery, Andress)</v>
      </c>
      <c r="N707" s="9">
        <f t="shared" ref="N707:N770" si="79">H707</f>
        <v>4</v>
      </c>
      <c r="P707" t="str">
        <f t="shared" ref="P707:P770" si="80">""""&amp;L707&amp;""";"""&amp;LEFT(M707,FIND("(",M707)-2)&amp;""";"""&amp;SUBSTITUTE(N707,",",".")&amp;""""</f>
        <v>"Manuel Plech";"Doctor No";"4"</v>
      </c>
      <c r="U707" t="str">
        <f t="shared" ref="U707:U770" si="81">D707</f>
        <v>Manuel Plech</v>
      </c>
      <c r="V707" t="str">
        <f t="shared" ref="V707:V770" si="82">LEFT(A707,FIND("(",A707)-2)</f>
        <v>Doctor No</v>
      </c>
      <c r="W707">
        <f t="shared" ref="W707:W770" si="83">F707</f>
        <v>1</v>
      </c>
    </row>
    <row r="708" spans="1:23" x14ac:dyDescent="0.2">
      <c r="A708" s="6" t="s">
        <v>30</v>
      </c>
      <c r="B708" s="6">
        <v>1965</v>
      </c>
      <c r="C708" s="6"/>
      <c r="D708" s="6" t="s">
        <v>77</v>
      </c>
      <c r="E708" s="6" t="s">
        <v>3</v>
      </c>
      <c r="F708" s="6">
        <v>0</v>
      </c>
      <c r="G708" s="6"/>
      <c r="H708" s="6">
        <v>0</v>
      </c>
      <c r="I708" s="6"/>
      <c r="J708" s="6"/>
      <c r="K708" s="6"/>
      <c r="L708" s="6" t="str">
        <f t="shared" si="77"/>
        <v>Manuel Plech</v>
      </c>
      <c r="M708" s="6" t="str">
        <f t="shared" si="78"/>
        <v>Doctor Zhiwago (Sharif, Christie)</v>
      </c>
      <c r="N708" s="9">
        <f t="shared" si="79"/>
        <v>0</v>
      </c>
      <c r="P708" t="str">
        <f t="shared" si="80"/>
        <v>"Manuel Plech";"Doctor Zhiwago";"0"</v>
      </c>
      <c r="U708" t="str">
        <f t="shared" si="81"/>
        <v>Manuel Plech</v>
      </c>
      <c r="V708" t="str">
        <f t="shared" si="82"/>
        <v>Doctor Zhiwago</v>
      </c>
      <c r="W708">
        <f t="shared" si="83"/>
        <v>0</v>
      </c>
    </row>
    <row r="709" spans="1:23" x14ac:dyDescent="0.2">
      <c r="A709" s="6" t="s">
        <v>31</v>
      </c>
      <c r="B709" s="6">
        <v>1964</v>
      </c>
      <c r="C709" s="6"/>
      <c r="D709" s="6" t="s">
        <v>77</v>
      </c>
      <c r="E709" s="6" t="s">
        <v>3</v>
      </c>
      <c r="F709" s="6">
        <v>0</v>
      </c>
      <c r="G709" s="6"/>
      <c r="H709" s="6">
        <v>0</v>
      </c>
      <c r="I709" s="6"/>
      <c r="J709" s="6"/>
      <c r="K709" s="6"/>
      <c r="L709" s="6" t="str">
        <f t="shared" si="77"/>
        <v>Manuel Plech</v>
      </c>
      <c r="M709" s="6" t="str">
        <f t="shared" si="78"/>
        <v>Dr. Strangelove… (Sellers, Scott)</v>
      </c>
      <c r="N709" s="9">
        <f t="shared" si="79"/>
        <v>0</v>
      </c>
      <c r="P709" t="str">
        <f t="shared" si="80"/>
        <v>"Manuel Plech";"Dr. Strangelove…";"0"</v>
      </c>
      <c r="U709" t="str">
        <f t="shared" si="81"/>
        <v>Manuel Plech</v>
      </c>
      <c r="V709" t="str">
        <f t="shared" si="82"/>
        <v>Dr. Strangelove…</v>
      </c>
      <c r="W709">
        <f t="shared" si="83"/>
        <v>0</v>
      </c>
    </row>
    <row r="710" spans="1:23" x14ac:dyDescent="0.2">
      <c r="A710" s="6" t="s">
        <v>32</v>
      </c>
      <c r="B710" s="6">
        <v>2000</v>
      </c>
      <c r="C710" s="6"/>
      <c r="D710" s="6" t="s">
        <v>77</v>
      </c>
      <c r="E710" s="6" t="s">
        <v>2</v>
      </c>
      <c r="F710" s="6">
        <v>1</v>
      </c>
      <c r="G710" s="6">
        <v>3</v>
      </c>
      <c r="H710" s="6">
        <v>3</v>
      </c>
      <c r="I710" s="6"/>
      <c r="J710" s="6"/>
      <c r="K710" s="6"/>
      <c r="L710" s="6" t="str">
        <f t="shared" si="77"/>
        <v>Manuel Plech</v>
      </c>
      <c r="M710" s="6" t="str">
        <f t="shared" si="78"/>
        <v>Dr. T and the women (Gere, Hunt)</v>
      </c>
      <c r="N710" s="9">
        <f t="shared" si="79"/>
        <v>3</v>
      </c>
      <c r="P710" t="str">
        <f t="shared" si="80"/>
        <v>"Manuel Plech";"Dr. T and the women";"3"</v>
      </c>
      <c r="U710" t="str">
        <f t="shared" si="81"/>
        <v>Manuel Plech</v>
      </c>
      <c r="V710" t="str">
        <f t="shared" si="82"/>
        <v>Dr. T and the women</v>
      </c>
      <c r="W710">
        <f t="shared" si="83"/>
        <v>1</v>
      </c>
    </row>
    <row r="711" spans="1:23" x14ac:dyDescent="0.2">
      <c r="A711" s="6" t="s">
        <v>33</v>
      </c>
      <c r="B711" s="6">
        <v>1953</v>
      </c>
      <c r="C711" s="6"/>
      <c r="D711" s="6" t="s">
        <v>77</v>
      </c>
      <c r="E711" s="6" t="s">
        <v>3</v>
      </c>
      <c r="F711" s="6">
        <v>0</v>
      </c>
      <c r="G711" s="6"/>
      <c r="H711" s="6">
        <v>0</v>
      </c>
      <c r="I711" s="6"/>
      <c r="J711" s="6"/>
      <c r="K711" s="6"/>
      <c r="L711" s="6" t="str">
        <f t="shared" si="77"/>
        <v>Manuel Plech</v>
      </c>
      <c r="M711" s="6" t="str">
        <f t="shared" si="78"/>
        <v>Gentlemen Prefer Blondes (Monroe, Russell)</v>
      </c>
      <c r="N711" s="9">
        <f t="shared" si="79"/>
        <v>0</v>
      </c>
      <c r="P711" t="str">
        <f t="shared" si="80"/>
        <v>"Manuel Plech";"Gentlemen Prefer Blondes";"0"</v>
      </c>
      <c r="U711" t="str">
        <f t="shared" si="81"/>
        <v>Manuel Plech</v>
      </c>
      <c r="V711" t="str">
        <f t="shared" si="82"/>
        <v>Gentlemen Prefer Blondes</v>
      </c>
      <c r="W711">
        <f t="shared" si="83"/>
        <v>0</v>
      </c>
    </row>
    <row r="712" spans="1:23" x14ac:dyDescent="0.2">
      <c r="A712" s="6" t="s">
        <v>34</v>
      </c>
      <c r="B712" s="6">
        <v>2014</v>
      </c>
      <c r="C712" s="6"/>
      <c r="D712" s="6" t="s">
        <v>77</v>
      </c>
      <c r="E712" s="6" t="s">
        <v>2</v>
      </c>
      <c r="F712" s="6">
        <v>1</v>
      </c>
      <c r="G712" s="6">
        <v>5</v>
      </c>
      <c r="H712" s="6">
        <v>5</v>
      </c>
      <c r="I712" s="6"/>
      <c r="J712" s="6"/>
      <c r="K712" s="6"/>
      <c r="L712" s="6" t="str">
        <f t="shared" si="77"/>
        <v>Manuel Plech</v>
      </c>
      <c r="M712" s="6" t="str">
        <f t="shared" si="78"/>
        <v>Grand Budapest Hotel (Fiennes, Abraham)</v>
      </c>
      <c r="N712" s="9">
        <f t="shared" si="79"/>
        <v>5</v>
      </c>
      <c r="P712" t="str">
        <f t="shared" si="80"/>
        <v>"Manuel Plech";"Grand Budapest Hotel";"5"</v>
      </c>
      <c r="U712" t="str">
        <f t="shared" si="81"/>
        <v>Manuel Plech</v>
      </c>
      <c r="V712" t="str">
        <f t="shared" si="82"/>
        <v>Grand Budapest Hotel</v>
      </c>
      <c r="W712">
        <f t="shared" si="83"/>
        <v>1</v>
      </c>
    </row>
    <row r="713" spans="1:23" x14ac:dyDescent="0.2">
      <c r="A713" s="6" t="s">
        <v>35</v>
      </c>
      <c r="B713" s="6">
        <v>2001</v>
      </c>
      <c r="C713" s="6"/>
      <c r="D713" s="6" t="s">
        <v>77</v>
      </c>
      <c r="E713" s="6" t="s">
        <v>2</v>
      </c>
      <c r="F713" s="6">
        <v>1</v>
      </c>
      <c r="G713" s="6">
        <v>5</v>
      </c>
      <c r="H713" s="6">
        <v>5</v>
      </c>
      <c r="I713" s="6"/>
      <c r="J713" s="6"/>
      <c r="K713" s="6"/>
      <c r="L713" s="6" t="str">
        <f t="shared" si="77"/>
        <v>Manuel Plech</v>
      </c>
      <c r="M713" s="6" t="str">
        <f t="shared" si="78"/>
        <v>Harry Potter and the Philosopher's Stone (Radcliff, Harris)</v>
      </c>
      <c r="N713" s="9">
        <f t="shared" si="79"/>
        <v>5</v>
      </c>
      <c r="P713" t="str">
        <f t="shared" si="80"/>
        <v>"Manuel Plech";"Harry Potter and the Philosopher's Stone";"5"</v>
      </c>
      <c r="U713" t="str">
        <f t="shared" si="81"/>
        <v>Manuel Plech</v>
      </c>
      <c r="V713" t="str">
        <f t="shared" si="82"/>
        <v>Harry Potter and the Philosopher's Stone</v>
      </c>
      <c r="W713">
        <f t="shared" si="83"/>
        <v>1</v>
      </c>
    </row>
    <row r="714" spans="1:23" x14ac:dyDescent="0.2">
      <c r="A714" s="6" t="s">
        <v>36</v>
      </c>
      <c r="B714" s="6">
        <v>1950</v>
      </c>
      <c r="C714" s="6"/>
      <c r="D714" s="6" t="s">
        <v>77</v>
      </c>
      <c r="E714" s="6" t="s">
        <v>3</v>
      </c>
      <c r="F714" s="6">
        <v>0</v>
      </c>
      <c r="G714" s="6"/>
      <c r="H714" s="6">
        <v>0</v>
      </c>
      <c r="I714" s="6"/>
      <c r="J714" s="6"/>
      <c r="K714" s="6"/>
      <c r="L714" s="6" t="str">
        <f t="shared" si="77"/>
        <v>Manuel Plech</v>
      </c>
      <c r="M714" s="6" t="str">
        <f t="shared" si="78"/>
        <v>Harvey (Stewart, Hull)</v>
      </c>
      <c r="N714" s="9">
        <f t="shared" si="79"/>
        <v>0</v>
      </c>
      <c r="P714" t="str">
        <f t="shared" si="80"/>
        <v>"Manuel Plech";"Harvey";"0"</v>
      </c>
      <c r="U714" t="str">
        <f t="shared" si="81"/>
        <v>Manuel Plech</v>
      </c>
      <c r="V714" t="str">
        <f t="shared" si="82"/>
        <v>Harvey</v>
      </c>
      <c r="W714">
        <f t="shared" si="83"/>
        <v>0</v>
      </c>
    </row>
    <row r="715" spans="1:23" x14ac:dyDescent="0.2">
      <c r="A715" s="6" t="s">
        <v>37</v>
      </c>
      <c r="B715" s="6">
        <v>1962</v>
      </c>
      <c r="C715" s="6"/>
      <c r="D715" s="6" t="s">
        <v>77</v>
      </c>
      <c r="E715" s="6" t="s">
        <v>3</v>
      </c>
      <c r="F715" s="6">
        <v>0</v>
      </c>
      <c r="G715" s="6"/>
      <c r="H715" s="6">
        <v>0</v>
      </c>
      <c r="I715" s="6"/>
      <c r="J715" s="6"/>
      <c r="K715" s="6"/>
      <c r="L715" s="6" t="str">
        <f t="shared" si="77"/>
        <v>Manuel Plech</v>
      </c>
      <c r="M715" s="6" t="str">
        <f t="shared" si="78"/>
        <v>Hatari! (Wayne, Martinelli)</v>
      </c>
      <c r="N715" s="9">
        <f t="shared" si="79"/>
        <v>0</v>
      </c>
      <c r="P715" t="str">
        <f t="shared" si="80"/>
        <v>"Manuel Plech";"Hatari!";"0"</v>
      </c>
      <c r="U715" t="str">
        <f t="shared" si="81"/>
        <v>Manuel Plech</v>
      </c>
      <c r="V715" t="str">
        <f t="shared" si="82"/>
        <v>Hatari!</v>
      </c>
      <c r="W715">
        <f t="shared" si="83"/>
        <v>0</v>
      </c>
    </row>
    <row r="716" spans="1:23" x14ac:dyDescent="0.2">
      <c r="A716" s="6" t="s">
        <v>38</v>
      </c>
      <c r="B716" s="6">
        <v>1990</v>
      </c>
      <c r="C716" s="6"/>
      <c r="D716" s="6" t="s">
        <v>77</v>
      </c>
      <c r="E716" s="6" t="s">
        <v>2</v>
      </c>
      <c r="F716" s="6">
        <v>1</v>
      </c>
      <c r="G716" s="6">
        <v>4</v>
      </c>
      <c r="H716" s="6">
        <v>4</v>
      </c>
      <c r="I716" s="6"/>
      <c r="J716" s="6"/>
      <c r="K716" s="6"/>
      <c r="L716" s="6" t="str">
        <f t="shared" si="77"/>
        <v>Manuel Plech</v>
      </c>
      <c r="M716" s="6" t="str">
        <f t="shared" si="78"/>
        <v>Home alone (Culkin, Pesci)</v>
      </c>
      <c r="N716" s="9">
        <f t="shared" si="79"/>
        <v>4</v>
      </c>
      <c r="P716" t="str">
        <f t="shared" si="80"/>
        <v>"Manuel Plech";"Home alone";"4"</v>
      </c>
      <c r="U716" t="str">
        <f t="shared" si="81"/>
        <v>Manuel Plech</v>
      </c>
      <c r="V716" t="str">
        <f t="shared" si="82"/>
        <v>Home alone</v>
      </c>
      <c r="W716">
        <f t="shared" si="83"/>
        <v>1</v>
      </c>
    </row>
    <row r="717" spans="1:23" x14ac:dyDescent="0.2">
      <c r="A717" s="6" t="s">
        <v>39</v>
      </c>
      <c r="B717" s="6">
        <v>2004</v>
      </c>
      <c r="C717" s="6"/>
      <c r="D717" s="6" t="s">
        <v>77</v>
      </c>
      <c r="E717" s="6" t="s">
        <v>2</v>
      </c>
      <c r="F717" s="6">
        <v>1</v>
      </c>
      <c r="G717" s="6">
        <v>5</v>
      </c>
      <c r="H717" s="6">
        <v>5</v>
      </c>
      <c r="I717" s="6"/>
      <c r="J717" s="6"/>
      <c r="K717" s="6"/>
      <c r="L717" s="6" t="str">
        <f t="shared" si="77"/>
        <v>Manuel Plech</v>
      </c>
      <c r="M717" s="6" t="str">
        <f t="shared" si="78"/>
        <v>I, Robot (Smith, Moynahan)</v>
      </c>
      <c r="N717" s="9">
        <f t="shared" si="79"/>
        <v>5</v>
      </c>
      <c r="P717" t="str">
        <f t="shared" si="80"/>
        <v>"Manuel Plech";"I, Robot";"5"</v>
      </c>
      <c r="U717" t="str">
        <f t="shared" si="81"/>
        <v>Manuel Plech</v>
      </c>
      <c r="V717" t="str">
        <f t="shared" si="82"/>
        <v>I, Robot</v>
      </c>
      <c r="W717">
        <f t="shared" si="83"/>
        <v>1</v>
      </c>
    </row>
    <row r="718" spans="1:23" x14ac:dyDescent="0.2">
      <c r="A718" s="6" t="s">
        <v>40</v>
      </c>
      <c r="B718" s="6">
        <v>1967</v>
      </c>
      <c r="C718" s="6"/>
      <c r="D718" s="6" t="s">
        <v>77</v>
      </c>
      <c r="E718" s="6" t="s">
        <v>3</v>
      </c>
      <c r="F718" s="6">
        <v>0</v>
      </c>
      <c r="G718" s="6"/>
      <c r="H718" s="6">
        <v>0</v>
      </c>
      <c r="I718" s="6"/>
      <c r="J718" s="6"/>
      <c r="K718" s="6"/>
      <c r="L718" s="6" t="str">
        <f t="shared" si="77"/>
        <v>Manuel Plech</v>
      </c>
      <c r="M718" s="6" t="str">
        <f t="shared" si="78"/>
        <v>In The Heat Of The Night (Poitier, Steiger)</v>
      </c>
      <c r="N718" s="9">
        <f t="shared" si="79"/>
        <v>0</v>
      </c>
      <c r="P718" t="str">
        <f t="shared" si="80"/>
        <v>"Manuel Plech";"In The Heat Of The Night";"0"</v>
      </c>
      <c r="U718" t="str">
        <f t="shared" si="81"/>
        <v>Manuel Plech</v>
      </c>
      <c r="V718" t="str">
        <f t="shared" si="82"/>
        <v>In The Heat Of The Night</v>
      </c>
      <c r="W718">
        <f t="shared" si="83"/>
        <v>0</v>
      </c>
    </row>
    <row r="719" spans="1:23" x14ac:dyDescent="0.2">
      <c r="A719" s="6" t="s">
        <v>41</v>
      </c>
      <c r="B719" s="6">
        <v>2014</v>
      </c>
      <c r="C719" s="6"/>
      <c r="D719" s="6" t="s">
        <v>77</v>
      </c>
      <c r="E719" s="6" t="s">
        <v>2</v>
      </c>
      <c r="F719" s="6">
        <v>1</v>
      </c>
      <c r="G719" s="6">
        <v>4</v>
      </c>
      <c r="H719" s="6">
        <v>4</v>
      </c>
      <c r="I719" s="6"/>
      <c r="J719" s="6"/>
      <c r="K719" s="6"/>
      <c r="L719" s="6" t="str">
        <f t="shared" si="77"/>
        <v>Manuel Plech</v>
      </c>
      <c r="M719" s="6" t="str">
        <f t="shared" si="78"/>
        <v>Jack Ryan: Shadow Recruite (Pine, Costner)</v>
      </c>
      <c r="N719" s="9">
        <f t="shared" si="79"/>
        <v>4</v>
      </c>
      <c r="P719" t="str">
        <f t="shared" si="80"/>
        <v>"Manuel Plech";"Jack Ryan: Shadow Recruite";"4"</v>
      </c>
      <c r="U719" t="str">
        <f t="shared" si="81"/>
        <v>Manuel Plech</v>
      </c>
      <c r="V719" t="str">
        <f t="shared" si="82"/>
        <v>Jack Ryan: Shadow Recruite</v>
      </c>
      <c r="W719">
        <f t="shared" si="83"/>
        <v>1</v>
      </c>
    </row>
    <row r="720" spans="1:23" x14ac:dyDescent="0.2">
      <c r="A720" s="6" t="s">
        <v>42</v>
      </c>
      <c r="B720" s="6">
        <v>1995</v>
      </c>
      <c r="C720" s="6"/>
      <c r="D720" s="6" t="s">
        <v>77</v>
      </c>
      <c r="E720" s="6" t="s">
        <v>2</v>
      </c>
      <c r="F720" s="6">
        <v>1</v>
      </c>
      <c r="G720" s="6">
        <v>5</v>
      </c>
      <c r="H720" s="6">
        <v>5</v>
      </c>
      <c r="I720" s="6"/>
      <c r="J720" s="6"/>
      <c r="K720" s="6"/>
      <c r="L720" s="6" t="str">
        <f t="shared" si="77"/>
        <v>Manuel Plech</v>
      </c>
      <c r="M720" s="6" t="str">
        <f t="shared" si="78"/>
        <v>Jumanji (Williams, Dunst)</v>
      </c>
      <c r="N720" s="9">
        <f t="shared" si="79"/>
        <v>5</v>
      </c>
      <c r="P720" t="str">
        <f t="shared" si="80"/>
        <v>"Manuel Plech";"Jumanji";"5"</v>
      </c>
      <c r="U720" t="str">
        <f t="shared" si="81"/>
        <v>Manuel Plech</v>
      </c>
      <c r="V720" t="str">
        <f t="shared" si="82"/>
        <v>Jumanji</v>
      </c>
      <c r="W720">
        <f t="shared" si="83"/>
        <v>1</v>
      </c>
    </row>
    <row r="721" spans="1:23" x14ac:dyDescent="0.2">
      <c r="A721" s="6" t="s">
        <v>43</v>
      </c>
      <c r="B721" s="6">
        <v>2005</v>
      </c>
      <c r="C721" s="6"/>
      <c r="D721" s="6" t="s">
        <v>77</v>
      </c>
      <c r="E721" s="6" t="s">
        <v>2</v>
      </c>
      <c r="F721" s="6">
        <v>1</v>
      </c>
      <c r="G721" s="6">
        <v>4</v>
      </c>
      <c r="H721" s="6">
        <v>4</v>
      </c>
      <c r="I721" s="6"/>
      <c r="J721" s="6"/>
      <c r="K721" s="6"/>
      <c r="L721" s="6" t="str">
        <f t="shared" si="77"/>
        <v>Manuel Plech</v>
      </c>
      <c r="M721" s="6" t="str">
        <f t="shared" si="78"/>
        <v>King Kong (Watts, Black)</v>
      </c>
      <c r="N721" s="9">
        <f t="shared" si="79"/>
        <v>4</v>
      </c>
      <c r="P721" t="str">
        <f t="shared" si="80"/>
        <v>"Manuel Plech";"King Kong";"4"</v>
      </c>
      <c r="U721" t="str">
        <f t="shared" si="81"/>
        <v>Manuel Plech</v>
      </c>
      <c r="V721" t="str">
        <f t="shared" si="82"/>
        <v>King Kong</v>
      </c>
      <c r="W721">
        <f t="shared" si="83"/>
        <v>1</v>
      </c>
    </row>
    <row r="722" spans="1:23" x14ac:dyDescent="0.2">
      <c r="A722" s="6" t="s">
        <v>44</v>
      </c>
      <c r="B722" s="6">
        <v>2016</v>
      </c>
      <c r="C722" s="6"/>
      <c r="D722" s="6" t="s">
        <v>77</v>
      </c>
      <c r="E722" s="6" t="s">
        <v>2</v>
      </c>
      <c r="F722" s="6">
        <v>1</v>
      </c>
      <c r="G722" s="6">
        <v>2</v>
      </c>
      <c r="H722" s="6">
        <v>2</v>
      </c>
      <c r="I722" s="6"/>
      <c r="J722" s="6"/>
      <c r="K722" s="6"/>
      <c r="L722" s="6" t="str">
        <f t="shared" si="77"/>
        <v>Manuel Plech</v>
      </c>
      <c r="M722" s="6" t="str">
        <f t="shared" si="78"/>
        <v>La La Land (Gosling, Stone)</v>
      </c>
      <c r="N722" s="9">
        <f t="shared" si="79"/>
        <v>2</v>
      </c>
      <c r="P722" t="str">
        <f t="shared" si="80"/>
        <v>"Manuel Plech";"La La Land";"2"</v>
      </c>
      <c r="U722" t="str">
        <f t="shared" si="81"/>
        <v>Manuel Plech</v>
      </c>
      <c r="V722" t="str">
        <f t="shared" si="82"/>
        <v>La La Land</v>
      </c>
      <c r="W722">
        <f t="shared" si="83"/>
        <v>1</v>
      </c>
    </row>
    <row r="723" spans="1:23" x14ac:dyDescent="0.2">
      <c r="A723" s="6" t="s">
        <v>45</v>
      </c>
      <c r="B723" s="6">
        <v>2001</v>
      </c>
      <c r="C723" s="6"/>
      <c r="D723" s="6" t="s">
        <v>77</v>
      </c>
      <c r="E723" s="6" t="s">
        <v>2</v>
      </c>
      <c r="F723" s="6">
        <v>1</v>
      </c>
      <c r="G723" s="6">
        <v>5</v>
      </c>
      <c r="H723" s="6">
        <v>5</v>
      </c>
      <c r="I723" s="6"/>
      <c r="J723" s="6"/>
      <c r="K723" s="6"/>
      <c r="L723" s="6" t="str">
        <f t="shared" si="77"/>
        <v>Manuel Plech</v>
      </c>
      <c r="M723" s="6" t="str">
        <f t="shared" si="78"/>
        <v>Lord of the Rings (Woods, McKellen)</v>
      </c>
      <c r="N723" s="9">
        <f t="shared" si="79"/>
        <v>5</v>
      </c>
      <c r="P723" t="str">
        <f t="shared" si="80"/>
        <v>"Manuel Plech";"Lord of the Rings";"5"</v>
      </c>
      <c r="U723" t="str">
        <f t="shared" si="81"/>
        <v>Manuel Plech</v>
      </c>
      <c r="V723" t="str">
        <f t="shared" si="82"/>
        <v>Lord of the Rings</v>
      </c>
      <c r="W723">
        <f t="shared" si="83"/>
        <v>1</v>
      </c>
    </row>
    <row r="724" spans="1:23" x14ac:dyDescent="0.2">
      <c r="A724" s="6" t="s">
        <v>46</v>
      </c>
      <c r="B724" s="6">
        <v>1964</v>
      </c>
      <c r="C724" s="6"/>
      <c r="D724" s="6" t="s">
        <v>77</v>
      </c>
      <c r="E724" s="6" t="s">
        <v>3</v>
      </c>
      <c r="F724" s="6">
        <v>0</v>
      </c>
      <c r="G724" s="6"/>
      <c r="H724" s="6">
        <v>0</v>
      </c>
      <c r="I724" s="6"/>
      <c r="J724" s="6"/>
      <c r="K724" s="6"/>
      <c r="L724" s="6" t="str">
        <f t="shared" si="77"/>
        <v>Manuel Plech</v>
      </c>
      <c r="M724" s="6" t="str">
        <f t="shared" si="78"/>
        <v>Per Un Pugno Di Dollari (Eastwood, Koch)</v>
      </c>
      <c r="N724" s="9">
        <f t="shared" si="79"/>
        <v>0</v>
      </c>
      <c r="P724" t="str">
        <f t="shared" si="80"/>
        <v>"Manuel Plech";"Per Un Pugno Di Dollari";"0"</v>
      </c>
      <c r="U724" t="str">
        <f t="shared" si="81"/>
        <v>Manuel Plech</v>
      </c>
      <c r="V724" t="str">
        <f t="shared" si="82"/>
        <v>Per Un Pugno Di Dollari</v>
      </c>
      <c r="W724">
        <f t="shared" si="83"/>
        <v>0</v>
      </c>
    </row>
    <row r="725" spans="1:23" x14ac:dyDescent="0.2">
      <c r="A725" s="6" t="s">
        <v>47</v>
      </c>
      <c r="B725" s="6">
        <v>1954</v>
      </c>
      <c r="C725" s="6"/>
      <c r="D725" s="6" t="s">
        <v>77</v>
      </c>
      <c r="E725" s="6" t="s">
        <v>3</v>
      </c>
      <c r="F725" s="6">
        <v>0</v>
      </c>
      <c r="G725" s="6"/>
      <c r="H725" s="6">
        <v>0</v>
      </c>
      <c r="I725" s="6"/>
      <c r="J725" s="6"/>
      <c r="K725" s="6"/>
      <c r="L725" s="6" t="str">
        <f t="shared" si="77"/>
        <v>Manuel Plech</v>
      </c>
      <c r="M725" s="6" t="str">
        <f t="shared" si="78"/>
        <v>Rear Window (Stewart, Kelly)</v>
      </c>
      <c r="N725" s="9">
        <f t="shared" si="79"/>
        <v>0</v>
      </c>
      <c r="P725" t="str">
        <f t="shared" si="80"/>
        <v>"Manuel Plech";"Rear Window";"0"</v>
      </c>
      <c r="U725" t="str">
        <f t="shared" si="81"/>
        <v>Manuel Plech</v>
      </c>
      <c r="V725" t="str">
        <f t="shared" si="82"/>
        <v>Rear Window</v>
      </c>
      <c r="W725">
        <f t="shared" si="83"/>
        <v>0</v>
      </c>
    </row>
    <row r="726" spans="1:23" x14ac:dyDescent="0.2">
      <c r="A726" s="6" t="s">
        <v>48</v>
      </c>
      <c r="B726" s="6">
        <v>1955</v>
      </c>
      <c r="C726" s="6"/>
      <c r="D726" s="6" t="s">
        <v>77</v>
      </c>
      <c r="E726" s="6" t="s">
        <v>3</v>
      </c>
      <c r="F726" s="6">
        <v>0</v>
      </c>
      <c r="G726" s="6"/>
      <c r="H726" s="6">
        <v>0</v>
      </c>
      <c r="I726" s="6"/>
      <c r="J726" s="6"/>
      <c r="K726" s="6"/>
      <c r="L726" s="6" t="str">
        <f t="shared" si="77"/>
        <v>Manuel Plech</v>
      </c>
      <c r="M726" s="6" t="str">
        <f t="shared" si="78"/>
        <v>Rebel Without A Cause (Dean, Wood)</v>
      </c>
      <c r="N726" s="9">
        <f t="shared" si="79"/>
        <v>0</v>
      </c>
      <c r="P726" t="str">
        <f t="shared" si="80"/>
        <v>"Manuel Plech";"Rebel Without A Cause";"0"</v>
      </c>
      <c r="U726" t="str">
        <f t="shared" si="81"/>
        <v>Manuel Plech</v>
      </c>
      <c r="V726" t="str">
        <f t="shared" si="82"/>
        <v>Rebel Without A Cause</v>
      </c>
      <c r="W726">
        <f t="shared" si="83"/>
        <v>0</v>
      </c>
    </row>
    <row r="727" spans="1:23" x14ac:dyDescent="0.2">
      <c r="A727" s="6" t="s">
        <v>66</v>
      </c>
      <c r="B727" s="6">
        <v>2005</v>
      </c>
      <c r="C727" s="6"/>
      <c r="D727" s="6" t="s">
        <v>77</v>
      </c>
      <c r="E727" s="6" t="s">
        <v>2</v>
      </c>
      <c r="F727" s="6">
        <v>1</v>
      </c>
      <c r="G727" s="6">
        <v>1</v>
      </c>
      <c r="H727" s="6">
        <v>1</v>
      </c>
      <c r="I727" s="6"/>
      <c r="J727" s="6"/>
      <c r="K727" s="6"/>
      <c r="L727" s="6" t="str">
        <f t="shared" si="77"/>
        <v>Manuel Plech</v>
      </c>
      <c r="M727" s="6" t="str">
        <f t="shared" si="78"/>
        <v>Rumor has it (Aniston, Costner)</v>
      </c>
      <c r="N727" s="9">
        <f t="shared" si="79"/>
        <v>1</v>
      </c>
      <c r="P727" t="str">
        <f t="shared" si="80"/>
        <v>"Manuel Plech";"Rumor has it";"1"</v>
      </c>
      <c r="U727" t="str">
        <f t="shared" si="81"/>
        <v>Manuel Plech</v>
      </c>
      <c r="V727" t="str">
        <f t="shared" si="82"/>
        <v>Rumor has it</v>
      </c>
      <c r="W727">
        <f t="shared" si="83"/>
        <v>1</v>
      </c>
    </row>
    <row r="728" spans="1:23" x14ac:dyDescent="0.2">
      <c r="A728" s="6" t="s">
        <v>49</v>
      </c>
      <c r="B728" s="6">
        <v>1998</v>
      </c>
      <c r="C728" s="6"/>
      <c r="D728" s="6" t="s">
        <v>77</v>
      </c>
      <c r="E728" s="6" t="s">
        <v>2</v>
      </c>
      <c r="F728" s="6">
        <v>1</v>
      </c>
      <c r="G728" s="6">
        <v>1</v>
      </c>
      <c r="H728" s="6">
        <v>1</v>
      </c>
      <c r="I728" s="6"/>
      <c r="J728" s="6"/>
      <c r="K728" s="6"/>
      <c r="L728" s="6" t="str">
        <f t="shared" si="77"/>
        <v>Manuel Plech</v>
      </c>
      <c r="M728" s="6" t="str">
        <f t="shared" si="78"/>
        <v>Saving private Ryan (Hanks, Damon)</v>
      </c>
      <c r="N728" s="9">
        <f t="shared" si="79"/>
        <v>1</v>
      </c>
      <c r="P728" t="str">
        <f t="shared" si="80"/>
        <v>"Manuel Plech";"Saving private Ryan";"1"</v>
      </c>
      <c r="U728" t="str">
        <f t="shared" si="81"/>
        <v>Manuel Plech</v>
      </c>
      <c r="V728" t="str">
        <f t="shared" si="82"/>
        <v>Saving private Ryan</v>
      </c>
      <c r="W728">
        <f t="shared" si="83"/>
        <v>1</v>
      </c>
    </row>
    <row r="729" spans="1:23" x14ac:dyDescent="0.2">
      <c r="A729" s="6" t="s">
        <v>50</v>
      </c>
      <c r="B729" s="6">
        <v>1993</v>
      </c>
      <c r="C729" s="6"/>
      <c r="D729" s="6" t="s">
        <v>77</v>
      </c>
      <c r="E729" s="6" t="s">
        <v>2</v>
      </c>
      <c r="F729" s="6">
        <v>1</v>
      </c>
      <c r="G729" s="6">
        <v>4</v>
      </c>
      <c r="H729" s="6">
        <v>4</v>
      </c>
      <c r="I729" s="6"/>
      <c r="J729" s="6"/>
      <c r="K729" s="6"/>
      <c r="L729" s="6" t="str">
        <f t="shared" si="77"/>
        <v>Manuel Plech</v>
      </c>
      <c r="M729" s="6" t="str">
        <f t="shared" si="78"/>
        <v>Schindlers List (Neeson, Fiennes)</v>
      </c>
      <c r="N729" s="9">
        <f t="shared" si="79"/>
        <v>4</v>
      </c>
      <c r="P729" t="str">
        <f t="shared" si="80"/>
        <v>"Manuel Plech";"Schindlers List";"4"</v>
      </c>
      <c r="U729" t="str">
        <f t="shared" si="81"/>
        <v>Manuel Plech</v>
      </c>
      <c r="V729" t="str">
        <f t="shared" si="82"/>
        <v>Schindlers List</v>
      </c>
      <c r="W729">
        <f t="shared" si="83"/>
        <v>1</v>
      </c>
    </row>
    <row r="730" spans="1:23" x14ac:dyDescent="0.2">
      <c r="A730" s="6" t="s">
        <v>51</v>
      </c>
      <c r="B730" s="6">
        <v>1996</v>
      </c>
      <c r="C730" s="6"/>
      <c r="D730" s="6" t="s">
        <v>77</v>
      </c>
      <c r="E730" s="6" t="s">
        <v>2</v>
      </c>
      <c r="F730" s="6">
        <v>1</v>
      </c>
      <c r="G730" s="6">
        <v>3</v>
      </c>
      <c r="H730" s="6">
        <v>3</v>
      </c>
      <c r="I730" s="6"/>
      <c r="J730" s="6"/>
      <c r="K730" s="6"/>
      <c r="L730" s="6" t="str">
        <f t="shared" si="77"/>
        <v>Manuel Plech</v>
      </c>
      <c r="M730" s="6" t="str">
        <f t="shared" si="78"/>
        <v>Scream (Arquette, Campell)</v>
      </c>
      <c r="N730" s="9">
        <f t="shared" si="79"/>
        <v>3</v>
      </c>
      <c r="P730" t="str">
        <f t="shared" si="80"/>
        <v>"Manuel Plech";"Scream";"3"</v>
      </c>
      <c r="U730" t="str">
        <f t="shared" si="81"/>
        <v>Manuel Plech</v>
      </c>
      <c r="V730" t="str">
        <f t="shared" si="82"/>
        <v>Scream</v>
      </c>
      <c r="W730">
        <f t="shared" si="83"/>
        <v>1</v>
      </c>
    </row>
    <row r="731" spans="1:23" x14ac:dyDescent="0.2">
      <c r="A731" s="6" t="s">
        <v>52</v>
      </c>
      <c r="B731" s="6">
        <v>1977</v>
      </c>
      <c r="C731" s="6"/>
      <c r="D731" s="6" t="s">
        <v>77</v>
      </c>
      <c r="E731" s="6" t="s">
        <v>2</v>
      </c>
      <c r="F731" s="6">
        <v>1</v>
      </c>
      <c r="G731" s="6">
        <v>4</v>
      </c>
      <c r="H731" s="6">
        <v>4</v>
      </c>
      <c r="I731" s="6"/>
      <c r="J731" s="6"/>
      <c r="K731" s="6"/>
      <c r="L731" s="6" t="str">
        <f t="shared" si="77"/>
        <v>Manuel Plech</v>
      </c>
      <c r="M731" s="6" t="str">
        <f t="shared" si="78"/>
        <v>Star Wars IV: A new hope (Hamill, Ford)</v>
      </c>
      <c r="N731" s="9">
        <f t="shared" si="79"/>
        <v>4</v>
      </c>
      <c r="P731" t="str">
        <f t="shared" si="80"/>
        <v>"Manuel Plech";"Star Wars IV: A new hope";"4"</v>
      </c>
      <c r="U731" t="str">
        <f t="shared" si="81"/>
        <v>Manuel Plech</v>
      </c>
      <c r="V731" t="str">
        <f t="shared" si="82"/>
        <v>Star Wars IV: A new hope</v>
      </c>
      <c r="W731">
        <f t="shared" si="83"/>
        <v>1</v>
      </c>
    </row>
    <row r="732" spans="1:23" x14ac:dyDescent="0.2">
      <c r="A732" s="6" t="s">
        <v>53</v>
      </c>
      <c r="B732" s="6">
        <v>2016</v>
      </c>
      <c r="C732" s="6"/>
      <c r="D732" s="6" t="s">
        <v>77</v>
      </c>
      <c r="E732" s="6" t="s">
        <v>2</v>
      </c>
      <c r="F732" s="6">
        <v>1</v>
      </c>
      <c r="G732" s="6">
        <v>5</v>
      </c>
      <c r="H732" s="6">
        <v>5</v>
      </c>
      <c r="I732" s="6"/>
      <c r="J732" s="6"/>
      <c r="K732" s="6"/>
      <c r="L732" s="6" t="str">
        <f t="shared" si="77"/>
        <v>Manuel Plech</v>
      </c>
      <c r="M732" s="6" t="str">
        <f t="shared" si="78"/>
        <v>Suicide Squad (Smith, Robbie)</v>
      </c>
      <c r="N732" s="9">
        <f t="shared" si="79"/>
        <v>5</v>
      </c>
      <c r="P732" t="str">
        <f t="shared" si="80"/>
        <v>"Manuel Plech";"Suicide Squad";"5"</v>
      </c>
      <c r="U732" t="str">
        <f t="shared" si="81"/>
        <v>Manuel Plech</v>
      </c>
      <c r="V732" t="str">
        <f t="shared" si="82"/>
        <v>Suicide Squad</v>
      </c>
      <c r="W732">
        <f t="shared" si="83"/>
        <v>1</v>
      </c>
    </row>
    <row r="733" spans="1:23" x14ac:dyDescent="0.2">
      <c r="A733" s="6" t="s">
        <v>54</v>
      </c>
      <c r="B733" s="6">
        <v>2010</v>
      </c>
      <c r="C733" s="6"/>
      <c r="D733" s="6" t="s">
        <v>77</v>
      </c>
      <c r="E733" s="6" t="s">
        <v>2</v>
      </c>
      <c r="F733" s="6">
        <v>1</v>
      </c>
      <c r="G733" s="6">
        <v>5</v>
      </c>
      <c r="H733" s="6">
        <v>5</v>
      </c>
      <c r="I733" s="6"/>
      <c r="J733" s="6"/>
      <c r="K733" s="6"/>
      <c r="L733" s="6" t="str">
        <f t="shared" si="77"/>
        <v>Manuel Plech</v>
      </c>
      <c r="M733" s="6" t="str">
        <f t="shared" si="78"/>
        <v>Tangled (Disney)</v>
      </c>
      <c r="N733" s="9">
        <f t="shared" si="79"/>
        <v>5</v>
      </c>
      <c r="P733" t="str">
        <f t="shared" si="80"/>
        <v>"Manuel Plech";"Tangled";"5"</v>
      </c>
      <c r="U733" t="str">
        <f t="shared" si="81"/>
        <v>Manuel Plech</v>
      </c>
      <c r="V733" t="str">
        <f t="shared" si="82"/>
        <v>Tangled</v>
      </c>
      <c r="W733">
        <f t="shared" si="83"/>
        <v>1</v>
      </c>
    </row>
    <row r="734" spans="1:23" x14ac:dyDescent="0.2">
      <c r="A734" s="6" t="s">
        <v>55</v>
      </c>
      <c r="B734" s="6">
        <v>2012</v>
      </c>
      <c r="C734" s="6"/>
      <c r="D734" s="6" t="s">
        <v>77</v>
      </c>
      <c r="E734" s="6" t="s">
        <v>2</v>
      </c>
      <c r="F734" s="6">
        <v>1</v>
      </c>
      <c r="G734" s="6">
        <v>5</v>
      </c>
      <c r="H734" s="6">
        <v>5</v>
      </c>
      <c r="I734" s="6"/>
      <c r="J734" s="6"/>
      <c r="K734" s="6"/>
      <c r="L734" s="6" t="str">
        <f t="shared" si="77"/>
        <v>Manuel Plech</v>
      </c>
      <c r="M734" s="6" t="str">
        <f t="shared" si="78"/>
        <v>The Avengers (Downey Jr. Evans)</v>
      </c>
      <c r="N734" s="9">
        <f t="shared" si="79"/>
        <v>5</v>
      </c>
      <c r="P734" t="str">
        <f t="shared" si="80"/>
        <v>"Manuel Plech";"The Avengers";"5"</v>
      </c>
      <c r="U734" t="str">
        <f t="shared" si="81"/>
        <v>Manuel Plech</v>
      </c>
      <c r="V734" t="str">
        <f t="shared" si="82"/>
        <v>The Avengers</v>
      </c>
      <c r="W734">
        <f t="shared" si="83"/>
        <v>1</v>
      </c>
    </row>
    <row r="735" spans="1:23" x14ac:dyDescent="0.2">
      <c r="A735" s="6" t="s">
        <v>56</v>
      </c>
      <c r="B735" s="6">
        <v>1973</v>
      </c>
      <c r="C735" s="6"/>
      <c r="D735" s="6" t="s">
        <v>77</v>
      </c>
      <c r="E735" s="6" t="s">
        <v>2</v>
      </c>
      <c r="F735" s="6">
        <v>1</v>
      </c>
      <c r="G735" s="6">
        <v>5</v>
      </c>
      <c r="H735" s="6">
        <v>5</v>
      </c>
      <c r="I735" s="6"/>
      <c r="J735" s="6"/>
      <c r="K735" s="6"/>
      <c r="L735" s="6" t="str">
        <f t="shared" si="77"/>
        <v>Manuel Plech</v>
      </c>
      <c r="M735" s="6" t="str">
        <f t="shared" si="78"/>
        <v>The Exorcist (von Sydow, Blair)</v>
      </c>
      <c r="N735" s="9">
        <f t="shared" si="79"/>
        <v>5</v>
      </c>
      <c r="P735" t="str">
        <f t="shared" si="80"/>
        <v>"Manuel Plech";"The Exorcist";"5"</v>
      </c>
      <c r="U735" t="str">
        <f t="shared" si="81"/>
        <v>Manuel Plech</v>
      </c>
      <c r="V735" t="str">
        <f t="shared" si="82"/>
        <v>The Exorcist</v>
      </c>
      <c r="W735">
        <f t="shared" si="83"/>
        <v>1</v>
      </c>
    </row>
    <row r="736" spans="1:23" x14ac:dyDescent="0.2">
      <c r="A736" s="6" t="s">
        <v>57</v>
      </c>
      <c r="B736" s="6">
        <v>1972</v>
      </c>
      <c r="C736" s="6"/>
      <c r="D736" s="6" t="s">
        <v>77</v>
      </c>
      <c r="E736" s="6" t="s">
        <v>2</v>
      </c>
      <c r="F736" s="6">
        <v>1</v>
      </c>
      <c r="G736" s="6">
        <v>4</v>
      </c>
      <c r="H736" s="6">
        <v>4</v>
      </c>
      <c r="I736" s="6"/>
      <c r="J736" s="6"/>
      <c r="K736" s="6"/>
      <c r="L736" s="6" t="str">
        <f t="shared" si="77"/>
        <v>Manuel Plech</v>
      </c>
      <c r="M736" s="6" t="str">
        <f t="shared" si="78"/>
        <v>The Godfather (Brando, Pacino)</v>
      </c>
      <c r="N736" s="9">
        <f t="shared" si="79"/>
        <v>4</v>
      </c>
      <c r="P736" t="str">
        <f t="shared" si="80"/>
        <v>"Manuel Plech";"The Godfather";"4"</v>
      </c>
      <c r="U736" t="str">
        <f t="shared" si="81"/>
        <v>Manuel Plech</v>
      </c>
      <c r="V736" t="str">
        <f t="shared" si="82"/>
        <v>The Godfather</v>
      </c>
      <c r="W736">
        <f t="shared" si="83"/>
        <v>1</v>
      </c>
    </row>
    <row r="737" spans="1:23" x14ac:dyDescent="0.2">
      <c r="A737" s="6" t="s">
        <v>58</v>
      </c>
      <c r="B737" s="6">
        <v>1994</v>
      </c>
      <c r="C737" s="6"/>
      <c r="D737" s="6" t="s">
        <v>77</v>
      </c>
      <c r="E737" s="6" t="s">
        <v>2</v>
      </c>
      <c r="F737" s="6">
        <v>1</v>
      </c>
      <c r="G737" s="6">
        <v>4</v>
      </c>
      <c r="H737" s="6">
        <v>4</v>
      </c>
      <c r="I737" s="6"/>
      <c r="J737" s="6"/>
      <c r="K737" s="6"/>
      <c r="L737" s="6" t="str">
        <f t="shared" si="77"/>
        <v>Manuel Plech</v>
      </c>
      <c r="M737" s="6" t="str">
        <f t="shared" si="78"/>
        <v>The Lion King (Disney)</v>
      </c>
      <c r="N737" s="9">
        <f t="shared" si="79"/>
        <v>4</v>
      </c>
      <c r="P737" t="str">
        <f t="shared" si="80"/>
        <v>"Manuel Plech";"The Lion King";"4"</v>
      </c>
      <c r="U737" t="str">
        <f t="shared" si="81"/>
        <v>Manuel Plech</v>
      </c>
      <c r="V737" t="str">
        <f t="shared" si="82"/>
        <v>The Lion King</v>
      </c>
      <c r="W737">
        <f t="shared" si="83"/>
        <v>1</v>
      </c>
    </row>
    <row r="738" spans="1:23" x14ac:dyDescent="0.2">
      <c r="A738" s="6" t="s">
        <v>59</v>
      </c>
      <c r="B738" s="6">
        <v>1999</v>
      </c>
      <c r="C738" s="6"/>
      <c r="D738" s="6" t="s">
        <v>77</v>
      </c>
      <c r="E738" s="6" t="s">
        <v>2</v>
      </c>
      <c r="F738" s="6">
        <v>1</v>
      </c>
      <c r="G738" s="6">
        <v>5</v>
      </c>
      <c r="H738" s="6">
        <v>5</v>
      </c>
      <c r="I738" s="6"/>
      <c r="J738" s="6"/>
      <c r="K738" s="6"/>
      <c r="L738" s="6" t="str">
        <f t="shared" si="77"/>
        <v>Manuel Plech</v>
      </c>
      <c r="M738" s="6" t="str">
        <f t="shared" si="78"/>
        <v>The Matrix (Reeves, Fishburn)</v>
      </c>
      <c r="N738" s="9">
        <f t="shared" si="79"/>
        <v>5</v>
      </c>
      <c r="P738" t="str">
        <f t="shared" si="80"/>
        <v>"Manuel Plech";"The Matrix";"5"</v>
      </c>
      <c r="U738" t="str">
        <f t="shared" si="81"/>
        <v>Manuel Plech</v>
      </c>
      <c r="V738" t="str">
        <f t="shared" si="82"/>
        <v>The Matrix</v>
      </c>
      <c r="W738">
        <f t="shared" si="83"/>
        <v>1</v>
      </c>
    </row>
    <row r="739" spans="1:23" x14ac:dyDescent="0.2">
      <c r="A739" s="6" t="s">
        <v>60</v>
      </c>
      <c r="B739" s="6">
        <v>1980</v>
      </c>
      <c r="C739" s="6"/>
      <c r="D739" s="6" t="s">
        <v>77</v>
      </c>
      <c r="E739" s="6" t="s">
        <v>2</v>
      </c>
      <c r="F739" s="6">
        <v>1</v>
      </c>
      <c r="G739" s="6">
        <v>4</v>
      </c>
      <c r="H739" s="6">
        <v>4</v>
      </c>
      <c r="I739" s="6"/>
      <c r="J739" s="6"/>
      <c r="K739" s="6"/>
      <c r="L739" s="6" t="str">
        <f t="shared" si="77"/>
        <v>Manuel Plech</v>
      </c>
      <c r="M739" s="6" t="str">
        <f t="shared" si="78"/>
        <v>The Shining (Nicholson, Duvall)</v>
      </c>
      <c r="N739" s="9">
        <f t="shared" si="79"/>
        <v>4</v>
      </c>
      <c r="P739" t="str">
        <f t="shared" si="80"/>
        <v>"Manuel Plech";"The Shining";"4"</v>
      </c>
      <c r="U739" t="str">
        <f t="shared" si="81"/>
        <v>Manuel Plech</v>
      </c>
      <c r="V739" t="str">
        <f t="shared" si="82"/>
        <v>The Shining</v>
      </c>
      <c r="W739">
        <f t="shared" si="83"/>
        <v>1</v>
      </c>
    </row>
    <row r="740" spans="1:23" x14ac:dyDescent="0.2">
      <c r="A740" s="6" t="s">
        <v>61</v>
      </c>
      <c r="B740" s="6">
        <v>1984</v>
      </c>
      <c r="C740" s="6"/>
      <c r="D740" s="6" t="s">
        <v>77</v>
      </c>
      <c r="E740" s="6" t="s">
        <v>2</v>
      </c>
      <c r="F740" s="6">
        <v>1</v>
      </c>
      <c r="G740" s="6">
        <v>5</v>
      </c>
      <c r="H740" s="6">
        <v>5</v>
      </c>
      <c r="I740" s="6"/>
      <c r="J740" s="6"/>
      <c r="K740" s="6"/>
      <c r="L740" s="6" t="str">
        <f t="shared" si="77"/>
        <v>Manuel Plech</v>
      </c>
      <c r="M740" s="6" t="str">
        <f t="shared" si="78"/>
        <v>The Terminator (Schwarzenegger, Hamilton)</v>
      </c>
      <c r="N740" s="9">
        <f t="shared" si="79"/>
        <v>5</v>
      </c>
      <c r="P740" t="str">
        <f t="shared" si="80"/>
        <v>"Manuel Plech";"The Terminator";"5"</v>
      </c>
      <c r="U740" t="str">
        <f t="shared" si="81"/>
        <v>Manuel Plech</v>
      </c>
      <c r="V740" t="str">
        <f t="shared" si="82"/>
        <v>The Terminator</v>
      </c>
      <c r="W740">
        <f t="shared" si="83"/>
        <v>1</v>
      </c>
    </row>
    <row r="741" spans="1:23" x14ac:dyDescent="0.2">
      <c r="A741" s="6" t="s">
        <v>62</v>
      </c>
      <c r="B741" s="6">
        <v>1986</v>
      </c>
      <c r="C741" s="6"/>
      <c r="D741" s="6" t="s">
        <v>77</v>
      </c>
      <c r="E741" s="6" t="s">
        <v>2</v>
      </c>
      <c r="F741" s="6">
        <v>1</v>
      </c>
      <c r="G741" s="6">
        <v>2</v>
      </c>
      <c r="H741" s="6">
        <v>2</v>
      </c>
      <c r="I741" s="6"/>
      <c r="J741" s="6"/>
      <c r="K741" s="6"/>
      <c r="L741" s="6" t="str">
        <f t="shared" si="77"/>
        <v>Manuel Plech</v>
      </c>
      <c r="M741" s="6" t="str">
        <f t="shared" si="78"/>
        <v>Top Gun (Cruise, McGillis)</v>
      </c>
      <c r="N741" s="9">
        <f t="shared" si="79"/>
        <v>2</v>
      </c>
      <c r="P741" t="str">
        <f t="shared" si="80"/>
        <v>"Manuel Plech";"Top Gun";"2"</v>
      </c>
      <c r="U741" t="str">
        <f t="shared" si="81"/>
        <v>Manuel Plech</v>
      </c>
      <c r="V741" t="str">
        <f t="shared" si="82"/>
        <v>Top Gun</v>
      </c>
      <c r="W741">
        <f t="shared" si="83"/>
        <v>1</v>
      </c>
    </row>
    <row r="742" spans="1:23" x14ac:dyDescent="0.2">
      <c r="A742" s="6" t="s">
        <v>63</v>
      </c>
      <c r="B742" s="6">
        <v>1995</v>
      </c>
      <c r="C742" s="6"/>
      <c r="D742" s="6" t="s">
        <v>77</v>
      </c>
      <c r="E742" s="6" t="s">
        <v>2</v>
      </c>
      <c r="F742" s="6">
        <v>1</v>
      </c>
      <c r="G742" s="6">
        <v>3</v>
      </c>
      <c r="H742" s="6">
        <v>3</v>
      </c>
      <c r="I742" s="6"/>
      <c r="J742" s="6"/>
      <c r="K742" s="6"/>
      <c r="L742" s="6" t="str">
        <f t="shared" si="77"/>
        <v>Manuel Plech</v>
      </c>
      <c r="M742" s="6" t="str">
        <f t="shared" si="78"/>
        <v>Toy Story (Pixar)</v>
      </c>
      <c r="N742" s="9">
        <f t="shared" si="79"/>
        <v>3</v>
      </c>
      <c r="P742" t="str">
        <f t="shared" si="80"/>
        <v>"Manuel Plech";"Toy Story";"3"</v>
      </c>
      <c r="U742" t="str">
        <f t="shared" si="81"/>
        <v>Manuel Plech</v>
      </c>
      <c r="V742" t="str">
        <f t="shared" si="82"/>
        <v>Toy Story</v>
      </c>
      <c r="W742">
        <f t="shared" si="83"/>
        <v>1</v>
      </c>
    </row>
    <row r="743" spans="1:23" x14ac:dyDescent="0.2">
      <c r="A743" s="6" t="s">
        <v>8</v>
      </c>
      <c r="B743" s="6">
        <v>1968</v>
      </c>
      <c r="C743" s="6"/>
      <c r="D743" s="6" t="s">
        <v>78</v>
      </c>
      <c r="E743" s="6" t="s">
        <v>3</v>
      </c>
      <c r="F743" s="6">
        <v>0</v>
      </c>
      <c r="G743" s="6"/>
      <c r="H743" s="6">
        <v>0</v>
      </c>
      <c r="I743" s="6"/>
      <c r="J743" s="6"/>
      <c r="K743" s="6"/>
      <c r="L743" s="6" t="str">
        <f t="shared" si="77"/>
        <v>Matthias Rosskopf</v>
      </c>
      <c r="M743" s="6" t="str">
        <f t="shared" si="78"/>
        <v>2001: A Space Odyssey (Duella, Lockwood)</v>
      </c>
      <c r="N743" s="9">
        <f t="shared" si="79"/>
        <v>0</v>
      </c>
      <c r="P743" t="str">
        <f t="shared" si="80"/>
        <v>"Matthias Rosskopf";"2001: A Space Odyssey";"0"</v>
      </c>
      <c r="U743" t="str">
        <f t="shared" si="81"/>
        <v>Matthias Rosskopf</v>
      </c>
      <c r="V743" t="str">
        <f t="shared" si="82"/>
        <v>2001: A Space Odyssey</v>
      </c>
      <c r="W743">
        <f t="shared" si="83"/>
        <v>0</v>
      </c>
    </row>
    <row r="744" spans="1:23" x14ac:dyDescent="0.2">
      <c r="A744" s="6" t="s">
        <v>9</v>
      </c>
      <c r="B744" s="6">
        <v>1971</v>
      </c>
      <c r="C744" s="6"/>
      <c r="D744" s="6" t="s">
        <v>78</v>
      </c>
      <c r="E744" s="6" t="s">
        <v>3</v>
      </c>
      <c r="F744" s="6">
        <v>0</v>
      </c>
      <c r="G744" s="6"/>
      <c r="H744" s="6">
        <v>0</v>
      </c>
      <c r="I744" s="6"/>
      <c r="J744" s="6"/>
      <c r="K744" s="6"/>
      <c r="L744" s="6" t="str">
        <f t="shared" si="77"/>
        <v>Matthias Rosskopf</v>
      </c>
      <c r="M744" s="6" t="str">
        <f t="shared" si="78"/>
        <v>A Clockwork Orange (McDowell, Magee)</v>
      </c>
      <c r="N744" s="9">
        <f t="shared" si="79"/>
        <v>0</v>
      </c>
      <c r="P744" t="str">
        <f t="shared" si="80"/>
        <v>"Matthias Rosskopf";"A Clockwork Orange";"0"</v>
      </c>
      <c r="U744" t="str">
        <f t="shared" si="81"/>
        <v>Matthias Rosskopf</v>
      </c>
      <c r="V744" t="str">
        <f t="shared" si="82"/>
        <v>A Clockwork Orange</v>
      </c>
      <c r="W744">
        <f t="shared" si="83"/>
        <v>0</v>
      </c>
    </row>
    <row r="745" spans="1:23" x14ac:dyDescent="0.2">
      <c r="A745" s="6" t="s">
        <v>10</v>
      </c>
      <c r="B745" s="6">
        <v>2018</v>
      </c>
      <c r="C745" s="6"/>
      <c r="D745" s="6" t="s">
        <v>78</v>
      </c>
      <c r="E745" s="6" t="s">
        <v>3</v>
      </c>
      <c r="F745" s="6">
        <v>0</v>
      </c>
      <c r="G745" s="6"/>
      <c r="H745" s="6">
        <v>0</v>
      </c>
      <c r="I745" s="6"/>
      <c r="J745" s="6"/>
      <c r="K745" s="6"/>
      <c r="L745" s="6" t="str">
        <f t="shared" si="77"/>
        <v>Matthias Rosskopf</v>
      </c>
      <c r="M745" s="6" t="str">
        <f t="shared" si="78"/>
        <v>A star is born (Gaga, Cooper)</v>
      </c>
      <c r="N745" s="9">
        <f t="shared" si="79"/>
        <v>0</v>
      </c>
      <c r="P745" t="str">
        <f t="shared" si="80"/>
        <v>"Matthias Rosskopf";"A star is born";"0"</v>
      </c>
      <c r="U745" t="str">
        <f t="shared" si="81"/>
        <v>Matthias Rosskopf</v>
      </c>
      <c r="V745" t="str">
        <f t="shared" si="82"/>
        <v>A star is born</v>
      </c>
      <c r="W745">
        <f t="shared" si="83"/>
        <v>0</v>
      </c>
    </row>
    <row r="746" spans="1:23" x14ac:dyDescent="0.2">
      <c r="A746" s="6" t="s">
        <v>11</v>
      </c>
      <c r="B746" s="6">
        <v>2005</v>
      </c>
      <c r="C746" s="6"/>
      <c r="D746" s="6" t="s">
        <v>78</v>
      </c>
      <c r="E746" s="6" t="s">
        <v>3</v>
      </c>
      <c r="F746" s="6">
        <v>0</v>
      </c>
      <c r="G746" s="6"/>
      <c r="H746" s="6">
        <v>0</v>
      </c>
      <c r="I746" s="6"/>
      <c r="J746" s="6"/>
      <c r="K746" s="6"/>
      <c r="L746" s="6" t="str">
        <f t="shared" si="77"/>
        <v>Matthias Rosskopf</v>
      </c>
      <c r="M746" s="6" t="str">
        <f t="shared" si="78"/>
        <v>Aeon Flux (Theron, Csokas)</v>
      </c>
      <c r="N746" s="9">
        <f t="shared" si="79"/>
        <v>0</v>
      </c>
      <c r="P746" t="str">
        <f t="shared" si="80"/>
        <v>"Matthias Rosskopf";"Aeon Flux";"0"</v>
      </c>
      <c r="U746" t="str">
        <f t="shared" si="81"/>
        <v>Matthias Rosskopf</v>
      </c>
      <c r="V746" t="str">
        <f t="shared" si="82"/>
        <v>Aeon Flux</v>
      </c>
      <c r="W746">
        <f t="shared" si="83"/>
        <v>0</v>
      </c>
    </row>
    <row r="747" spans="1:23" x14ac:dyDescent="0.2">
      <c r="A747" s="6" t="s">
        <v>12</v>
      </c>
      <c r="B747" s="6">
        <v>1951</v>
      </c>
      <c r="C747" s="6"/>
      <c r="D747" s="6" t="s">
        <v>78</v>
      </c>
      <c r="E747" s="6" t="s">
        <v>3</v>
      </c>
      <c r="F747" s="6">
        <v>0</v>
      </c>
      <c r="G747" s="6"/>
      <c r="H747" s="6">
        <v>0</v>
      </c>
      <c r="I747" s="6"/>
      <c r="J747" s="6"/>
      <c r="K747" s="6"/>
      <c r="L747" s="6" t="str">
        <f t="shared" si="77"/>
        <v>Matthias Rosskopf</v>
      </c>
      <c r="M747" s="6" t="str">
        <f t="shared" si="78"/>
        <v>African Queen (Bogart, Hepburn)</v>
      </c>
      <c r="N747" s="9">
        <f t="shared" si="79"/>
        <v>0</v>
      </c>
      <c r="P747" t="str">
        <f t="shared" si="80"/>
        <v>"Matthias Rosskopf";"African Queen";"0"</v>
      </c>
      <c r="U747" t="str">
        <f t="shared" si="81"/>
        <v>Matthias Rosskopf</v>
      </c>
      <c r="V747" t="str">
        <f t="shared" si="82"/>
        <v>African Queen</v>
      </c>
      <c r="W747">
        <f t="shared" si="83"/>
        <v>0</v>
      </c>
    </row>
    <row r="748" spans="1:23" x14ac:dyDescent="0.2">
      <c r="A748" s="6" t="s">
        <v>13</v>
      </c>
      <c r="B748" s="6">
        <v>1979</v>
      </c>
      <c r="C748" s="6"/>
      <c r="D748" s="6" t="s">
        <v>78</v>
      </c>
      <c r="E748" s="6" t="s">
        <v>3</v>
      </c>
      <c r="F748" s="6">
        <v>0</v>
      </c>
      <c r="G748" s="6"/>
      <c r="H748" s="6">
        <v>0</v>
      </c>
      <c r="I748" s="6"/>
      <c r="J748" s="6"/>
      <c r="K748" s="6"/>
      <c r="L748" s="6" t="str">
        <f t="shared" si="77"/>
        <v>Matthias Rosskopf</v>
      </c>
      <c r="M748" s="6" t="str">
        <f t="shared" si="78"/>
        <v>Alien (Weaver, Skerritt)</v>
      </c>
      <c r="N748" s="9">
        <f t="shared" si="79"/>
        <v>0</v>
      </c>
      <c r="P748" t="str">
        <f t="shared" si="80"/>
        <v>"Matthias Rosskopf";"Alien";"0"</v>
      </c>
      <c r="U748" t="str">
        <f t="shared" si="81"/>
        <v>Matthias Rosskopf</v>
      </c>
      <c r="V748" t="str">
        <f t="shared" si="82"/>
        <v>Alien</v>
      </c>
      <c r="W748">
        <f t="shared" si="83"/>
        <v>0</v>
      </c>
    </row>
    <row r="749" spans="1:23" x14ac:dyDescent="0.2">
      <c r="A749" s="6" t="s">
        <v>14</v>
      </c>
      <c r="B749" s="6">
        <v>1960</v>
      </c>
      <c r="C749" s="6"/>
      <c r="D749" s="6" t="s">
        <v>78</v>
      </c>
      <c r="E749" s="6" t="s">
        <v>3</v>
      </c>
      <c r="F749" s="6">
        <v>0</v>
      </c>
      <c r="G749" s="6"/>
      <c r="H749" s="6">
        <v>0</v>
      </c>
      <c r="I749" s="6"/>
      <c r="J749" s="6"/>
      <c r="K749" s="6"/>
      <c r="L749" s="6" t="str">
        <f t="shared" si="77"/>
        <v>Matthias Rosskopf</v>
      </c>
      <c r="M749" s="6" t="str">
        <f t="shared" si="78"/>
        <v>Apartment (Lemmon, MacLaine)</v>
      </c>
      <c r="N749" s="9">
        <f t="shared" si="79"/>
        <v>0</v>
      </c>
      <c r="P749" t="str">
        <f t="shared" si="80"/>
        <v>"Matthias Rosskopf";"Apartment";"0"</v>
      </c>
      <c r="U749" t="str">
        <f t="shared" si="81"/>
        <v>Matthias Rosskopf</v>
      </c>
      <c r="V749" t="str">
        <f t="shared" si="82"/>
        <v>Apartment</v>
      </c>
      <c r="W749">
        <f t="shared" si="83"/>
        <v>0</v>
      </c>
    </row>
    <row r="750" spans="1:23" x14ac:dyDescent="0.2">
      <c r="A750" s="6" t="s">
        <v>15</v>
      </c>
      <c r="B750" s="6">
        <v>1979</v>
      </c>
      <c r="C750" s="6"/>
      <c r="D750" s="6" t="s">
        <v>78</v>
      </c>
      <c r="E750" s="6" t="s">
        <v>3</v>
      </c>
      <c r="F750" s="6">
        <v>0</v>
      </c>
      <c r="G750" s="6"/>
      <c r="H750" s="6">
        <v>0</v>
      </c>
      <c r="I750" s="6"/>
      <c r="J750" s="6"/>
      <c r="K750" s="6"/>
      <c r="L750" s="6" t="str">
        <f t="shared" si="77"/>
        <v>Matthias Rosskopf</v>
      </c>
      <c r="M750" s="6" t="str">
        <f t="shared" si="78"/>
        <v>Apocalypse Now (Sheen, Brando)</v>
      </c>
      <c r="N750" s="9">
        <f t="shared" si="79"/>
        <v>0</v>
      </c>
      <c r="P750" t="str">
        <f t="shared" si="80"/>
        <v>"Matthias Rosskopf";"Apocalypse Now";"0"</v>
      </c>
      <c r="U750" t="str">
        <f t="shared" si="81"/>
        <v>Matthias Rosskopf</v>
      </c>
      <c r="V750" t="str">
        <f t="shared" si="82"/>
        <v>Apocalypse Now</v>
      </c>
      <c r="W750">
        <f t="shared" si="83"/>
        <v>0</v>
      </c>
    </row>
    <row r="751" spans="1:23" x14ac:dyDescent="0.2">
      <c r="A751" s="6" t="s">
        <v>16</v>
      </c>
      <c r="B751" s="6">
        <v>1956</v>
      </c>
      <c r="C751" s="6"/>
      <c r="D751" s="6" t="s">
        <v>78</v>
      </c>
      <c r="E751" s="6" t="s">
        <v>2</v>
      </c>
      <c r="F751" s="6">
        <v>1</v>
      </c>
      <c r="G751" s="6">
        <v>3</v>
      </c>
      <c r="H751" s="6">
        <v>3</v>
      </c>
      <c r="I751" s="6"/>
      <c r="J751" s="6"/>
      <c r="K751" s="6"/>
      <c r="L751" s="6" t="str">
        <f t="shared" si="77"/>
        <v>Matthias Rosskopf</v>
      </c>
      <c r="M751" s="6" t="str">
        <f t="shared" si="78"/>
        <v>Around The World In 80 Days (Niven, Cantinflas)</v>
      </c>
      <c r="N751" s="9">
        <f t="shared" si="79"/>
        <v>3</v>
      </c>
      <c r="P751" t="str">
        <f t="shared" si="80"/>
        <v>"Matthias Rosskopf";"Around The World In 80 Days";"3"</v>
      </c>
      <c r="U751" t="str">
        <f t="shared" si="81"/>
        <v>Matthias Rosskopf</v>
      </c>
      <c r="V751" t="str">
        <f t="shared" si="82"/>
        <v>Around The World In 80 Days</v>
      </c>
      <c r="W751">
        <f t="shared" si="83"/>
        <v>1</v>
      </c>
    </row>
    <row r="752" spans="1:23" x14ac:dyDescent="0.2">
      <c r="A752" s="6" t="s">
        <v>17</v>
      </c>
      <c r="B752" s="6">
        <v>2009</v>
      </c>
      <c r="C752" s="6"/>
      <c r="D752" s="6" t="s">
        <v>78</v>
      </c>
      <c r="E752" s="6" t="s">
        <v>2</v>
      </c>
      <c r="F752" s="6">
        <v>1</v>
      </c>
      <c r="G752" s="6">
        <v>5</v>
      </c>
      <c r="H752" s="6">
        <v>5</v>
      </c>
      <c r="I752" s="6"/>
      <c r="J752" s="6"/>
      <c r="K752" s="6"/>
      <c r="L752" s="6" t="str">
        <f t="shared" si="77"/>
        <v>Matthias Rosskopf</v>
      </c>
      <c r="M752" s="6" t="str">
        <f t="shared" si="78"/>
        <v>Avatar (Worthington, Saldana)</v>
      </c>
      <c r="N752" s="9">
        <f t="shared" si="79"/>
        <v>5</v>
      </c>
      <c r="P752" t="str">
        <f t="shared" si="80"/>
        <v>"Matthias Rosskopf";"Avatar";"5"</v>
      </c>
      <c r="U752" t="str">
        <f t="shared" si="81"/>
        <v>Matthias Rosskopf</v>
      </c>
      <c r="V752" t="str">
        <f t="shared" si="82"/>
        <v>Avatar</v>
      </c>
      <c r="W752">
        <f t="shared" si="83"/>
        <v>1</v>
      </c>
    </row>
    <row r="753" spans="1:23" x14ac:dyDescent="0.2">
      <c r="A753" s="6" t="s">
        <v>18</v>
      </c>
      <c r="B753" s="6">
        <v>1989</v>
      </c>
      <c r="C753" s="6"/>
      <c r="D753" s="6" t="s">
        <v>78</v>
      </c>
      <c r="E753" s="6" t="s">
        <v>2</v>
      </c>
      <c r="F753" s="6">
        <v>1</v>
      </c>
      <c r="G753" s="6">
        <v>3</v>
      </c>
      <c r="H753" s="6">
        <v>3</v>
      </c>
      <c r="I753" s="6"/>
      <c r="J753" s="6"/>
      <c r="K753" s="6"/>
      <c r="L753" s="6" t="str">
        <f t="shared" si="77"/>
        <v>Matthias Rosskopf</v>
      </c>
      <c r="M753" s="6" t="str">
        <f t="shared" si="78"/>
        <v>Batman (Keaton, Nicholson, Basinger)</v>
      </c>
      <c r="N753" s="9">
        <f t="shared" si="79"/>
        <v>3</v>
      </c>
      <c r="P753" t="str">
        <f t="shared" si="80"/>
        <v>"Matthias Rosskopf";"Batman";"3"</v>
      </c>
      <c r="U753" t="str">
        <f t="shared" si="81"/>
        <v>Matthias Rosskopf</v>
      </c>
      <c r="V753" t="str">
        <f t="shared" si="82"/>
        <v>Batman</v>
      </c>
      <c r="W753">
        <f t="shared" si="83"/>
        <v>1</v>
      </c>
    </row>
    <row r="754" spans="1:23" x14ac:dyDescent="0.2">
      <c r="A754" s="6" t="s">
        <v>19</v>
      </c>
      <c r="B754" s="6">
        <v>1982</v>
      </c>
      <c r="C754" s="6"/>
      <c r="D754" s="6" t="s">
        <v>78</v>
      </c>
      <c r="E754" s="6" t="s">
        <v>2</v>
      </c>
      <c r="F754" s="6">
        <v>1</v>
      </c>
      <c r="G754" s="6">
        <v>3</v>
      </c>
      <c r="H754" s="6">
        <v>3</v>
      </c>
      <c r="I754" s="6"/>
      <c r="J754" s="6"/>
      <c r="K754" s="6"/>
      <c r="L754" s="6" t="str">
        <f t="shared" si="77"/>
        <v>Matthias Rosskopf</v>
      </c>
      <c r="M754" s="6" t="str">
        <f t="shared" si="78"/>
        <v>Blade Runner (Ford, Hauer)</v>
      </c>
      <c r="N754" s="9">
        <f t="shared" si="79"/>
        <v>3</v>
      </c>
      <c r="P754" t="str">
        <f t="shared" si="80"/>
        <v>"Matthias Rosskopf";"Blade Runner";"3"</v>
      </c>
      <c r="U754" t="str">
        <f t="shared" si="81"/>
        <v>Matthias Rosskopf</v>
      </c>
      <c r="V754" t="str">
        <f t="shared" si="82"/>
        <v>Blade Runner</v>
      </c>
      <c r="W754">
        <f t="shared" si="83"/>
        <v>1</v>
      </c>
    </row>
    <row r="755" spans="1:23" x14ac:dyDescent="0.2">
      <c r="A755" s="6" t="s">
        <v>20</v>
      </c>
      <c r="B755" s="6">
        <v>2018</v>
      </c>
      <c r="C755" s="6"/>
      <c r="D755" s="6" t="s">
        <v>78</v>
      </c>
      <c r="E755" s="6" t="s">
        <v>2</v>
      </c>
      <c r="F755" s="6">
        <v>1</v>
      </c>
      <c r="G755" s="6">
        <v>3</v>
      </c>
      <c r="H755" s="6">
        <v>3</v>
      </c>
      <c r="I755" s="6"/>
      <c r="J755" s="6"/>
      <c r="K755" s="6"/>
      <c r="L755" s="6" t="str">
        <f t="shared" si="77"/>
        <v>Matthias Rosskopf</v>
      </c>
      <c r="M755" s="6" t="str">
        <f t="shared" si="78"/>
        <v>Bohemian Rhapsody (Malek, Boynton)</v>
      </c>
      <c r="N755" s="9">
        <f t="shared" si="79"/>
        <v>3</v>
      </c>
      <c r="P755" t="str">
        <f t="shared" si="80"/>
        <v>"Matthias Rosskopf";"Bohemian Rhapsody";"3"</v>
      </c>
      <c r="U755" t="str">
        <f t="shared" si="81"/>
        <v>Matthias Rosskopf</v>
      </c>
      <c r="V755" t="str">
        <f t="shared" si="82"/>
        <v>Bohemian Rhapsody</v>
      </c>
      <c r="W755">
        <f t="shared" si="83"/>
        <v>1</v>
      </c>
    </row>
    <row r="756" spans="1:23" x14ac:dyDescent="0.2">
      <c r="A756" s="6" t="s">
        <v>21</v>
      </c>
      <c r="B756" s="6">
        <v>2011</v>
      </c>
      <c r="C756" s="6"/>
      <c r="D756" s="6" t="s">
        <v>78</v>
      </c>
      <c r="E756" s="6" t="s">
        <v>2</v>
      </c>
      <c r="F756" s="6">
        <v>1</v>
      </c>
      <c r="G756" s="6">
        <v>5</v>
      </c>
      <c r="H756" s="6">
        <v>5</v>
      </c>
      <c r="I756" s="6"/>
      <c r="J756" s="6"/>
      <c r="K756" s="6"/>
      <c r="L756" s="6" t="str">
        <f t="shared" si="77"/>
        <v>Matthias Rosskopf</v>
      </c>
      <c r="M756" s="6" t="str">
        <f t="shared" si="78"/>
        <v>Captain America (Evans, Waeving)</v>
      </c>
      <c r="N756" s="9">
        <f t="shared" si="79"/>
        <v>5</v>
      </c>
      <c r="P756" t="str">
        <f t="shared" si="80"/>
        <v>"Matthias Rosskopf";"Captain America";"5"</v>
      </c>
      <c r="U756" t="str">
        <f t="shared" si="81"/>
        <v>Matthias Rosskopf</v>
      </c>
      <c r="V756" t="str">
        <f t="shared" si="82"/>
        <v>Captain America</v>
      </c>
      <c r="W756">
        <f t="shared" si="83"/>
        <v>1</v>
      </c>
    </row>
    <row r="757" spans="1:23" x14ac:dyDescent="0.2">
      <c r="A757" s="6" t="s">
        <v>22</v>
      </c>
      <c r="B757" s="6">
        <v>2000</v>
      </c>
      <c r="C757" s="6"/>
      <c r="D757" s="6" t="s">
        <v>78</v>
      </c>
      <c r="E757" s="6" t="s">
        <v>2</v>
      </c>
      <c r="F757" s="6">
        <v>1</v>
      </c>
      <c r="G757" s="6">
        <v>5</v>
      </c>
      <c r="H757" s="6">
        <v>5</v>
      </c>
      <c r="I757" s="6"/>
      <c r="J757" s="6"/>
      <c r="K757" s="6"/>
      <c r="L757" s="6" t="str">
        <f t="shared" si="77"/>
        <v>Matthias Rosskopf</v>
      </c>
      <c r="M757" s="6" t="str">
        <f t="shared" si="78"/>
        <v>Cast Away (Hanks, Hunt)</v>
      </c>
      <c r="N757" s="9">
        <f t="shared" si="79"/>
        <v>5</v>
      </c>
      <c r="P757" t="str">
        <f t="shared" si="80"/>
        <v>"Matthias Rosskopf";"Cast Away";"5"</v>
      </c>
      <c r="U757" t="str">
        <f t="shared" si="81"/>
        <v>Matthias Rosskopf</v>
      </c>
      <c r="V757" t="str">
        <f t="shared" si="82"/>
        <v>Cast Away</v>
      </c>
      <c r="W757">
        <f t="shared" si="83"/>
        <v>1</v>
      </c>
    </row>
    <row r="758" spans="1:23" x14ac:dyDescent="0.2">
      <c r="A758" s="6" t="s">
        <v>23</v>
      </c>
      <c r="B758" s="6">
        <v>1958</v>
      </c>
      <c r="C758" s="6"/>
      <c r="D758" s="6" t="s">
        <v>78</v>
      </c>
      <c r="E758" s="6" t="s">
        <v>3</v>
      </c>
      <c r="F758" s="6">
        <v>0</v>
      </c>
      <c r="G758" s="6"/>
      <c r="H758" s="6">
        <v>0</v>
      </c>
      <c r="I758" s="6"/>
      <c r="J758" s="6"/>
      <c r="K758" s="6"/>
      <c r="L758" s="6" t="str">
        <f t="shared" si="77"/>
        <v>Matthias Rosskopf</v>
      </c>
      <c r="M758" s="6" t="str">
        <f t="shared" si="78"/>
        <v>Cat On Hot Tin Roof (Taylor, Newman)</v>
      </c>
      <c r="N758" s="9">
        <f t="shared" si="79"/>
        <v>0</v>
      </c>
      <c r="P758" t="str">
        <f t="shared" si="80"/>
        <v>"Matthias Rosskopf";"Cat On Hot Tin Roof";"0"</v>
      </c>
      <c r="U758" t="str">
        <f t="shared" si="81"/>
        <v>Matthias Rosskopf</v>
      </c>
      <c r="V758" t="str">
        <f t="shared" si="82"/>
        <v>Cat On Hot Tin Roof</v>
      </c>
      <c r="W758">
        <f t="shared" si="83"/>
        <v>0</v>
      </c>
    </row>
    <row r="759" spans="1:23" x14ac:dyDescent="0.2">
      <c r="A759" s="6" t="s">
        <v>24</v>
      </c>
      <c r="B759" s="6">
        <v>1963</v>
      </c>
      <c r="C759" s="6"/>
      <c r="D759" s="6" t="s">
        <v>78</v>
      </c>
      <c r="E759" s="6" t="s">
        <v>3</v>
      </c>
      <c r="F759" s="6">
        <v>0</v>
      </c>
      <c r="G759" s="6"/>
      <c r="H759" s="6">
        <v>0</v>
      </c>
      <c r="I759" s="6"/>
      <c r="J759" s="6"/>
      <c r="K759" s="6"/>
      <c r="L759" s="6" t="str">
        <f t="shared" si="77"/>
        <v>Matthias Rosskopf</v>
      </c>
      <c r="M759" s="6" t="str">
        <f t="shared" si="78"/>
        <v>Charade (Grant, Hepburn)</v>
      </c>
      <c r="N759" s="9">
        <f t="shared" si="79"/>
        <v>0</v>
      </c>
      <c r="P759" t="str">
        <f t="shared" si="80"/>
        <v>"Matthias Rosskopf";"Charade";"0"</v>
      </c>
      <c r="U759" t="str">
        <f t="shared" si="81"/>
        <v>Matthias Rosskopf</v>
      </c>
      <c r="V759" t="str">
        <f t="shared" si="82"/>
        <v>Charade</v>
      </c>
      <c r="W759">
        <f t="shared" si="83"/>
        <v>0</v>
      </c>
    </row>
    <row r="760" spans="1:23" x14ac:dyDescent="0.2">
      <c r="A760" s="6" t="s">
        <v>25</v>
      </c>
      <c r="B760" s="6">
        <v>2000</v>
      </c>
      <c r="C760" s="6"/>
      <c r="D760" s="6" t="s">
        <v>78</v>
      </c>
      <c r="E760" s="6" t="s">
        <v>2</v>
      </c>
      <c r="F760" s="6">
        <v>1</v>
      </c>
      <c r="G760" s="6">
        <v>3</v>
      </c>
      <c r="H760" s="6">
        <v>3</v>
      </c>
      <c r="I760" s="6"/>
      <c r="J760" s="6"/>
      <c r="K760" s="6"/>
      <c r="L760" s="6" t="str">
        <f t="shared" si="77"/>
        <v>Matthias Rosskopf</v>
      </c>
      <c r="M760" s="6" t="str">
        <f t="shared" si="78"/>
        <v>Charlies Angels (Diaz, Barrymore, Liu)</v>
      </c>
      <c r="N760" s="9">
        <f t="shared" si="79"/>
        <v>3</v>
      </c>
      <c r="P760" t="str">
        <f t="shared" si="80"/>
        <v>"Matthias Rosskopf";"Charlies Angels";"3"</v>
      </c>
      <c r="U760" t="str">
        <f t="shared" si="81"/>
        <v>Matthias Rosskopf</v>
      </c>
      <c r="V760" t="str">
        <f t="shared" si="82"/>
        <v>Charlies Angels</v>
      </c>
      <c r="W760">
        <f t="shared" si="83"/>
        <v>1</v>
      </c>
    </row>
    <row r="761" spans="1:23" x14ac:dyDescent="0.2">
      <c r="A761" s="6" t="s">
        <v>26</v>
      </c>
      <c r="B761" s="6">
        <v>1974</v>
      </c>
      <c r="C761" s="6"/>
      <c r="D761" s="6" t="s">
        <v>78</v>
      </c>
      <c r="E761" s="6" t="s">
        <v>3</v>
      </c>
      <c r="F761" s="6">
        <v>0</v>
      </c>
      <c r="G761" s="6"/>
      <c r="H761" s="6">
        <v>0</v>
      </c>
      <c r="I761" s="6"/>
      <c r="J761" s="6"/>
      <c r="K761" s="6"/>
      <c r="L761" s="6" t="str">
        <f t="shared" si="77"/>
        <v>Matthias Rosskopf</v>
      </c>
      <c r="M761" s="6" t="str">
        <f t="shared" si="78"/>
        <v>Chinatown (Nicholson, Dunaway)</v>
      </c>
      <c r="N761" s="9">
        <f t="shared" si="79"/>
        <v>0</v>
      </c>
      <c r="P761" t="str">
        <f t="shared" si="80"/>
        <v>"Matthias Rosskopf";"Chinatown";"0"</v>
      </c>
      <c r="U761" t="str">
        <f t="shared" si="81"/>
        <v>Matthias Rosskopf</v>
      </c>
      <c r="V761" t="str">
        <f t="shared" si="82"/>
        <v>Chinatown</v>
      </c>
      <c r="W761">
        <f t="shared" si="83"/>
        <v>0</v>
      </c>
    </row>
    <row r="762" spans="1:23" x14ac:dyDescent="0.2">
      <c r="A762" s="6" t="s">
        <v>27</v>
      </c>
      <c r="B762" s="6">
        <v>1986</v>
      </c>
      <c r="C762" s="6"/>
      <c r="D762" s="6" t="s">
        <v>78</v>
      </c>
      <c r="E762" s="6" t="s">
        <v>3</v>
      </c>
      <c r="F762" s="6">
        <v>0</v>
      </c>
      <c r="G762" s="6"/>
      <c r="H762" s="6">
        <v>0</v>
      </c>
      <c r="I762" s="6"/>
      <c r="J762" s="6"/>
      <c r="K762" s="6"/>
      <c r="L762" s="6" t="str">
        <f t="shared" si="77"/>
        <v>Matthias Rosskopf</v>
      </c>
      <c r="M762" s="6" t="str">
        <f t="shared" si="78"/>
        <v>Clockwise (Gleese, Leatherbarrow)</v>
      </c>
      <c r="N762" s="9">
        <f t="shared" si="79"/>
        <v>0</v>
      </c>
      <c r="P762" t="str">
        <f t="shared" si="80"/>
        <v>"Matthias Rosskopf";"Clockwise";"0"</v>
      </c>
      <c r="U762" t="str">
        <f t="shared" si="81"/>
        <v>Matthias Rosskopf</v>
      </c>
      <c r="V762" t="str">
        <f t="shared" si="82"/>
        <v>Clockwise</v>
      </c>
      <c r="W762">
        <f t="shared" si="83"/>
        <v>0</v>
      </c>
    </row>
    <row r="763" spans="1:23" x14ac:dyDescent="0.2">
      <c r="A763" s="6" t="s">
        <v>28</v>
      </c>
      <c r="B763" s="6">
        <v>2011</v>
      </c>
      <c r="C763" s="6"/>
      <c r="D763" s="6" t="s">
        <v>78</v>
      </c>
      <c r="E763" s="6" t="s">
        <v>3</v>
      </c>
      <c r="F763" s="6">
        <v>0</v>
      </c>
      <c r="G763" s="6"/>
      <c r="H763" s="6">
        <v>0</v>
      </c>
      <c r="I763" s="6"/>
      <c r="J763" s="6"/>
      <c r="K763" s="6"/>
      <c r="L763" s="6" t="str">
        <f t="shared" si="77"/>
        <v>Matthias Rosskopf</v>
      </c>
      <c r="M763" s="6" t="str">
        <f t="shared" si="78"/>
        <v>Colombiana (Saldana, Molla)</v>
      </c>
      <c r="N763" s="9">
        <f t="shared" si="79"/>
        <v>0</v>
      </c>
      <c r="P763" t="str">
        <f t="shared" si="80"/>
        <v>"Matthias Rosskopf";"Colombiana";"0"</v>
      </c>
      <c r="U763" t="str">
        <f t="shared" si="81"/>
        <v>Matthias Rosskopf</v>
      </c>
      <c r="V763" t="str">
        <f t="shared" si="82"/>
        <v>Colombiana</v>
      </c>
      <c r="W763">
        <f t="shared" si="83"/>
        <v>0</v>
      </c>
    </row>
    <row r="764" spans="1:23" x14ac:dyDescent="0.2">
      <c r="A764" s="6" t="s">
        <v>29</v>
      </c>
      <c r="B764" s="6">
        <v>1962</v>
      </c>
      <c r="C764" s="6"/>
      <c r="D764" s="6" t="s">
        <v>78</v>
      </c>
      <c r="E764" s="6" t="s">
        <v>3</v>
      </c>
      <c r="F764" s="6">
        <v>0</v>
      </c>
      <c r="G764" s="6"/>
      <c r="H764" s="6">
        <v>0</v>
      </c>
      <c r="I764" s="6"/>
      <c r="J764" s="6"/>
      <c r="K764" s="6"/>
      <c r="L764" s="6" t="str">
        <f t="shared" si="77"/>
        <v>Matthias Rosskopf</v>
      </c>
      <c r="M764" s="6" t="str">
        <f t="shared" si="78"/>
        <v>Doctor No (Connery, Andress)</v>
      </c>
      <c r="N764" s="9">
        <f t="shared" si="79"/>
        <v>0</v>
      </c>
      <c r="P764" t="str">
        <f t="shared" si="80"/>
        <v>"Matthias Rosskopf";"Doctor No";"0"</v>
      </c>
      <c r="U764" t="str">
        <f t="shared" si="81"/>
        <v>Matthias Rosskopf</v>
      </c>
      <c r="V764" t="str">
        <f t="shared" si="82"/>
        <v>Doctor No</v>
      </c>
      <c r="W764">
        <f t="shared" si="83"/>
        <v>0</v>
      </c>
    </row>
    <row r="765" spans="1:23" x14ac:dyDescent="0.2">
      <c r="A765" s="6" t="s">
        <v>30</v>
      </c>
      <c r="B765" s="6">
        <v>1965</v>
      </c>
      <c r="C765" s="6"/>
      <c r="D765" s="6" t="s">
        <v>78</v>
      </c>
      <c r="E765" s="6" t="s">
        <v>3</v>
      </c>
      <c r="F765" s="6">
        <v>0</v>
      </c>
      <c r="G765" s="6"/>
      <c r="H765" s="6">
        <v>0</v>
      </c>
      <c r="I765" s="6"/>
      <c r="J765" s="6"/>
      <c r="K765" s="6"/>
      <c r="L765" s="6" t="str">
        <f t="shared" si="77"/>
        <v>Matthias Rosskopf</v>
      </c>
      <c r="M765" s="6" t="str">
        <f t="shared" si="78"/>
        <v>Doctor Zhiwago (Sharif, Christie)</v>
      </c>
      <c r="N765" s="9">
        <f t="shared" si="79"/>
        <v>0</v>
      </c>
      <c r="P765" t="str">
        <f t="shared" si="80"/>
        <v>"Matthias Rosskopf";"Doctor Zhiwago";"0"</v>
      </c>
      <c r="U765" t="str">
        <f t="shared" si="81"/>
        <v>Matthias Rosskopf</v>
      </c>
      <c r="V765" t="str">
        <f t="shared" si="82"/>
        <v>Doctor Zhiwago</v>
      </c>
      <c r="W765">
        <f t="shared" si="83"/>
        <v>0</v>
      </c>
    </row>
    <row r="766" spans="1:23" x14ac:dyDescent="0.2">
      <c r="A766" s="6" t="s">
        <v>31</v>
      </c>
      <c r="B766" s="6">
        <v>1964</v>
      </c>
      <c r="C766" s="6"/>
      <c r="D766" s="6" t="s">
        <v>78</v>
      </c>
      <c r="E766" s="6" t="s">
        <v>3</v>
      </c>
      <c r="F766" s="6">
        <v>0</v>
      </c>
      <c r="G766" s="6"/>
      <c r="H766" s="6">
        <v>0</v>
      </c>
      <c r="I766" s="6"/>
      <c r="J766" s="6"/>
      <c r="K766" s="6"/>
      <c r="L766" s="6" t="str">
        <f t="shared" si="77"/>
        <v>Matthias Rosskopf</v>
      </c>
      <c r="M766" s="6" t="str">
        <f t="shared" si="78"/>
        <v>Dr. Strangelove… (Sellers, Scott)</v>
      </c>
      <c r="N766" s="9">
        <f t="shared" si="79"/>
        <v>0</v>
      </c>
      <c r="P766" t="str">
        <f t="shared" si="80"/>
        <v>"Matthias Rosskopf";"Dr. Strangelove…";"0"</v>
      </c>
      <c r="U766" t="str">
        <f t="shared" si="81"/>
        <v>Matthias Rosskopf</v>
      </c>
      <c r="V766" t="str">
        <f t="shared" si="82"/>
        <v>Dr. Strangelove…</v>
      </c>
      <c r="W766">
        <f t="shared" si="83"/>
        <v>0</v>
      </c>
    </row>
    <row r="767" spans="1:23" x14ac:dyDescent="0.2">
      <c r="A767" s="6" t="s">
        <v>32</v>
      </c>
      <c r="B767" s="6">
        <v>2000</v>
      </c>
      <c r="C767" s="6"/>
      <c r="D767" s="6" t="s">
        <v>78</v>
      </c>
      <c r="E767" s="6" t="s">
        <v>3</v>
      </c>
      <c r="F767" s="6">
        <v>0</v>
      </c>
      <c r="G767" s="6"/>
      <c r="H767" s="6">
        <v>0</v>
      </c>
      <c r="I767" s="6"/>
      <c r="J767" s="6"/>
      <c r="K767" s="6"/>
      <c r="L767" s="6" t="str">
        <f t="shared" si="77"/>
        <v>Matthias Rosskopf</v>
      </c>
      <c r="M767" s="6" t="str">
        <f t="shared" si="78"/>
        <v>Dr. T and the women (Gere, Hunt)</v>
      </c>
      <c r="N767" s="9">
        <f t="shared" si="79"/>
        <v>0</v>
      </c>
      <c r="P767" t="str">
        <f t="shared" si="80"/>
        <v>"Matthias Rosskopf";"Dr. T and the women";"0"</v>
      </c>
      <c r="U767" t="str">
        <f t="shared" si="81"/>
        <v>Matthias Rosskopf</v>
      </c>
      <c r="V767" t="str">
        <f t="shared" si="82"/>
        <v>Dr. T and the women</v>
      </c>
      <c r="W767">
        <f t="shared" si="83"/>
        <v>0</v>
      </c>
    </row>
    <row r="768" spans="1:23" x14ac:dyDescent="0.2">
      <c r="A768" s="6" t="s">
        <v>33</v>
      </c>
      <c r="B768" s="6">
        <v>1953</v>
      </c>
      <c r="C768" s="6"/>
      <c r="D768" s="6" t="s">
        <v>78</v>
      </c>
      <c r="E768" s="6" t="s">
        <v>3</v>
      </c>
      <c r="F768" s="6">
        <v>0</v>
      </c>
      <c r="G768" s="6"/>
      <c r="H768" s="6">
        <v>0</v>
      </c>
      <c r="I768" s="6"/>
      <c r="J768" s="6"/>
      <c r="K768" s="6"/>
      <c r="L768" s="6" t="str">
        <f t="shared" si="77"/>
        <v>Matthias Rosskopf</v>
      </c>
      <c r="M768" s="6" t="str">
        <f t="shared" si="78"/>
        <v>Gentlemen Prefer Blondes (Monroe, Russell)</v>
      </c>
      <c r="N768" s="9">
        <f t="shared" si="79"/>
        <v>0</v>
      </c>
      <c r="P768" t="str">
        <f t="shared" si="80"/>
        <v>"Matthias Rosskopf";"Gentlemen Prefer Blondes";"0"</v>
      </c>
      <c r="U768" t="str">
        <f t="shared" si="81"/>
        <v>Matthias Rosskopf</v>
      </c>
      <c r="V768" t="str">
        <f t="shared" si="82"/>
        <v>Gentlemen Prefer Blondes</v>
      </c>
      <c r="W768">
        <f t="shared" si="83"/>
        <v>0</v>
      </c>
    </row>
    <row r="769" spans="1:23" x14ac:dyDescent="0.2">
      <c r="A769" s="6" t="s">
        <v>34</v>
      </c>
      <c r="B769" s="6">
        <v>2014</v>
      </c>
      <c r="C769" s="6"/>
      <c r="D769" s="6" t="s">
        <v>78</v>
      </c>
      <c r="E769" s="6" t="s">
        <v>3</v>
      </c>
      <c r="F769" s="6">
        <v>0</v>
      </c>
      <c r="G769" s="6"/>
      <c r="H769" s="6">
        <v>0</v>
      </c>
      <c r="I769" s="6"/>
      <c r="J769" s="6"/>
      <c r="K769" s="6"/>
      <c r="L769" s="6" t="str">
        <f t="shared" si="77"/>
        <v>Matthias Rosskopf</v>
      </c>
      <c r="M769" s="6" t="str">
        <f t="shared" si="78"/>
        <v>Grand Budapest Hotel (Fiennes, Abraham)</v>
      </c>
      <c r="N769" s="9">
        <f t="shared" si="79"/>
        <v>0</v>
      </c>
      <c r="P769" t="str">
        <f t="shared" si="80"/>
        <v>"Matthias Rosskopf";"Grand Budapest Hotel";"0"</v>
      </c>
      <c r="U769" t="str">
        <f t="shared" si="81"/>
        <v>Matthias Rosskopf</v>
      </c>
      <c r="V769" t="str">
        <f t="shared" si="82"/>
        <v>Grand Budapest Hotel</v>
      </c>
      <c r="W769">
        <f t="shared" si="83"/>
        <v>0</v>
      </c>
    </row>
    <row r="770" spans="1:23" x14ac:dyDescent="0.2">
      <c r="A770" s="6" t="s">
        <v>35</v>
      </c>
      <c r="B770" s="6">
        <v>2001</v>
      </c>
      <c r="C770" s="6"/>
      <c r="D770" s="6" t="s">
        <v>78</v>
      </c>
      <c r="E770" s="6" t="s">
        <v>2</v>
      </c>
      <c r="F770" s="6">
        <v>1</v>
      </c>
      <c r="G770" s="6">
        <v>5</v>
      </c>
      <c r="H770" s="6">
        <v>5</v>
      </c>
      <c r="I770" s="6"/>
      <c r="J770" s="6"/>
      <c r="K770" s="6"/>
      <c r="L770" s="6" t="str">
        <f t="shared" si="77"/>
        <v>Matthias Rosskopf</v>
      </c>
      <c r="M770" s="6" t="str">
        <f t="shared" si="78"/>
        <v>Harry Potter and the Philosopher's Stone (Radcliff, Harris)</v>
      </c>
      <c r="N770" s="9">
        <f t="shared" si="79"/>
        <v>5</v>
      </c>
      <c r="P770" t="str">
        <f t="shared" si="80"/>
        <v>"Matthias Rosskopf";"Harry Potter and the Philosopher's Stone";"5"</v>
      </c>
      <c r="U770" t="str">
        <f t="shared" si="81"/>
        <v>Matthias Rosskopf</v>
      </c>
      <c r="V770" t="str">
        <f t="shared" si="82"/>
        <v>Harry Potter and the Philosopher's Stone</v>
      </c>
      <c r="W770">
        <f t="shared" si="83"/>
        <v>1</v>
      </c>
    </row>
    <row r="771" spans="1:23" x14ac:dyDescent="0.2">
      <c r="A771" s="6" t="s">
        <v>36</v>
      </c>
      <c r="B771" s="6">
        <v>1950</v>
      </c>
      <c r="C771" s="6"/>
      <c r="D771" s="6" t="s">
        <v>78</v>
      </c>
      <c r="E771" s="6" t="s">
        <v>3</v>
      </c>
      <c r="F771" s="6">
        <v>0</v>
      </c>
      <c r="G771" s="6"/>
      <c r="H771" s="6">
        <v>0</v>
      </c>
      <c r="I771" s="6"/>
      <c r="J771" s="6"/>
      <c r="K771" s="6"/>
      <c r="L771" s="6" t="str">
        <f t="shared" ref="L771:L834" si="84">D771</f>
        <v>Matthias Rosskopf</v>
      </c>
      <c r="M771" s="6" t="str">
        <f t="shared" ref="M771:M834" si="85">A771</f>
        <v>Harvey (Stewart, Hull)</v>
      </c>
      <c r="N771" s="9">
        <f t="shared" ref="N771:N834" si="86">H771</f>
        <v>0</v>
      </c>
      <c r="P771" t="str">
        <f t="shared" ref="P771:P834" si="87">""""&amp;L771&amp;""";"""&amp;LEFT(M771,FIND("(",M771)-2)&amp;""";"""&amp;SUBSTITUTE(N771,",",".")&amp;""""</f>
        <v>"Matthias Rosskopf";"Harvey";"0"</v>
      </c>
      <c r="U771" t="str">
        <f t="shared" ref="U771:U834" si="88">D771</f>
        <v>Matthias Rosskopf</v>
      </c>
      <c r="V771" t="str">
        <f t="shared" ref="V771:V834" si="89">LEFT(A771,FIND("(",A771)-2)</f>
        <v>Harvey</v>
      </c>
      <c r="W771">
        <f t="shared" ref="W771:W834" si="90">F771</f>
        <v>0</v>
      </c>
    </row>
    <row r="772" spans="1:23" x14ac:dyDescent="0.2">
      <c r="A772" s="6" t="s">
        <v>37</v>
      </c>
      <c r="B772" s="6">
        <v>1962</v>
      </c>
      <c r="C772" s="6"/>
      <c r="D772" s="6" t="s">
        <v>78</v>
      </c>
      <c r="E772" s="6" t="s">
        <v>3</v>
      </c>
      <c r="F772" s="6">
        <v>0</v>
      </c>
      <c r="G772" s="6"/>
      <c r="H772" s="6">
        <v>0</v>
      </c>
      <c r="I772" s="6"/>
      <c r="J772" s="6"/>
      <c r="K772" s="6"/>
      <c r="L772" s="6" t="str">
        <f t="shared" si="84"/>
        <v>Matthias Rosskopf</v>
      </c>
      <c r="M772" s="6" t="str">
        <f t="shared" si="85"/>
        <v>Hatari! (Wayne, Martinelli)</v>
      </c>
      <c r="N772" s="9">
        <f t="shared" si="86"/>
        <v>0</v>
      </c>
      <c r="P772" t="str">
        <f t="shared" si="87"/>
        <v>"Matthias Rosskopf";"Hatari!";"0"</v>
      </c>
      <c r="U772" t="str">
        <f t="shared" si="88"/>
        <v>Matthias Rosskopf</v>
      </c>
      <c r="V772" t="str">
        <f t="shared" si="89"/>
        <v>Hatari!</v>
      </c>
      <c r="W772">
        <f t="shared" si="90"/>
        <v>0</v>
      </c>
    </row>
    <row r="773" spans="1:23" x14ac:dyDescent="0.2">
      <c r="A773" s="6" t="s">
        <v>38</v>
      </c>
      <c r="B773" s="6">
        <v>1990</v>
      </c>
      <c r="C773" s="6"/>
      <c r="D773" s="6" t="s">
        <v>78</v>
      </c>
      <c r="E773" s="6" t="s">
        <v>2</v>
      </c>
      <c r="F773" s="6">
        <v>1</v>
      </c>
      <c r="G773" s="6">
        <v>5</v>
      </c>
      <c r="H773" s="6">
        <v>5</v>
      </c>
      <c r="I773" s="6"/>
      <c r="J773" s="6"/>
      <c r="K773" s="6"/>
      <c r="L773" s="6" t="str">
        <f t="shared" si="84"/>
        <v>Matthias Rosskopf</v>
      </c>
      <c r="M773" s="6" t="str">
        <f t="shared" si="85"/>
        <v>Home alone (Culkin, Pesci)</v>
      </c>
      <c r="N773" s="9">
        <f t="shared" si="86"/>
        <v>5</v>
      </c>
      <c r="P773" t="str">
        <f t="shared" si="87"/>
        <v>"Matthias Rosskopf";"Home alone";"5"</v>
      </c>
      <c r="U773" t="str">
        <f t="shared" si="88"/>
        <v>Matthias Rosskopf</v>
      </c>
      <c r="V773" t="str">
        <f t="shared" si="89"/>
        <v>Home alone</v>
      </c>
      <c r="W773">
        <f t="shared" si="90"/>
        <v>1</v>
      </c>
    </row>
    <row r="774" spans="1:23" x14ac:dyDescent="0.2">
      <c r="A774" s="6" t="s">
        <v>39</v>
      </c>
      <c r="B774" s="6">
        <v>2004</v>
      </c>
      <c r="C774" s="6"/>
      <c r="D774" s="6" t="s">
        <v>78</v>
      </c>
      <c r="E774" s="6" t="s">
        <v>2</v>
      </c>
      <c r="F774" s="6">
        <v>1</v>
      </c>
      <c r="G774" s="6">
        <v>5</v>
      </c>
      <c r="H774" s="6">
        <v>5</v>
      </c>
      <c r="I774" s="6"/>
      <c r="J774" s="6"/>
      <c r="K774" s="6"/>
      <c r="L774" s="6" t="str">
        <f t="shared" si="84"/>
        <v>Matthias Rosskopf</v>
      </c>
      <c r="M774" s="6" t="str">
        <f t="shared" si="85"/>
        <v>I, Robot (Smith, Moynahan)</v>
      </c>
      <c r="N774" s="9">
        <f t="shared" si="86"/>
        <v>5</v>
      </c>
      <c r="P774" t="str">
        <f t="shared" si="87"/>
        <v>"Matthias Rosskopf";"I, Robot";"5"</v>
      </c>
      <c r="U774" t="str">
        <f t="shared" si="88"/>
        <v>Matthias Rosskopf</v>
      </c>
      <c r="V774" t="str">
        <f t="shared" si="89"/>
        <v>I, Robot</v>
      </c>
      <c r="W774">
        <f t="shared" si="90"/>
        <v>1</v>
      </c>
    </row>
    <row r="775" spans="1:23" x14ac:dyDescent="0.2">
      <c r="A775" s="6" t="s">
        <v>40</v>
      </c>
      <c r="B775" s="6">
        <v>1967</v>
      </c>
      <c r="C775" s="6"/>
      <c r="D775" s="6" t="s">
        <v>78</v>
      </c>
      <c r="E775" s="6" t="s">
        <v>3</v>
      </c>
      <c r="F775" s="6">
        <v>0</v>
      </c>
      <c r="G775" s="6"/>
      <c r="H775" s="6">
        <v>0</v>
      </c>
      <c r="I775" s="6"/>
      <c r="J775" s="6"/>
      <c r="K775" s="6"/>
      <c r="L775" s="6" t="str">
        <f t="shared" si="84"/>
        <v>Matthias Rosskopf</v>
      </c>
      <c r="M775" s="6" t="str">
        <f t="shared" si="85"/>
        <v>In The Heat Of The Night (Poitier, Steiger)</v>
      </c>
      <c r="N775" s="9">
        <f t="shared" si="86"/>
        <v>0</v>
      </c>
      <c r="P775" t="str">
        <f t="shared" si="87"/>
        <v>"Matthias Rosskopf";"In The Heat Of The Night";"0"</v>
      </c>
      <c r="U775" t="str">
        <f t="shared" si="88"/>
        <v>Matthias Rosskopf</v>
      </c>
      <c r="V775" t="str">
        <f t="shared" si="89"/>
        <v>In The Heat Of The Night</v>
      </c>
      <c r="W775">
        <f t="shared" si="90"/>
        <v>0</v>
      </c>
    </row>
    <row r="776" spans="1:23" x14ac:dyDescent="0.2">
      <c r="A776" s="6" t="s">
        <v>41</v>
      </c>
      <c r="B776" s="6">
        <v>2014</v>
      </c>
      <c r="C776" s="6"/>
      <c r="D776" s="6" t="s">
        <v>78</v>
      </c>
      <c r="E776" s="6" t="s">
        <v>2</v>
      </c>
      <c r="F776" s="6">
        <v>1</v>
      </c>
      <c r="G776" s="6">
        <v>3</v>
      </c>
      <c r="H776" s="6">
        <v>3</v>
      </c>
      <c r="I776" s="6"/>
      <c r="J776" s="6"/>
      <c r="K776" s="6"/>
      <c r="L776" s="6" t="str">
        <f t="shared" si="84"/>
        <v>Matthias Rosskopf</v>
      </c>
      <c r="M776" s="6" t="str">
        <f t="shared" si="85"/>
        <v>Jack Ryan: Shadow Recruite (Pine, Costner)</v>
      </c>
      <c r="N776" s="9">
        <f t="shared" si="86"/>
        <v>3</v>
      </c>
      <c r="P776" t="str">
        <f t="shared" si="87"/>
        <v>"Matthias Rosskopf";"Jack Ryan: Shadow Recruite";"3"</v>
      </c>
      <c r="U776" t="str">
        <f t="shared" si="88"/>
        <v>Matthias Rosskopf</v>
      </c>
      <c r="V776" t="str">
        <f t="shared" si="89"/>
        <v>Jack Ryan: Shadow Recruite</v>
      </c>
      <c r="W776">
        <f t="shared" si="90"/>
        <v>1</v>
      </c>
    </row>
    <row r="777" spans="1:23" x14ac:dyDescent="0.2">
      <c r="A777" s="6" t="s">
        <v>42</v>
      </c>
      <c r="B777" s="6">
        <v>1995</v>
      </c>
      <c r="C777" s="6"/>
      <c r="D777" s="6" t="s">
        <v>78</v>
      </c>
      <c r="E777" s="6" t="s">
        <v>2</v>
      </c>
      <c r="F777" s="6">
        <v>1</v>
      </c>
      <c r="G777" s="6">
        <v>3</v>
      </c>
      <c r="H777" s="6">
        <v>3</v>
      </c>
      <c r="I777" s="6"/>
      <c r="J777" s="6"/>
      <c r="K777" s="6"/>
      <c r="L777" s="6" t="str">
        <f t="shared" si="84"/>
        <v>Matthias Rosskopf</v>
      </c>
      <c r="M777" s="6" t="str">
        <f t="shared" si="85"/>
        <v>Jumanji (Williams, Dunst)</v>
      </c>
      <c r="N777" s="9">
        <f t="shared" si="86"/>
        <v>3</v>
      </c>
      <c r="P777" t="str">
        <f t="shared" si="87"/>
        <v>"Matthias Rosskopf";"Jumanji";"3"</v>
      </c>
      <c r="U777" t="str">
        <f t="shared" si="88"/>
        <v>Matthias Rosskopf</v>
      </c>
      <c r="V777" t="str">
        <f t="shared" si="89"/>
        <v>Jumanji</v>
      </c>
      <c r="W777">
        <f t="shared" si="90"/>
        <v>1</v>
      </c>
    </row>
    <row r="778" spans="1:23" x14ac:dyDescent="0.2">
      <c r="A778" s="6" t="s">
        <v>43</v>
      </c>
      <c r="B778" s="6">
        <v>2005</v>
      </c>
      <c r="C778" s="6"/>
      <c r="D778" s="6" t="s">
        <v>78</v>
      </c>
      <c r="E778" s="6" t="s">
        <v>2</v>
      </c>
      <c r="F778" s="6">
        <v>1</v>
      </c>
      <c r="G778" s="6">
        <v>3</v>
      </c>
      <c r="H778" s="6">
        <v>3</v>
      </c>
      <c r="I778" s="6"/>
      <c r="J778" s="6"/>
      <c r="K778" s="6"/>
      <c r="L778" s="6" t="str">
        <f t="shared" si="84"/>
        <v>Matthias Rosskopf</v>
      </c>
      <c r="M778" s="6" t="str">
        <f t="shared" si="85"/>
        <v>King Kong (Watts, Black)</v>
      </c>
      <c r="N778" s="9">
        <f t="shared" si="86"/>
        <v>3</v>
      </c>
      <c r="P778" t="str">
        <f t="shared" si="87"/>
        <v>"Matthias Rosskopf";"King Kong";"3"</v>
      </c>
      <c r="U778" t="str">
        <f t="shared" si="88"/>
        <v>Matthias Rosskopf</v>
      </c>
      <c r="V778" t="str">
        <f t="shared" si="89"/>
        <v>King Kong</v>
      </c>
      <c r="W778">
        <f t="shared" si="90"/>
        <v>1</v>
      </c>
    </row>
    <row r="779" spans="1:23" x14ac:dyDescent="0.2">
      <c r="A779" s="6" t="s">
        <v>44</v>
      </c>
      <c r="B779" s="6">
        <v>2016</v>
      </c>
      <c r="C779" s="6"/>
      <c r="D779" s="6" t="s">
        <v>78</v>
      </c>
      <c r="E779" s="6" t="s">
        <v>3</v>
      </c>
      <c r="F779" s="6">
        <v>0</v>
      </c>
      <c r="G779" s="6"/>
      <c r="H779" s="6">
        <v>0</v>
      </c>
      <c r="I779" s="6"/>
      <c r="J779" s="6"/>
      <c r="K779" s="6"/>
      <c r="L779" s="6" t="str">
        <f t="shared" si="84"/>
        <v>Matthias Rosskopf</v>
      </c>
      <c r="M779" s="6" t="str">
        <f t="shared" si="85"/>
        <v>La La Land (Gosling, Stone)</v>
      </c>
      <c r="N779" s="9">
        <f t="shared" si="86"/>
        <v>0</v>
      </c>
      <c r="P779" t="str">
        <f t="shared" si="87"/>
        <v>"Matthias Rosskopf";"La La Land";"0"</v>
      </c>
      <c r="U779" t="str">
        <f t="shared" si="88"/>
        <v>Matthias Rosskopf</v>
      </c>
      <c r="V779" t="str">
        <f t="shared" si="89"/>
        <v>La La Land</v>
      </c>
      <c r="W779">
        <f t="shared" si="90"/>
        <v>0</v>
      </c>
    </row>
    <row r="780" spans="1:23" x14ac:dyDescent="0.2">
      <c r="A780" s="6" t="s">
        <v>45</v>
      </c>
      <c r="B780" s="6">
        <v>2001</v>
      </c>
      <c r="C780" s="6"/>
      <c r="D780" s="6" t="s">
        <v>78</v>
      </c>
      <c r="E780" s="6" t="s">
        <v>2</v>
      </c>
      <c r="F780" s="6">
        <v>1</v>
      </c>
      <c r="G780" s="6">
        <v>3</v>
      </c>
      <c r="H780" s="6">
        <v>3</v>
      </c>
      <c r="I780" s="6"/>
      <c r="J780" s="6"/>
      <c r="K780" s="6"/>
      <c r="L780" s="6" t="str">
        <f t="shared" si="84"/>
        <v>Matthias Rosskopf</v>
      </c>
      <c r="M780" s="6" t="str">
        <f t="shared" si="85"/>
        <v>Lord of the Rings (Woods, McKellen)</v>
      </c>
      <c r="N780" s="9">
        <f t="shared" si="86"/>
        <v>3</v>
      </c>
      <c r="P780" t="str">
        <f t="shared" si="87"/>
        <v>"Matthias Rosskopf";"Lord of the Rings";"3"</v>
      </c>
      <c r="U780" t="str">
        <f t="shared" si="88"/>
        <v>Matthias Rosskopf</v>
      </c>
      <c r="V780" t="str">
        <f t="shared" si="89"/>
        <v>Lord of the Rings</v>
      </c>
      <c r="W780">
        <f t="shared" si="90"/>
        <v>1</v>
      </c>
    </row>
    <row r="781" spans="1:23" x14ac:dyDescent="0.2">
      <c r="A781" s="6" t="s">
        <v>46</v>
      </c>
      <c r="B781" s="6">
        <v>1964</v>
      </c>
      <c r="C781" s="6"/>
      <c r="D781" s="6" t="s">
        <v>78</v>
      </c>
      <c r="E781" s="6" t="s">
        <v>3</v>
      </c>
      <c r="F781" s="6">
        <v>0</v>
      </c>
      <c r="G781" s="6"/>
      <c r="H781" s="6">
        <v>0</v>
      </c>
      <c r="I781" s="6"/>
      <c r="J781" s="6"/>
      <c r="K781" s="6"/>
      <c r="L781" s="6" t="str">
        <f t="shared" si="84"/>
        <v>Matthias Rosskopf</v>
      </c>
      <c r="M781" s="6" t="str">
        <f t="shared" si="85"/>
        <v>Per Un Pugno Di Dollari (Eastwood, Koch)</v>
      </c>
      <c r="N781" s="9">
        <f t="shared" si="86"/>
        <v>0</v>
      </c>
      <c r="P781" t="str">
        <f t="shared" si="87"/>
        <v>"Matthias Rosskopf";"Per Un Pugno Di Dollari";"0"</v>
      </c>
      <c r="U781" t="str">
        <f t="shared" si="88"/>
        <v>Matthias Rosskopf</v>
      </c>
      <c r="V781" t="str">
        <f t="shared" si="89"/>
        <v>Per Un Pugno Di Dollari</v>
      </c>
      <c r="W781">
        <f t="shared" si="90"/>
        <v>0</v>
      </c>
    </row>
    <row r="782" spans="1:23" x14ac:dyDescent="0.2">
      <c r="A782" s="6" t="s">
        <v>47</v>
      </c>
      <c r="B782" s="6">
        <v>1954</v>
      </c>
      <c r="C782" s="6"/>
      <c r="D782" s="6" t="s">
        <v>78</v>
      </c>
      <c r="E782" s="6" t="s">
        <v>3</v>
      </c>
      <c r="F782" s="6">
        <v>0</v>
      </c>
      <c r="G782" s="6"/>
      <c r="H782" s="6">
        <v>0</v>
      </c>
      <c r="I782" s="6"/>
      <c r="J782" s="6"/>
      <c r="K782" s="6"/>
      <c r="L782" s="6" t="str">
        <f t="shared" si="84"/>
        <v>Matthias Rosskopf</v>
      </c>
      <c r="M782" s="6" t="str">
        <f t="shared" si="85"/>
        <v>Rear Window (Stewart, Kelly)</v>
      </c>
      <c r="N782" s="9">
        <f t="shared" si="86"/>
        <v>0</v>
      </c>
      <c r="P782" t="str">
        <f t="shared" si="87"/>
        <v>"Matthias Rosskopf";"Rear Window";"0"</v>
      </c>
      <c r="U782" t="str">
        <f t="shared" si="88"/>
        <v>Matthias Rosskopf</v>
      </c>
      <c r="V782" t="str">
        <f t="shared" si="89"/>
        <v>Rear Window</v>
      </c>
      <c r="W782">
        <f t="shared" si="90"/>
        <v>0</v>
      </c>
    </row>
    <row r="783" spans="1:23" x14ac:dyDescent="0.2">
      <c r="A783" s="6" t="s">
        <v>48</v>
      </c>
      <c r="B783" s="6">
        <v>1955</v>
      </c>
      <c r="C783" s="6"/>
      <c r="D783" s="6" t="s">
        <v>78</v>
      </c>
      <c r="E783" s="6" t="s">
        <v>3</v>
      </c>
      <c r="F783" s="6">
        <v>0</v>
      </c>
      <c r="G783" s="6"/>
      <c r="H783" s="6">
        <v>0</v>
      </c>
      <c r="I783" s="6"/>
      <c r="J783" s="6"/>
      <c r="K783" s="6"/>
      <c r="L783" s="6" t="str">
        <f t="shared" si="84"/>
        <v>Matthias Rosskopf</v>
      </c>
      <c r="M783" s="6" t="str">
        <f t="shared" si="85"/>
        <v>Rebel Without A Cause (Dean, Wood)</v>
      </c>
      <c r="N783" s="9">
        <f t="shared" si="86"/>
        <v>0</v>
      </c>
      <c r="P783" t="str">
        <f t="shared" si="87"/>
        <v>"Matthias Rosskopf";"Rebel Without A Cause";"0"</v>
      </c>
      <c r="U783" t="str">
        <f t="shared" si="88"/>
        <v>Matthias Rosskopf</v>
      </c>
      <c r="V783" t="str">
        <f t="shared" si="89"/>
        <v>Rebel Without A Cause</v>
      </c>
      <c r="W783">
        <f t="shared" si="90"/>
        <v>0</v>
      </c>
    </row>
    <row r="784" spans="1:23" x14ac:dyDescent="0.2">
      <c r="A784" s="6" t="s">
        <v>66</v>
      </c>
      <c r="B784" s="6">
        <v>2005</v>
      </c>
      <c r="C784" s="6"/>
      <c r="D784" s="6" t="s">
        <v>78</v>
      </c>
      <c r="E784" s="6" t="s">
        <v>3</v>
      </c>
      <c r="F784" s="6">
        <v>0</v>
      </c>
      <c r="G784" s="6"/>
      <c r="H784" s="6">
        <v>0</v>
      </c>
      <c r="I784" s="6"/>
      <c r="J784" s="6"/>
      <c r="K784" s="6"/>
      <c r="L784" s="6" t="str">
        <f t="shared" si="84"/>
        <v>Matthias Rosskopf</v>
      </c>
      <c r="M784" s="6" t="str">
        <f t="shared" si="85"/>
        <v>Rumor has it (Aniston, Costner)</v>
      </c>
      <c r="N784" s="9">
        <f t="shared" si="86"/>
        <v>0</v>
      </c>
      <c r="P784" t="str">
        <f t="shared" si="87"/>
        <v>"Matthias Rosskopf";"Rumor has it";"0"</v>
      </c>
      <c r="U784" t="str">
        <f t="shared" si="88"/>
        <v>Matthias Rosskopf</v>
      </c>
      <c r="V784" t="str">
        <f t="shared" si="89"/>
        <v>Rumor has it</v>
      </c>
      <c r="W784">
        <f t="shared" si="90"/>
        <v>0</v>
      </c>
    </row>
    <row r="785" spans="1:23" x14ac:dyDescent="0.2">
      <c r="A785" s="6" t="s">
        <v>49</v>
      </c>
      <c r="B785" s="6">
        <v>1998</v>
      </c>
      <c r="C785" s="6"/>
      <c r="D785" s="6" t="s">
        <v>78</v>
      </c>
      <c r="E785" s="6" t="s">
        <v>2</v>
      </c>
      <c r="F785" s="6">
        <v>1</v>
      </c>
      <c r="G785" s="6">
        <v>5</v>
      </c>
      <c r="H785" s="6">
        <v>5</v>
      </c>
      <c r="I785" s="6"/>
      <c r="J785" s="6"/>
      <c r="K785" s="6"/>
      <c r="L785" s="6" t="str">
        <f t="shared" si="84"/>
        <v>Matthias Rosskopf</v>
      </c>
      <c r="M785" s="6" t="str">
        <f t="shared" si="85"/>
        <v>Saving private Ryan (Hanks, Damon)</v>
      </c>
      <c r="N785" s="9">
        <f t="shared" si="86"/>
        <v>5</v>
      </c>
      <c r="P785" t="str">
        <f t="shared" si="87"/>
        <v>"Matthias Rosskopf";"Saving private Ryan";"5"</v>
      </c>
      <c r="U785" t="str">
        <f t="shared" si="88"/>
        <v>Matthias Rosskopf</v>
      </c>
      <c r="V785" t="str">
        <f t="shared" si="89"/>
        <v>Saving private Ryan</v>
      </c>
      <c r="W785">
        <f t="shared" si="90"/>
        <v>1</v>
      </c>
    </row>
    <row r="786" spans="1:23" x14ac:dyDescent="0.2">
      <c r="A786" s="6" t="s">
        <v>50</v>
      </c>
      <c r="B786" s="6">
        <v>1993</v>
      </c>
      <c r="C786" s="6"/>
      <c r="D786" s="6" t="s">
        <v>78</v>
      </c>
      <c r="E786" s="6" t="s">
        <v>2</v>
      </c>
      <c r="F786" s="6">
        <v>1</v>
      </c>
      <c r="G786" s="6">
        <v>5</v>
      </c>
      <c r="H786" s="6">
        <v>5</v>
      </c>
      <c r="I786" s="6"/>
      <c r="J786" s="6"/>
      <c r="K786" s="6"/>
      <c r="L786" s="6" t="str">
        <f t="shared" si="84"/>
        <v>Matthias Rosskopf</v>
      </c>
      <c r="M786" s="6" t="str">
        <f t="shared" si="85"/>
        <v>Schindlers List (Neeson, Fiennes)</v>
      </c>
      <c r="N786" s="9">
        <f t="shared" si="86"/>
        <v>5</v>
      </c>
      <c r="P786" t="str">
        <f t="shared" si="87"/>
        <v>"Matthias Rosskopf";"Schindlers List";"5"</v>
      </c>
      <c r="U786" t="str">
        <f t="shared" si="88"/>
        <v>Matthias Rosskopf</v>
      </c>
      <c r="V786" t="str">
        <f t="shared" si="89"/>
        <v>Schindlers List</v>
      </c>
      <c r="W786">
        <f t="shared" si="90"/>
        <v>1</v>
      </c>
    </row>
    <row r="787" spans="1:23" x14ac:dyDescent="0.2">
      <c r="A787" s="6" t="s">
        <v>51</v>
      </c>
      <c r="B787" s="6">
        <v>1996</v>
      </c>
      <c r="C787" s="6"/>
      <c r="D787" s="6" t="s">
        <v>78</v>
      </c>
      <c r="E787" s="6" t="s">
        <v>2</v>
      </c>
      <c r="F787" s="6">
        <v>1</v>
      </c>
      <c r="G787" s="6">
        <v>3</v>
      </c>
      <c r="H787" s="6">
        <v>3</v>
      </c>
      <c r="I787" s="6"/>
      <c r="J787" s="6"/>
      <c r="K787" s="6"/>
      <c r="L787" s="6" t="str">
        <f t="shared" si="84"/>
        <v>Matthias Rosskopf</v>
      </c>
      <c r="M787" s="6" t="str">
        <f t="shared" si="85"/>
        <v>Scream (Arquette, Campell)</v>
      </c>
      <c r="N787" s="9">
        <f t="shared" si="86"/>
        <v>3</v>
      </c>
      <c r="P787" t="str">
        <f t="shared" si="87"/>
        <v>"Matthias Rosskopf";"Scream";"3"</v>
      </c>
      <c r="U787" t="str">
        <f t="shared" si="88"/>
        <v>Matthias Rosskopf</v>
      </c>
      <c r="V787" t="str">
        <f t="shared" si="89"/>
        <v>Scream</v>
      </c>
      <c r="W787">
        <f t="shared" si="90"/>
        <v>1</v>
      </c>
    </row>
    <row r="788" spans="1:23" x14ac:dyDescent="0.2">
      <c r="A788" s="6" t="s">
        <v>52</v>
      </c>
      <c r="B788" s="6">
        <v>1977</v>
      </c>
      <c r="C788" s="6"/>
      <c r="D788" s="6" t="s">
        <v>78</v>
      </c>
      <c r="E788" s="6" t="s">
        <v>2</v>
      </c>
      <c r="F788" s="6">
        <v>1</v>
      </c>
      <c r="G788" s="6">
        <v>5</v>
      </c>
      <c r="H788" s="6">
        <v>5</v>
      </c>
      <c r="I788" s="6"/>
      <c r="J788" s="6"/>
      <c r="K788" s="6"/>
      <c r="L788" s="6" t="str">
        <f t="shared" si="84"/>
        <v>Matthias Rosskopf</v>
      </c>
      <c r="M788" s="6" t="str">
        <f t="shared" si="85"/>
        <v>Star Wars IV: A new hope (Hamill, Ford)</v>
      </c>
      <c r="N788" s="9">
        <f t="shared" si="86"/>
        <v>5</v>
      </c>
      <c r="P788" t="str">
        <f t="shared" si="87"/>
        <v>"Matthias Rosskopf";"Star Wars IV: A new hope";"5"</v>
      </c>
      <c r="U788" t="str">
        <f t="shared" si="88"/>
        <v>Matthias Rosskopf</v>
      </c>
      <c r="V788" t="str">
        <f t="shared" si="89"/>
        <v>Star Wars IV: A new hope</v>
      </c>
      <c r="W788">
        <f t="shared" si="90"/>
        <v>1</v>
      </c>
    </row>
    <row r="789" spans="1:23" x14ac:dyDescent="0.2">
      <c r="A789" s="6" t="s">
        <v>53</v>
      </c>
      <c r="B789" s="6">
        <v>2016</v>
      </c>
      <c r="C789" s="6"/>
      <c r="D789" s="6" t="s">
        <v>78</v>
      </c>
      <c r="E789" s="6" t="s">
        <v>2</v>
      </c>
      <c r="F789" s="6">
        <v>1</v>
      </c>
      <c r="G789" s="6">
        <v>3</v>
      </c>
      <c r="H789" s="6">
        <v>3</v>
      </c>
      <c r="I789" s="6"/>
      <c r="J789" s="6"/>
      <c r="K789" s="6"/>
      <c r="L789" s="6" t="str">
        <f t="shared" si="84"/>
        <v>Matthias Rosskopf</v>
      </c>
      <c r="M789" s="6" t="str">
        <f t="shared" si="85"/>
        <v>Suicide Squad (Smith, Robbie)</v>
      </c>
      <c r="N789" s="9">
        <f t="shared" si="86"/>
        <v>3</v>
      </c>
      <c r="P789" t="str">
        <f t="shared" si="87"/>
        <v>"Matthias Rosskopf";"Suicide Squad";"3"</v>
      </c>
      <c r="U789" t="str">
        <f t="shared" si="88"/>
        <v>Matthias Rosskopf</v>
      </c>
      <c r="V789" t="str">
        <f t="shared" si="89"/>
        <v>Suicide Squad</v>
      </c>
      <c r="W789">
        <f t="shared" si="90"/>
        <v>1</v>
      </c>
    </row>
    <row r="790" spans="1:23" x14ac:dyDescent="0.2">
      <c r="A790" s="6" t="s">
        <v>54</v>
      </c>
      <c r="B790" s="6">
        <v>2010</v>
      </c>
      <c r="C790" s="6"/>
      <c r="D790" s="6" t="s">
        <v>78</v>
      </c>
      <c r="E790" s="6" t="s">
        <v>3</v>
      </c>
      <c r="F790" s="6">
        <v>0</v>
      </c>
      <c r="G790" s="6"/>
      <c r="H790" s="6">
        <v>0</v>
      </c>
      <c r="I790" s="6"/>
      <c r="J790" s="6"/>
      <c r="K790" s="6"/>
      <c r="L790" s="6" t="str">
        <f t="shared" si="84"/>
        <v>Matthias Rosskopf</v>
      </c>
      <c r="M790" s="6" t="str">
        <f t="shared" si="85"/>
        <v>Tangled (Disney)</v>
      </c>
      <c r="N790" s="9">
        <f t="shared" si="86"/>
        <v>0</v>
      </c>
      <c r="P790" t="str">
        <f t="shared" si="87"/>
        <v>"Matthias Rosskopf";"Tangled";"0"</v>
      </c>
      <c r="U790" t="str">
        <f t="shared" si="88"/>
        <v>Matthias Rosskopf</v>
      </c>
      <c r="V790" t="str">
        <f t="shared" si="89"/>
        <v>Tangled</v>
      </c>
      <c r="W790">
        <f t="shared" si="90"/>
        <v>0</v>
      </c>
    </row>
    <row r="791" spans="1:23" x14ac:dyDescent="0.2">
      <c r="A791" s="6" t="s">
        <v>55</v>
      </c>
      <c r="B791" s="6">
        <v>2012</v>
      </c>
      <c r="C791" s="6"/>
      <c r="D791" s="6" t="s">
        <v>78</v>
      </c>
      <c r="E791" s="6" t="s">
        <v>2</v>
      </c>
      <c r="F791" s="6">
        <v>1</v>
      </c>
      <c r="G791" s="6">
        <v>5</v>
      </c>
      <c r="H791" s="6">
        <v>5</v>
      </c>
      <c r="I791" s="6"/>
      <c r="J791" s="6"/>
      <c r="K791" s="6"/>
      <c r="L791" s="6" t="str">
        <f t="shared" si="84"/>
        <v>Matthias Rosskopf</v>
      </c>
      <c r="M791" s="6" t="str">
        <f t="shared" si="85"/>
        <v>The Avengers (Downey Jr. Evans)</v>
      </c>
      <c r="N791" s="9">
        <f t="shared" si="86"/>
        <v>5</v>
      </c>
      <c r="P791" t="str">
        <f t="shared" si="87"/>
        <v>"Matthias Rosskopf";"The Avengers";"5"</v>
      </c>
      <c r="U791" t="str">
        <f t="shared" si="88"/>
        <v>Matthias Rosskopf</v>
      </c>
      <c r="V791" t="str">
        <f t="shared" si="89"/>
        <v>The Avengers</v>
      </c>
      <c r="W791">
        <f t="shared" si="90"/>
        <v>1</v>
      </c>
    </row>
    <row r="792" spans="1:23" x14ac:dyDescent="0.2">
      <c r="A792" s="6" t="s">
        <v>56</v>
      </c>
      <c r="B792" s="6">
        <v>1973</v>
      </c>
      <c r="C792" s="6"/>
      <c r="D792" s="6" t="s">
        <v>78</v>
      </c>
      <c r="E792" s="6" t="s">
        <v>2</v>
      </c>
      <c r="F792" s="6">
        <v>1</v>
      </c>
      <c r="G792" s="6">
        <v>5</v>
      </c>
      <c r="H792" s="6">
        <v>5</v>
      </c>
      <c r="I792" s="6"/>
      <c r="J792" s="6"/>
      <c r="K792" s="6"/>
      <c r="L792" s="6" t="str">
        <f t="shared" si="84"/>
        <v>Matthias Rosskopf</v>
      </c>
      <c r="M792" s="6" t="str">
        <f t="shared" si="85"/>
        <v>The Exorcist (von Sydow, Blair)</v>
      </c>
      <c r="N792" s="9">
        <f t="shared" si="86"/>
        <v>5</v>
      </c>
      <c r="P792" t="str">
        <f t="shared" si="87"/>
        <v>"Matthias Rosskopf";"The Exorcist";"5"</v>
      </c>
      <c r="U792" t="str">
        <f t="shared" si="88"/>
        <v>Matthias Rosskopf</v>
      </c>
      <c r="V792" t="str">
        <f t="shared" si="89"/>
        <v>The Exorcist</v>
      </c>
      <c r="W792">
        <f t="shared" si="90"/>
        <v>1</v>
      </c>
    </row>
    <row r="793" spans="1:23" x14ac:dyDescent="0.2">
      <c r="A793" s="6" t="s">
        <v>57</v>
      </c>
      <c r="B793" s="6">
        <v>1972</v>
      </c>
      <c r="C793" s="6"/>
      <c r="D793" s="6" t="s">
        <v>78</v>
      </c>
      <c r="E793" s="6" t="s">
        <v>2</v>
      </c>
      <c r="F793" s="6">
        <v>1</v>
      </c>
      <c r="G793" s="6">
        <v>5</v>
      </c>
      <c r="H793" s="6">
        <v>5</v>
      </c>
      <c r="I793" s="6"/>
      <c r="J793" s="6"/>
      <c r="K793" s="6"/>
      <c r="L793" s="6" t="str">
        <f t="shared" si="84"/>
        <v>Matthias Rosskopf</v>
      </c>
      <c r="M793" s="6" t="str">
        <f t="shared" si="85"/>
        <v>The Godfather (Brando, Pacino)</v>
      </c>
      <c r="N793" s="9">
        <f t="shared" si="86"/>
        <v>5</v>
      </c>
      <c r="P793" t="str">
        <f t="shared" si="87"/>
        <v>"Matthias Rosskopf";"The Godfather";"5"</v>
      </c>
      <c r="U793" t="str">
        <f t="shared" si="88"/>
        <v>Matthias Rosskopf</v>
      </c>
      <c r="V793" t="str">
        <f t="shared" si="89"/>
        <v>The Godfather</v>
      </c>
      <c r="W793">
        <f t="shared" si="90"/>
        <v>1</v>
      </c>
    </row>
    <row r="794" spans="1:23" x14ac:dyDescent="0.2">
      <c r="A794" s="6" t="s">
        <v>58</v>
      </c>
      <c r="B794" s="6">
        <v>1994</v>
      </c>
      <c r="C794" s="6"/>
      <c r="D794" s="6" t="s">
        <v>78</v>
      </c>
      <c r="E794" s="6" t="s">
        <v>2</v>
      </c>
      <c r="F794" s="6">
        <v>1</v>
      </c>
      <c r="G794" s="6">
        <v>5</v>
      </c>
      <c r="H794" s="6">
        <v>5</v>
      </c>
      <c r="I794" s="6"/>
      <c r="J794" s="6"/>
      <c r="K794" s="6"/>
      <c r="L794" s="6" t="str">
        <f t="shared" si="84"/>
        <v>Matthias Rosskopf</v>
      </c>
      <c r="M794" s="6" t="str">
        <f t="shared" si="85"/>
        <v>The Lion King (Disney)</v>
      </c>
      <c r="N794" s="9">
        <f t="shared" si="86"/>
        <v>5</v>
      </c>
      <c r="P794" t="str">
        <f t="shared" si="87"/>
        <v>"Matthias Rosskopf";"The Lion King";"5"</v>
      </c>
      <c r="U794" t="str">
        <f t="shared" si="88"/>
        <v>Matthias Rosskopf</v>
      </c>
      <c r="V794" t="str">
        <f t="shared" si="89"/>
        <v>The Lion King</v>
      </c>
      <c r="W794">
        <f t="shared" si="90"/>
        <v>1</v>
      </c>
    </row>
    <row r="795" spans="1:23" x14ac:dyDescent="0.2">
      <c r="A795" s="6" t="s">
        <v>59</v>
      </c>
      <c r="B795" s="6">
        <v>1999</v>
      </c>
      <c r="C795" s="6"/>
      <c r="D795" s="6" t="s">
        <v>78</v>
      </c>
      <c r="E795" s="6" t="s">
        <v>2</v>
      </c>
      <c r="F795" s="6">
        <v>1</v>
      </c>
      <c r="G795" s="6">
        <v>5</v>
      </c>
      <c r="H795" s="6">
        <v>5</v>
      </c>
      <c r="I795" s="6"/>
      <c r="J795" s="6"/>
      <c r="K795" s="6"/>
      <c r="L795" s="6" t="str">
        <f t="shared" si="84"/>
        <v>Matthias Rosskopf</v>
      </c>
      <c r="M795" s="6" t="str">
        <f t="shared" si="85"/>
        <v>The Matrix (Reeves, Fishburn)</v>
      </c>
      <c r="N795" s="9">
        <f t="shared" si="86"/>
        <v>5</v>
      </c>
      <c r="P795" t="str">
        <f t="shared" si="87"/>
        <v>"Matthias Rosskopf";"The Matrix";"5"</v>
      </c>
      <c r="U795" t="str">
        <f t="shared" si="88"/>
        <v>Matthias Rosskopf</v>
      </c>
      <c r="V795" t="str">
        <f t="shared" si="89"/>
        <v>The Matrix</v>
      </c>
      <c r="W795">
        <f t="shared" si="90"/>
        <v>1</v>
      </c>
    </row>
    <row r="796" spans="1:23" x14ac:dyDescent="0.2">
      <c r="A796" s="6" t="s">
        <v>60</v>
      </c>
      <c r="B796" s="6">
        <v>1980</v>
      </c>
      <c r="C796" s="6"/>
      <c r="D796" s="6" t="s">
        <v>78</v>
      </c>
      <c r="E796" s="6" t="s">
        <v>2</v>
      </c>
      <c r="F796" s="6">
        <v>1</v>
      </c>
      <c r="G796" s="6">
        <v>3</v>
      </c>
      <c r="H796" s="6">
        <v>3</v>
      </c>
      <c r="I796" s="6"/>
      <c r="J796" s="6"/>
      <c r="K796" s="6"/>
      <c r="L796" s="6" t="str">
        <f t="shared" si="84"/>
        <v>Matthias Rosskopf</v>
      </c>
      <c r="M796" s="6" t="str">
        <f t="shared" si="85"/>
        <v>The Shining (Nicholson, Duvall)</v>
      </c>
      <c r="N796" s="9">
        <f t="shared" si="86"/>
        <v>3</v>
      </c>
      <c r="P796" t="str">
        <f t="shared" si="87"/>
        <v>"Matthias Rosskopf";"The Shining";"3"</v>
      </c>
      <c r="U796" t="str">
        <f t="shared" si="88"/>
        <v>Matthias Rosskopf</v>
      </c>
      <c r="V796" t="str">
        <f t="shared" si="89"/>
        <v>The Shining</v>
      </c>
      <c r="W796">
        <f t="shared" si="90"/>
        <v>1</v>
      </c>
    </row>
    <row r="797" spans="1:23" x14ac:dyDescent="0.2">
      <c r="A797" s="6" t="s">
        <v>61</v>
      </c>
      <c r="B797" s="6">
        <v>1984</v>
      </c>
      <c r="C797" s="6"/>
      <c r="D797" s="6" t="s">
        <v>78</v>
      </c>
      <c r="E797" s="6" t="s">
        <v>2</v>
      </c>
      <c r="F797" s="6">
        <v>1</v>
      </c>
      <c r="G797" s="6">
        <v>5</v>
      </c>
      <c r="H797" s="6">
        <v>5</v>
      </c>
      <c r="I797" s="6"/>
      <c r="J797" s="6"/>
      <c r="K797" s="6"/>
      <c r="L797" s="6" t="str">
        <f t="shared" si="84"/>
        <v>Matthias Rosskopf</v>
      </c>
      <c r="M797" s="6" t="str">
        <f t="shared" si="85"/>
        <v>The Terminator (Schwarzenegger, Hamilton)</v>
      </c>
      <c r="N797" s="9">
        <f t="shared" si="86"/>
        <v>5</v>
      </c>
      <c r="P797" t="str">
        <f t="shared" si="87"/>
        <v>"Matthias Rosskopf";"The Terminator";"5"</v>
      </c>
      <c r="U797" t="str">
        <f t="shared" si="88"/>
        <v>Matthias Rosskopf</v>
      </c>
      <c r="V797" t="str">
        <f t="shared" si="89"/>
        <v>The Terminator</v>
      </c>
      <c r="W797">
        <f t="shared" si="90"/>
        <v>1</v>
      </c>
    </row>
    <row r="798" spans="1:23" x14ac:dyDescent="0.2">
      <c r="A798" s="6" t="s">
        <v>62</v>
      </c>
      <c r="B798" s="6">
        <v>1986</v>
      </c>
      <c r="C798" s="6"/>
      <c r="D798" s="6" t="s">
        <v>78</v>
      </c>
      <c r="E798" s="6" t="s">
        <v>2</v>
      </c>
      <c r="F798" s="6">
        <v>1</v>
      </c>
      <c r="G798" s="6">
        <v>3</v>
      </c>
      <c r="H798" s="6">
        <v>3</v>
      </c>
      <c r="I798" s="6"/>
      <c r="J798" s="6"/>
      <c r="K798" s="6"/>
      <c r="L798" s="6" t="str">
        <f t="shared" si="84"/>
        <v>Matthias Rosskopf</v>
      </c>
      <c r="M798" s="6" t="str">
        <f t="shared" si="85"/>
        <v>Top Gun (Cruise, McGillis)</v>
      </c>
      <c r="N798" s="9">
        <f t="shared" si="86"/>
        <v>3</v>
      </c>
      <c r="P798" t="str">
        <f t="shared" si="87"/>
        <v>"Matthias Rosskopf";"Top Gun";"3"</v>
      </c>
      <c r="U798" t="str">
        <f t="shared" si="88"/>
        <v>Matthias Rosskopf</v>
      </c>
      <c r="V798" t="str">
        <f t="shared" si="89"/>
        <v>Top Gun</v>
      </c>
      <c r="W798">
        <f t="shared" si="90"/>
        <v>1</v>
      </c>
    </row>
    <row r="799" spans="1:23" x14ac:dyDescent="0.2">
      <c r="A799" s="6" t="s">
        <v>63</v>
      </c>
      <c r="B799" s="6">
        <v>1995</v>
      </c>
      <c r="C799" s="6"/>
      <c r="D799" s="6" t="s">
        <v>78</v>
      </c>
      <c r="E799" s="6" t="s">
        <v>2</v>
      </c>
      <c r="F799" s="6">
        <v>1</v>
      </c>
      <c r="G799" s="6">
        <v>3</v>
      </c>
      <c r="H799" s="6">
        <v>3</v>
      </c>
      <c r="I799" s="6"/>
      <c r="J799" s="6"/>
      <c r="K799" s="6"/>
      <c r="L799" s="6" t="str">
        <f t="shared" si="84"/>
        <v>Matthias Rosskopf</v>
      </c>
      <c r="M799" s="6" t="str">
        <f t="shared" si="85"/>
        <v>Toy Story (Pixar)</v>
      </c>
      <c r="N799" s="9">
        <f t="shared" si="86"/>
        <v>3</v>
      </c>
      <c r="P799" t="str">
        <f t="shared" si="87"/>
        <v>"Matthias Rosskopf";"Toy Story";"3"</v>
      </c>
      <c r="U799" t="str">
        <f t="shared" si="88"/>
        <v>Matthias Rosskopf</v>
      </c>
      <c r="V799" t="str">
        <f t="shared" si="89"/>
        <v>Toy Story</v>
      </c>
      <c r="W799">
        <f t="shared" si="90"/>
        <v>1</v>
      </c>
    </row>
    <row r="800" spans="1:23" x14ac:dyDescent="0.2">
      <c r="A800" s="6" t="s">
        <v>8</v>
      </c>
      <c r="B800" s="6">
        <v>1968</v>
      </c>
      <c r="C800" s="6"/>
      <c r="D800" s="6" t="s">
        <v>79</v>
      </c>
      <c r="E800" s="6" t="s">
        <v>2</v>
      </c>
      <c r="F800" s="6">
        <v>1</v>
      </c>
      <c r="G800" s="6">
        <v>2</v>
      </c>
      <c r="H800" s="6">
        <v>2</v>
      </c>
      <c r="I800" s="6"/>
      <c r="J800" s="6"/>
      <c r="K800" s="6"/>
      <c r="L800" s="6" t="str">
        <f t="shared" si="84"/>
        <v>Marvin Sonntag</v>
      </c>
      <c r="M800" s="6" t="str">
        <f t="shared" si="85"/>
        <v>2001: A Space Odyssey (Duella, Lockwood)</v>
      </c>
      <c r="N800" s="9">
        <f t="shared" si="86"/>
        <v>2</v>
      </c>
      <c r="P800" t="str">
        <f t="shared" si="87"/>
        <v>"Marvin Sonntag";"2001: A Space Odyssey";"2"</v>
      </c>
      <c r="U800" t="str">
        <f t="shared" si="88"/>
        <v>Marvin Sonntag</v>
      </c>
      <c r="V800" t="str">
        <f t="shared" si="89"/>
        <v>2001: A Space Odyssey</v>
      </c>
      <c r="W800">
        <f t="shared" si="90"/>
        <v>1</v>
      </c>
    </row>
    <row r="801" spans="1:23" x14ac:dyDescent="0.2">
      <c r="A801" s="6" t="s">
        <v>9</v>
      </c>
      <c r="B801" s="6">
        <v>1971</v>
      </c>
      <c r="C801" s="6"/>
      <c r="D801" s="6" t="s">
        <v>79</v>
      </c>
      <c r="E801" s="6" t="s">
        <v>2</v>
      </c>
      <c r="F801" s="6">
        <v>1</v>
      </c>
      <c r="G801" s="6">
        <v>3</v>
      </c>
      <c r="H801" s="6">
        <v>3</v>
      </c>
      <c r="I801" s="6"/>
      <c r="J801" s="6"/>
      <c r="K801" s="6"/>
      <c r="L801" s="6" t="str">
        <f t="shared" si="84"/>
        <v>Marvin Sonntag</v>
      </c>
      <c r="M801" s="6" t="str">
        <f t="shared" si="85"/>
        <v>A Clockwork Orange (McDowell, Magee)</v>
      </c>
      <c r="N801" s="9">
        <f t="shared" si="86"/>
        <v>3</v>
      </c>
      <c r="P801" t="str">
        <f t="shared" si="87"/>
        <v>"Marvin Sonntag";"A Clockwork Orange";"3"</v>
      </c>
      <c r="U801" t="str">
        <f t="shared" si="88"/>
        <v>Marvin Sonntag</v>
      </c>
      <c r="V801" t="str">
        <f t="shared" si="89"/>
        <v>A Clockwork Orange</v>
      </c>
      <c r="W801">
        <f t="shared" si="90"/>
        <v>1</v>
      </c>
    </row>
    <row r="802" spans="1:23" x14ac:dyDescent="0.2">
      <c r="A802" s="6" t="s">
        <v>10</v>
      </c>
      <c r="B802" s="6">
        <v>2018</v>
      </c>
      <c r="C802" s="6"/>
      <c r="D802" s="6" t="s">
        <v>79</v>
      </c>
      <c r="E802" s="6" t="s">
        <v>3</v>
      </c>
      <c r="F802" s="6">
        <v>0</v>
      </c>
      <c r="G802" s="6"/>
      <c r="H802" s="6">
        <v>0</v>
      </c>
      <c r="I802" s="6"/>
      <c r="J802" s="6"/>
      <c r="K802" s="6"/>
      <c r="L802" s="6" t="str">
        <f t="shared" si="84"/>
        <v>Marvin Sonntag</v>
      </c>
      <c r="M802" s="6" t="str">
        <f t="shared" si="85"/>
        <v>A star is born (Gaga, Cooper)</v>
      </c>
      <c r="N802" s="9">
        <f t="shared" si="86"/>
        <v>0</v>
      </c>
      <c r="P802" t="str">
        <f t="shared" si="87"/>
        <v>"Marvin Sonntag";"A star is born";"0"</v>
      </c>
      <c r="U802" t="str">
        <f t="shared" si="88"/>
        <v>Marvin Sonntag</v>
      </c>
      <c r="V802" t="str">
        <f t="shared" si="89"/>
        <v>A star is born</v>
      </c>
      <c r="W802">
        <f t="shared" si="90"/>
        <v>0</v>
      </c>
    </row>
    <row r="803" spans="1:23" x14ac:dyDescent="0.2">
      <c r="A803" s="6" t="s">
        <v>11</v>
      </c>
      <c r="B803" s="6">
        <v>2005</v>
      </c>
      <c r="C803" s="6"/>
      <c r="D803" s="6" t="s">
        <v>79</v>
      </c>
      <c r="E803" s="6" t="s">
        <v>3</v>
      </c>
      <c r="F803" s="6">
        <v>0</v>
      </c>
      <c r="G803" s="6"/>
      <c r="H803" s="6">
        <v>0</v>
      </c>
      <c r="I803" s="6"/>
      <c r="J803" s="6"/>
      <c r="K803" s="6"/>
      <c r="L803" s="6" t="str">
        <f t="shared" si="84"/>
        <v>Marvin Sonntag</v>
      </c>
      <c r="M803" s="6" t="str">
        <f t="shared" si="85"/>
        <v>Aeon Flux (Theron, Csokas)</v>
      </c>
      <c r="N803" s="9">
        <f t="shared" si="86"/>
        <v>0</v>
      </c>
      <c r="P803" t="str">
        <f t="shared" si="87"/>
        <v>"Marvin Sonntag";"Aeon Flux";"0"</v>
      </c>
      <c r="U803" t="str">
        <f t="shared" si="88"/>
        <v>Marvin Sonntag</v>
      </c>
      <c r="V803" t="str">
        <f t="shared" si="89"/>
        <v>Aeon Flux</v>
      </c>
      <c r="W803">
        <f t="shared" si="90"/>
        <v>0</v>
      </c>
    </row>
    <row r="804" spans="1:23" x14ac:dyDescent="0.2">
      <c r="A804" s="6" t="s">
        <v>12</v>
      </c>
      <c r="B804" s="6">
        <v>1951</v>
      </c>
      <c r="C804" s="6"/>
      <c r="D804" s="6" t="s">
        <v>79</v>
      </c>
      <c r="E804" s="6" t="s">
        <v>3</v>
      </c>
      <c r="F804" s="6">
        <v>0</v>
      </c>
      <c r="G804" s="6"/>
      <c r="H804" s="6">
        <v>0</v>
      </c>
      <c r="I804" s="6"/>
      <c r="J804" s="6"/>
      <c r="K804" s="6"/>
      <c r="L804" s="6" t="str">
        <f t="shared" si="84"/>
        <v>Marvin Sonntag</v>
      </c>
      <c r="M804" s="6" t="str">
        <f t="shared" si="85"/>
        <v>African Queen (Bogart, Hepburn)</v>
      </c>
      <c r="N804" s="9">
        <f t="shared" si="86"/>
        <v>0</v>
      </c>
      <c r="P804" t="str">
        <f t="shared" si="87"/>
        <v>"Marvin Sonntag";"African Queen";"0"</v>
      </c>
      <c r="U804" t="str">
        <f t="shared" si="88"/>
        <v>Marvin Sonntag</v>
      </c>
      <c r="V804" t="str">
        <f t="shared" si="89"/>
        <v>African Queen</v>
      </c>
      <c r="W804">
        <f t="shared" si="90"/>
        <v>0</v>
      </c>
    </row>
    <row r="805" spans="1:23" x14ac:dyDescent="0.2">
      <c r="A805" s="6" t="s">
        <v>13</v>
      </c>
      <c r="B805" s="6">
        <v>1979</v>
      </c>
      <c r="C805" s="6"/>
      <c r="D805" s="6" t="s">
        <v>79</v>
      </c>
      <c r="E805" s="6" t="s">
        <v>2</v>
      </c>
      <c r="F805" s="6">
        <v>1</v>
      </c>
      <c r="G805" s="6">
        <v>4</v>
      </c>
      <c r="H805" s="6">
        <v>4</v>
      </c>
      <c r="I805" s="6"/>
      <c r="J805" s="6"/>
      <c r="K805" s="6"/>
      <c r="L805" s="6" t="str">
        <f t="shared" si="84"/>
        <v>Marvin Sonntag</v>
      </c>
      <c r="M805" s="6" t="str">
        <f t="shared" si="85"/>
        <v>Alien (Weaver, Skerritt)</v>
      </c>
      <c r="N805" s="9">
        <f t="shared" si="86"/>
        <v>4</v>
      </c>
      <c r="P805" t="str">
        <f t="shared" si="87"/>
        <v>"Marvin Sonntag";"Alien";"4"</v>
      </c>
      <c r="U805" t="str">
        <f t="shared" si="88"/>
        <v>Marvin Sonntag</v>
      </c>
      <c r="V805" t="str">
        <f t="shared" si="89"/>
        <v>Alien</v>
      </c>
      <c r="W805">
        <f t="shared" si="90"/>
        <v>1</v>
      </c>
    </row>
    <row r="806" spans="1:23" x14ac:dyDescent="0.2">
      <c r="A806" s="6" t="s">
        <v>14</v>
      </c>
      <c r="B806" s="6">
        <v>1960</v>
      </c>
      <c r="C806" s="6"/>
      <c r="D806" s="6" t="s">
        <v>79</v>
      </c>
      <c r="E806" s="6" t="s">
        <v>3</v>
      </c>
      <c r="F806" s="6">
        <v>0</v>
      </c>
      <c r="G806" s="6"/>
      <c r="H806" s="6">
        <v>0</v>
      </c>
      <c r="I806" s="6"/>
      <c r="J806" s="6"/>
      <c r="K806" s="6"/>
      <c r="L806" s="6" t="str">
        <f t="shared" si="84"/>
        <v>Marvin Sonntag</v>
      </c>
      <c r="M806" s="6" t="str">
        <f t="shared" si="85"/>
        <v>Apartment (Lemmon, MacLaine)</v>
      </c>
      <c r="N806" s="9">
        <f t="shared" si="86"/>
        <v>0</v>
      </c>
      <c r="P806" t="str">
        <f t="shared" si="87"/>
        <v>"Marvin Sonntag";"Apartment";"0"</v>
      </c>
      <c r="U806" t="str">
        <f t="shared" si="88"/>
        <v>Marvin Sonntag</v>
      </c>
      <c r="V806" t="str">
        <f t="shared" si="89"/>
        <v>Apartment</v>
      </c>
      <c r="W806">
        <f t="shared" si="90"/>
        <v>0</v>
      </c>
    </row>
    <row r="807" spans="1:23" x14ac:dyDescent="0.2">
      <c r="A807" s="6" t="s">
        <v>15</v>
      </c>
      <c r="B807" s="6">
        <v>1979</v>
      </c>
      <c r="C807" s="6"/>
      <c r="D807" s="6" t="s">
        <v>79</v>
      </c>
      <c r="E807" s="6" t="s">
        <v>3</v>
      </c>
      <c r="F807" s="6">
        <v>0</v>
      </c>
      <c r="G807" s="6"/>
      <c r="H807" s="6">
        <v>0</v>
      </c>
      <c r="I807" s="6"/>
      <c r="J807" s="6"/>
      <c r="K807" s="6"/>
      <c r="L807" s="6" t="str">
        <f t="shared" si="84"/>
        <v>Marvin Sonntag</v>
      </c>
      <c r="M807" s="6" t="str">
        <f t="shared" si="85"/>
        <v>Apocalypse Now (Sheen, Brando)</v>
      </c>
      <c r="N807" s="9">
        <f t="shared" si="86"/>
        <v>0</v>
      </c>
      <c r="P807" t="str">
        <f t="shared" si="87"/>
        <v>"Marvin Sonntag";"Apocalypse Now";"0"</v>
      </c>
      <c r="U807" t="str">
        <f t="shared" si="88"/>
        <v>Marvin Sonntag</v>
      </c>
      <c r="V807" t="str">
        <f t="shared" si="89"/>
        <v>Apocalypse Now</v>
      </c>
      <c r="W807">
        <f t="shared" si="90"/>
        <v>0</v>
      </c>
    </row>
    <row r="808" spans="1:23" x14ac:dyDescent="0.2">
      <c r="A808" s="6" t="s">
        <v>16</v>
      </c>
      <c r="B808" s="6">
        <v>1956</v>
      </c>
      <c r="C808" s="6"/>
      <c r="D808" s="6" t="s">
        <v>79</v>
      </c>
      <c r="E808" s="6" t="s">
        <v>3</v>
      </c>
      <c r="F808" s="6">
        <v>0</v>
      </c>
      <c r="G808" s="6"/>
      <c r="H808" s="6">
        <v>0</v>
      </c>
      <c r="I808" s="6"/>
      <c r="J808" s="6"/>
      <c r="K808" s="6"/>
      <c r="L808" s="6" t="str">
        <f t="shared" si="84"/>
        <v>Marvin Sonntag</v>
      </c>
      <c r="M808" s="6" t="str">
        <f t="shared" si="85"/>
        <v>Around The World In 80 Days (Niven, Cantinflas)</v>
      </c>
      <c r="N808" s="9">
        <f t="shared" si="86"/>
        <v>0</v>
      </c>
      <c r="P808" t="str">
        <f t="shared" si="87"/>
        <v>"Marvin Sonntag";"Around The World In 80 Days";"0"</v>
      </c>
      <c r="U808" t="str">
        <f t="shared" si="88"/>
        <v>Marvin Sonntag</v>
      </c>
      <c r="V808" t="str">
        <f t="shared" si="89"/>
        <v>Around The World In 80 Days</v>
      </c>
      <c r="W808">
        <f t="shared" si="90"/>
        <v>0</v>
      </c>
    </row>
    <row r="809" spans="1:23" x14ac:dyDescent="0.2">
      <c r="A809" s="6" t="s">
        <v>17</v>
      </c>
      <c r="B809" s="6">
        <v>2009</v>
      </c>
      <c r="C809" s="6"/>
      <c r="D809" s="6" t="s">
        <v>79</v>
      </c>
      <c r="E809" s="6" t="s">
        <v>2</v>
      </c>
      <c r="F809" s="6">
        <v>1</v>
      </c>
      <c r="G809" s="6">
        <v>5</v>
      </c>
      <c r="H809" s="6">
        <v>5</v>
      </c>
      <c r="I809" s="6"/>
      <c r="J809" s="6"/>
      <c r="K809" s="6"/>
      <c r="L809" s="6" t="str">
        <f t="shared" si="84"/>
        <v>Marvin Sonntag</v>
      </c>
      <c r="M809" s="6" t="str">
        <f t="shared" si="85"/>
        <v>Avatar (Worthington, Saldana)</v>
      </c>
      <c r="N809" s="9">
        <f t="shared" si="86"/>
        <v>5</v>
      </c>
      <c r="P809" t="str">
        <f t="shared" si="87"/>
        <v>"Marvin Sonntag";"Avatar";"5"</v>
      </c>
      <c r="U809" t="str">
        <f t="shared" si="88"/>
        <v>Marvin Sonntag</v>
      </c>
      <c r="V809" t="str">
        <f t="shared" si="89"/>
        <v>Avatar</v>
      </c>
      <c r="W809">
        <f t="shared" si="90"/>
        <v>1</v>
      </c>
    </row>
    <row r="810" spans="1:23" x14ac:dyDescent="0.2">
      <c r="A810" s="6" t="s">
        <v>18</v>
      </c>
      <c r="B810" s="6">
        <v>1989</v>
      </c>
      <c r="C810" s="6"/>
      <c r="D810" s="6" t="s">
        <v>79</v>
      </c>
      <c r="E810" s="6" t="s">
        <v>3</v>
      </c>
      <c r="F810" s="6">
        <v>0</v>
      </c>
      <c r="G810" s="6"/>
      <c r="H810" s="6">
        <v>0</v>
      </c>
      <c r="I810" s="6"/>
      <c r="J810" s="6"/>
      <c r="K810" s="6"/>
      <c r="L810" s="6" t="str">
        <f t="shared" si="84"/>
        <v>Marvin Sonntag</v>
      </c>
      <c r="M810" s="6" t="str">
        <f t="shared" si="85"/>
        <v>Batman (Keaton, Nicholson, Basinger)</v>
      </c>
      <c r="N810" s="9">
        <f t="shared" si="86"/>
        <v>0</v>
      </c>
      <c r="P810" t="str">
        <f t="shared" si="87"/>
        <v>"Marvin Sonntag";"Batman";"0"</v>
      </c>
      <c r="U810" t="str">
        <f t="shared" si="88"/>
        <v>Marvin Sonntag</v>
      </c>
      <c r="V810" t="str">
        <f t="shared" si="89"/>
        <v>Batman</v>
      </c>
      <c r="W810">
        <f t="shared" si="90"/>
        <v>0</v>
      </c>
    </row>
    <row r="811" spans="1:23" x14ac:dyDescent="0.2">
      <c r="A811" s="6" t="s">
        <v>19</v>
      </c>
      <c r="B811" s="6">
        <v>1982</v>
      </c>
      <c r="C811" s="6"/>
      <c r="D811" s="6" t="s">
        <v>79</v>
      </c>
      <c r="E811" s="6" t="s">
        <v>2</v>
      </c>
      <c r="F811" s="6">
        <v>1</v>
      </c>
      <c r="G811" s="6">
        <v>3</v>
      </c>
      <c r="H811" s="6">
        <v>3</v>
      </c>
      <c r="I811" s="6"/>
      <c r="J811" s="6"/>
      <c r="K811" s="6"/>
      <c r="L811" s="6" t="str">
        <f t="shared" si="84"/>
        <v>Marvin Sonntag</v>
      </c>
      <c r="M811" s="6" t="str">
        <f t="shared" si="85"/>
        <v>Blade Runner (Ford, Hauer)</v>
      </c>
      <c r="N811" s="9">
        <f t="shared" si="86"/>
        <v>3</v>
      </c>
      <c r="P811" t="str">
        <f t="shared" si="87"/>
        <v>"Marvin Sonntag";"Blade Runner";"3"</v>
      </c>
      <c r="U811" t="str">
        <f t="shared" si="88"/>
        <v>Marvin Sonntag</v>
      </c>
      <c r="V811" t="str">
        <f t="shared" si="89"/>
        <v>Blade Runner</v>
      </c>
      <c r="W811">
        <f t="shared" si="90"/>
        <v>1</v>
      </c>
    </row>
    <row r="812" spans="1:23" x14ac:dyDescent="0.2">
      <c r="A812" s="6" t="s">
        <v>20</v>
      </c>
      <c r="B812" s="6">
        <v>2018</v>
      </c>
      <c r="C812" s="6"/>
      <c r="D812" s="6" t="s">
        <v>79</v>
      </c>
      <c r="E812" s="6" t="s">
        <v>3</v>
      </c>
      <c r="F812" s="6">
        <v>0</v>
      </c>
      <c r="G812" s="6"/>
      <c r="H812" s="6">
        <v>0</v>
      </c>
      <c r="I812" s="6"/>
      <c r="J812" s="6"/>
      <c r="K812" s="6"/>
      <c r="L812" s="6" t="str">
        <f t="shared" si="84"/>
        <v>Marvin Sonntag</v>
      </c>
      <c r="M812" s="6" t="str">
        <f t="shared" si="85"/>
        <v>Bohemian Rhapsody (Malek, Boynton)</v>
      </c>
      <c r="N812" s="9">
        <f t="shared" si="86"/>
        <v>0</v>
      </c>
      <c r="P812" t="str">
        <f t="shared" si="87"/>
        <v>"Marvin Sonntag";"Bohemian Rhapsody";"0"</v>
      </c>
      <c r="U812" t="str">
        <f t="shared" si="88"/>
        <v>Marvin Sonntag</v>
      </c>
      <c r="V812" t="str">
        <f t="shared" si="89"/>
        <v>Bohemian Rhapsody</v>
      </c>
      <c r="W812">
        <f t="shared" si="90"/>
        <v>0</v>
      </c>
    </row>
    <row r="813" spans="1:23" x14ac:dyDescent="0.2">
      <c r="A813" s="6" t="s">
        <v>21</v>
      </c>
      <c r="B813" s="6">
        <v>2011</v>
      </c>
      <c r="C813" s="6"/>
      <c r="D813" s="6" t="s">
        <v>79</v>
      </c>
      <c r="E813" s="6" t="s">
        <v>2</v>
      </c>
      <c r="F813" s="6">
        <v>1</v>
      </c>
      <c r="G813" s="6">
        <v>1</v>
      </c>
      <c r="H813" s="6">
        <v>1</v>
      </c>
      <c r="I813" s="6"/>
      <c r="J813" s="6"/>
      <c r="K813" s="6"/>
      <c r="L813" s="6" t="str">
        <f t="shared" si="84"/>
        <v>Marvin Sonntag</v>
      </c>
      <c r="M813" s="6" t="str">
        <f t="shared" si="85"/>
        <v>Captain America (Evans, Waeving)</v>
      </c>
      <c r="N813" s="9">
        <f t="shared" si="86"/>
        <v>1</v>
      </c>
      <c r="P813" t="str">
        <f t="shared" si="87"/>
        <v>"Marvin Sonntag";"Captain America";"1"</v>
      </c>
      <c r="U813" t="str">
        <f t="shared" si="88"/>
        <v>Marvin Sonntag</v>
      </c>
      <c r="V813" t="str">
        <f t="shared" si="89"/>
        <v>Captain America</v>
      </c>
      <c r="W813">
        <f t="shared" si="90"/>
        <v>1</v>
      </c>
    </row>
    <row r="814" spans="1:23" x14ac:dyDescent="0.2">
      <c r="A814" s="6" t="s">
        <v>22</v>
      </c>
      <c r="B814" s="6">
        <v>2000</v>
      </c>
      <c r="C814" s="6"/>
      <c r="D814" s="6" t="s">
        <v>79</v>
      </c>
      <c r="E814" s="6" t="s">
        <v>2</v>
      </c>
      <c r="F814" s="6">
        <v>1</v>
      </c>
      <c r="G814" s="6">
        <v>4</v>
      </c>
      <c r="H814" s="6">
        <v>4</v>
      </c>
      <c r="I814" s="6"/>
      <c r="J814" s="6"/>
      <c r="K814" s="6"/>
      <c r="L814" s="6" t="str">
        <f t="shared" si="84"/>
        <v>Marvin Sonntag</v>
      </c>
      <c r="M814" s="6" t="str">
        <f t="shared" si="85"/>
        <v>Cast Away (Hanks, Hunt)</v>
      </c>
      <c r="N814" s="9">
        <f t="shared" si="86"/>
        <v>4</v>
      </c>
      <c r="P814" t="str">
        <f t="shared" si="87"/>
        <v>"Marvin Sonntag";"Cast Away";"4"</v>
      </c>
      <c r="U814" t="str">
        <f t="shared" si="88"/>
        <v>Marvin Sonntag</v>
      </c>
      <c r="V814" t="str">
        <f t="shared" si="89"/>
        <v>Cast Away</v>
      </c>
      <c r="W814">
        <f t="shared" si="90"/>
        <v>1</v>
      </c>
    </row>
    <row r="815" spans="1:23" x14ac:dyDescent="0.2">
      <c r="A815" s="6" t="s">
        <v>23</v>
      </c>
      <c r="B815" s="6">
        <v>1958</v>
      </c>
      <c r="C815" s="6"/>
      <c r="D815" s="6" t="s">
        <v>79</v>
      </c>
      <c r="E815" s="6" t="s">
        <v>3</v>
      </c>
      <c r="F815" s="6">
        <v>0</v>
      </c>
      <c r="G815" s="6"/>
      <c r="H815" s="6">
        <v>0</v>
      </c>
      <c r="I815" s="6"/>
      <c r="J815" s="6"/>
      <c r="K815" s="6"/>
      <c r="L815" s="6" t="str">
        <f t="shared" si="84"/>
        <v>Marvin Sonntag</v>
      </c>
      <c r="M815" s="6" t="str">
        <f t="shared" si="85"/>
        <v>Cat On Hot Tin Roof (Taylor, Newman)</v>
      </c>
      <c r="N815" s="9">
        <f t="shared" si="86"/>
        <v>0</v>
      </c>
      <c r="P815" t="str">
        <f t="shared" si="87"/>
        <v>"Marvin Sonntag";"Cat On Hot Tin Roof";"0"</v>
      </c>
      <c r="U815" t="str">
        <f t="shared" si="88"/>
        <v>Marvin Sonntag</v>
      </c>
      <c r="V815" t="str">
        <f t="shared" si="89"/>
        <v>Cat On Hot Tin Roof</v>
      </c>
      <c r="W815">
        <f t="shared" si="90"/>
        <v>0</v>
      </c>
    </row>
    <row r="816" spans="1:23" x14ac:dyDescent="0.2">
      <c r="A816" s="6" t="s">
        <v>24</v>
      </c>
      <c r="B816" s="6">
        <v>1963</v>
      </c>
      <c r="C816" s="6"/>
      <c r="D816" s="6" t="s">
        <v>79</v>
      </c>
      <c r="E816" s="6" t="s">
        <v>3</v>
      </c>
      <c r="F816" s="6">
        <v>0</v>
      </c>
      <c r="G816" s="6"/>
      <c r="H816" s="6">
        <v>0</v>
      </c>
      <c r="I816" s="6"/>
      <c r="J816" s="6"/>
      <c r="K816" s="6"/>
      <c r="L816" s="6" t="str">
        <f t="shared" si="84"/>
        <v>Marvin Sonntag</v>
      </c>
      <c r="M816" s="6" t="str">
        <f t="shared" si="85"/>
        <v>Charade (Grant, Hepburn)</v>
      </c>
      <c r="N816" s="9">
        <f t="shared" si="86"/>
        <v>0</v>
      </c>
      <c r="P816" t="str">
        <f t="shared" si="87"/>
        <v>"Marvin Sonntag";"Charade";"0"</v>
      </c>
      <c r="U816" t="str">
        <f t="shared" si="88"/>
        <v>Marvin Sonntag</v>
      </c>
      <c r="V816" t="str">
        <f t="shared" si="89"/>
        <v>Charade</v>
      </c>
      <c r="W816">
        <f t="shared" si="90"/>
        <v>0</v>
      </c>
    </row>
    <row r="817" spans="1:23" x14ac:dyDescent="0.2">
      <c r="A817" s="6" t="s">
        <v>25</v>
      </c>
      <c r="B817" s="6">
        <v>2000</v>
      </c>
      <c r="C817" s="6"/>
      <c r="D817" s="6" t="s">
        <v>79</v>
      </c>
      <c r="E817" s="6" t="s">
        <v>2</v>
      </c>
      <c r="F817" s="6">
        <v>1</v>
      </c>
      <c r="G817" s="6">
        <v>1</v>
      </c>
      <c r="H817" s="6">
        <v>1</v>
      </c>
      <c r="I817" s="6"/>
      <c r="J817" s="6"/>
      <c r="K817" s="6"/>
      <c r="L817" s="6" t="str">
        <f t="shared" si="84"/>
        <v>Marvin Sonntag</v>
      </c>
      <c r="M817" s="6" t="str">
        <f t="shared" si="85"/>
        <v>Charlies Angels (Diaz, Barrymore, Liu)</v>
      </c>
      <c r="N817" s="9">
        <f t="shared" si="86"/>
        <v>1</v>
      </c>
      <c r="P817" t="str">
        <f t="shared" si="87"/>
        <v>"Marvin Sonntag";"Charlies Angels";"1"</v>
      </c>
      <c r="U817" t="str">
        <f t="shared" si="88"/>
        <v>Marvin Sonntag</v>
      </c>
      <c r="V817" t="str">
        <f t="shared" si="89"/>
        <v>Charlies Angels</v>
      </c>
      <c r="W817">
        <f t="shared" si="90"/>
        <v>1</v>
      </c>
    </row>
    <row r="818" spans="1:23" x14ac:dyDescent="0.2">
      <c r="A818" s="6" t="s">
        <v>26</v>
      </c>
      <c r="B818" s="6">
        <v>1974</v>
      </c>
      <c r="C818" s="6"/>
      <c r="D818" s="6" t="s">
        <v>79</v>
      </c>
      <c r="E818" s="6" t="s">
        <v>3</v>
      </c>
      <c r="F818" s="6">
        <v>0</v>
      </c>
      <c r="G818" s="6"/>
      <c r="H818" s="6">
        <v>0</v>
      </c>
      <c r="I818" s="6"/>
      <c r="J818" s="6"/>
      <c r="K818" s="6"/>
      <c r="L818" s="6" t="str">
        <f t="shared" si="84"/>
        <v>Marvin Sonntag</v>
      </c>
      <c r="M818" s="6" t="str">
        <f t="shared" si="85"/>
        <v>Chinatown (Nicholson, Dunaway)</v>
      </c>
      <c r="N818" s="9">
        <f t="shared" si="86"/>
        <v>0</v>
      </c>
      <c r="P818" t="str">
        <f t="shared" si="87"/>
        <v>"Marvin Sonntag";"Chinatown";"0"</v>
      </c>
      <c r="U818" t="str">
        <f t="shared" si="88"/>
        <v>Marvin Sonntag</v>
      </c>
      <c r="V818" t="str">
        <f t="shared" si="89"/>
        <v>Chinatown</v>
      </c>
      <c r="W818">
        <f t="shared" si="90"/>
        <v>0</v>
      </c>
    </row>
    <row r="819" spans="1:23" x14ac:dyDescent="0.2">
      <c r="A819" s="6" t="s">
        <v>27</v>
      </c>
      <c r="B819" s="6">
        <v>1986</v>
      </c>
      <c r="C819" s="6"/>
      <c r="D819" s="6" t="s">
        <v>79</v>
      </c>
      <c r="E819" s="6" t="s">
        <v>3</v>
      </c>
      <c r="F819" s="6">
        <v>0</v>
      </c>
      <c r="G819" s="6"/>
      <c r="H819" s="6">
        <v>0</v>
      </c>
      <c r="I819" s="6"/>
      <c r="J819" s="6"/>
      <c r="K819" s="6"/>
      <c r="L819" s="6" t="str">
        <f t="shared" si="84"/>
        <v>Marvin Sonntag</v>
      </c>
      <c r="M819" s="6" t="str">
        <f t="shared" si="85"/>
        <v>Clockwise (Gleese, Leatherbarrow)</v>
      </c>
      <c r="N819" s="9">
        <f t="shared" si="86"/>
        <v>0</v>
      </c>
      <c r="P819" t="str">
        <f t="shared" si="87"/>
        <v>"Marvin Sonntag";"Clockwise";"0"</v>
      </c>
      <c r="U819" t="str">
        <f t="shared" si="88"/>
        <v>Marvin Sonntag</v>
      </c>
      <c r="V819" t="str">
        <f t="shared" si="89"/>
        <v>Clockwise</v>
      </c>
      <c r="W819">
        <f t="shared" si="90"/>
        <v>0</v>
      </c>
    </row>
    <row r="820" spans="1:23" x14ac:dyDescent="0.2">
      <c r="A820" s="6" t="s">
        <v>28</v>
      </c>
      <c r="B820" s="6">
        <v>2011</v>
      </c>
      <c r="C820" s="6"/>
      <c r="D820" s="6" t="s">
        <v>79</v>
      </c>
      <c r="E820" s="6" t="s">
        <v>3</v>
      </c>
      <c r="F820" s="6">
        <v>0</v>
      </c>
      <c r="G820" s="6"/>
      <c r="H820" s="6">
        <v>0</v>
      </c>
      <c r="I820" s="6"/>
      <c r="J820" s="6"/>
      <c r="K820" s="6"/>
      <c r="L820" s="6" t="str">
        <f t="shared" si="84"/>
        <v>Marvin Sonntag</v>
      </c>
      <c r="M820" s="6" t="str">
        <f t="shared" si="85"/>
        <v>Colombiana (Saldana, Molla)</v>
      </c>
      <c r="N820" s="9">
        <f t="shared" si="86"/>
        <v>0</v>
      </c>
      <c r="P820" t="str">
        <f t="shared" si="87"/>
        <v>"Marvin Sonntag";"Colombiana";"0"</v>
      </c>
      <c r="U820" t="str">
        <f t="shared" si="88"/>
        <v>Marvin Sonntag</v>
      </c>
      <c r="V820" t="str">
        <f t="shared" si="89"/>
        <v>Colombiana</v>
      </c>
      <c r="W820">
        <f t="shared" si="90"/>
        <v>0</v>
      </c>
    </row>
    <row r="821" spans="1:23" x14ac:dyDescent="0.2">
      <c r="A821" s="6" t="s">
        <v>29</v>
      </c>
      <c r="B821" s="6">
        <v>1962</v>
      </c>
      <c r="C821" s="6"/>
      <c r="D821" s="6" t="s">
        <v>79</v>
      </c>
      <c r="E821" s="6" t="s">
        <v>3</v>
      </c>
      <c r="F821" s="6">
        <v>0</v>
      </c>
      <c r="G821" s="6"/>
      <c r="H821" s="6">
        <v>0</v>
      </c>
      <c r="I821" s="6"/>
      <c r="J821" s="6"/>
      <c r="K821" s="6"/>
      <c r="L821" s="6" t="str">
        <f t="shared" si="84"/>
        <v>Marvin Sonntag</v>
      </c>
      <c r="M821" s="6" t="str">
        <f t="shared" si="85"/>
        <v>Doctor No (Connery, Andress)</v>
      </c>
      <c r="N821" s="9">
        <f t="shared" si="86"/>
        <v>0</v>
      </c>
      <c r="P821" t="str">
        <f t="shared" si="87"/>
        <v>"Marvin Sonntag";"Doctor No";"0"</v>
      </c>
      <c r="U821" t="str">
        <f t="shared" si="88"/>
        <v>Marvin Sonntag</v>
      </c>
      <c r="V821" t="str">
        <f t="shared" si="89"/>
        <v>Doctor No</v>
      </c>
      <c r="W821">
        <f t="shared" si="90"/>
        <v>0</v>
      </c>
    </row>
    <row r="822" spans="1:23" x14ac:dyDescent="0.2">
      <c r="A822" s="6" t="s">
        <v>30</v>
      </c>
      <c r="B822" s="6">
        <v>1965</v>
      </c>
      <c r="C822" s="6"/>
      <c r="D822" s="6" t="s">
        <v>79</v>
      </c>
      <c r="E822" s="6" t="s">
        <v>3</v>
      </c>
      <c r="F822" s="6">
        <v>0</v>
      </c>
      <c r="G822" s="6"/>
      <c r="H822" s="6">
        <v>0</v>
      </c>
      <c r="I822" s="6"/>
      <c r="J822" s="6"/>
      <c r="K822" s="6"/>
      <c r="L822" s="6" t="str">
        <f t="shared" si="84"/>
        <v>Marvin Sonntag</v>
      </c>
      <c r="M822" s="6" t="str">
        <f t="shared" si="85"/>
        <v>Doctor Zhiwago (Sharif, Christie)</v>
      </c>
      <c r="N822" s="9">
        <f t="shared" si="86"/>
        <v>0</v>
      </c>
      <c r="P822" t="str">
        <f t="shared" si="87"/>
        <v>"Marvin Sonntag";"Doctor Zhiwago";"0"</v>
      </c>
      <c r="U822" t="str">
        <f t="shared" si="88"/>
        <v>Marvin Sonntag</v>
      </c>
      <c r="V822" t="str">
        <f t="shared" si="89"/>
        <v>Doctor Zhiwago</v>
      </c>
      <c r="W822">
        <f t="shared" si="90"/>
        <v>0</v>
      </c>
    </row>
    <row r="823" spans="1:23" x14ac:dyDescent="0.2">
      <c r="A823" s="6" t="s">
        <v>31</v>
      </c>
      <c r="B823" s="6">
        <v>1964</v>
      </c>
      <c r="C823" s="6"/>
      <c r="D823" s="6" t="s">
        <v>79</v>
      </c>
      <c r="E823" s="6" t="s">
        <v>3</v>
      </c>
      <c r="F823" s="6">
        <v>0</v>
      </c>
      <c r="G823" s="6"/>
      <c r="H823" s="6">
        <v>0</v>
      </c>
      <c r="I823" s="6"/>
      <c r="J823" s="6"/>
      <c r="K823" s="6"/>
      <c r="L823" s="6" t="str">
        <f t="shared" si="84"/>
        <v>Marvin Sonntag</v>
      </c>
      <c r="M823" s="6" t="str">
        <f t="shared" si="85"/>
        <v>Dr. Strangelove… (Sellers, Scott)</v>
      </c>
      <c r="N823" s="9">
        <f t="shared" si="86"/>
        <v>0</v>
      </c>
      <c r="P823" t="str">
        <f t="shared" si="87"/>
        <v>"Marvin Sonntag";"Dr. Strangelove…";"0"</v>
      </c>
      <c r="U823" t="str">
        <f t="shared" si="88"/>
        <v>Marvin Sonntag</v>
      </c>
      <c r="V823" t="str">
        <f t="shared" si="89"/>
        <v>Dr. Strangelove…</v>
      </c>
      <c r="W823">
        <f t="shared" si="90"/>
        <v>0</v>
      </c>
    </row>
    <row r="824" spans="1:23" x14ac:dyDescent="0.2">
      <c r="A824" s="6" t="s">
        <v>32</v>
      </c>
      <c r="B824" s="6">
        <v>2000</v>
      </c>
      <c r="C824" s="6"/>
      <c r="D824" s="6" t="s">
        <v>79</v>
      </c>
      <c r="E824" s="6" t="s">
        <v>3</v>
      </c>
      <c r="F824" s="6">
        <v>0</v>
      </c>
      <c r="G824" s="6"/>
      <c r="H824" s="6">
        <v>0</v>
      </c>
      <c r="I824" s="6"/>
      <c r="J824" s="6"/>
      <c r="K824" s="6"/>
      <c r="L824" s="6" t="str">
        <f t="shared" si="84"/>
        <v>Marvin Sonntag</v>
      </c>
      <c r="M824" s="6" t="str">
        <f t="shared" si="85"/>
        <v>Dr. T and the women (Gere, Hunt)</v>
      </c>
      <c r="N824" s="9">
        <f t="shared" si="86"/>
        <v>0</v>
      </c>
      <c r="P824" t="str">
        <f t="shared" si="87"/>
        <v>"Marvin Sonntag";"Dr. T and the women";"0"</v>
      </c>
      <c r="U824" t="str">
        <f t="shared" si="88"/>
        <v>Marvin Sonntag</v>
      </c>
      <c r="V824" t="str">
        <f t="shared" si="89"/>
        <v>Dr. T and the women</v>
      </c>
      <c r="W824">
        <f t="shared" si="90"/>
        <v>0</v>
      </c>
    </row>
    <row r="825" spans="1:23" x14ac:dyDescent="0.2">
      <c r="A825" s="6" t="s">
        <v>33</v>
      </c>
      <c r="B825" s="6">
        <v>1953</v>
      </c>
      <c r="C825" s="6"/>
      <c r="D825" s="6" t="s">
        <v>79</v>
      </c>
      <c r="E825" s="6" t="s">
        <v>3</v>
      </c>
      <c r="F825" s="6">
        <v>0</v>
      </c>
      <c r="G825" s="6"/>
      <c r="H825" s="6">
        <v>0</v>
      </c>
      <c r="I825" s="6"/>
      <c r="J825" s="6"/>
      <c r="K825" s="6"/>
      <c r="L825" s="6" t="str">
        <f t="shared" si="84"/>
        <v>Marvin Sonntag</v>
      </c>
      <c r="M825" s="6" t="str">
        <f t="shared" si="85"/>
        <v>Gentlemen Prefer Blondes (Monroe, Russell)</v>
      </c>
      <c r="N825" s="9">
        <f t="shared" si="86"/>
        <v>0</v>
      </c>
      <c r="P825" t="str">
        <f t="shared" si="87"/>
        <v>"Marvin Sonntag";"Gentlemen Prefer Blondes";"0"</v>
      </c>
      <c r="U825" t="str">
        <f t="shared" si="88"/>
        <v>Marvin Sonntag</v>
      </c>
      <c r="V825" t="str">
        <f t="shared" si="89"/>
        <v>Gentlemen Prefer Blondes</v>
      </c>
      <c r="W825">
        <f t="shared" si="90"/>
        <v>0</v>
      </c>
    </row>
    <row r="826" spans="1:23" x14ac:dyDescent="0.2">
      <c r="A826" s="6" t="s">
        <v>34</v>
      </c>
      <c r="B826" s="6">
        <v>2014</v>
      </c>
      <c r="C826" s="6"/>
      <c r="D826" s="6" t="s">
        <v>79</v>
      </c>
      <c r="E826" s="6" t="s">
        <v>2</v>
      </c>
      <c r="F826" s="6">
        <v>1</v>
      </c>
      <c r="G826" s="6">
        <v>4</v>
      </c>
      <c r="H826" s="6">
        <v>4</v>
      </c>
      <c r="I826" s="6"/>
      <c r="J826" s="6"/>
      <c r="K826" s="6"/>
      <c r="L826" s="6" t="str">
        <f t="shared" si="84"/>
        <v>Marvin Sonntag</v>
      </c>
      <c r="M826" s="6" t="str">
        <f t="shared" si="85"/>
        <v>Grand Budapest Hotel (Fiennes, Abraham)</v>
      </c>
      <c r="N826" s="9">
        <f t="shared" si="86"/>
        <v>4</v>
      </c>
      <c r="P826" t="str">
        <f t="shared" si="87"/>
        <v>"Marvin Sonntag";"Grand Budapest Hotel";"4"</v>
      </c>
      <c r="U826" t="str">
        <f t="shared" si="88"/>
        <v>Marvin Sonntag</v>
      </c>
      <c r="V826" t="str">
        <f t="shared" si="89"/>
        <v>Grand Budapest Hotel</v>
      </c>
      <c r="W826">
        <f t="shared" si="90"/>
        <v>1</v>
      </c>
    </row>
    <row r="827" spans="1:23" x14ac:dyDescent="0.2">
      <c r="A827" s="6" t="s">
        <v>35</v>
      </c>
      <c r="B827" s="6">
        <v>2001</v>
      </c>
      <c r="C827" s="6"/>
      <c r="D827" s="6" t="s">
        <v>79</v>
      </c>
      <c r="E827" s="6" t="s">
        <v>2</v>
      </c>
      <c r="F827" s="6">
        <v>1</v>
      </c>
      <c r="G827" s="6">
        <v>4</v>
      </c>
      <c r="H827" s="6">
        <v>4</v>
      </c>
      <c r="I827" s="6"/>
      <c r="J827" s="6"/>
      <c r="K827" s="6"/>
      <c r="L827" s="6" t="str">
        <f t="shared" si="84"/>
        <v>Marvin Sonntag</v>
      </c>
      <c r="M827" s="6" t="str">
        <f t="shared" si="85"/>
        <v>Harry Potter and the Philosopher's Stone (Radcliff, Harris)</v>
      </c>
      <c r="N827" s="9">
        <f t="shared" si="86"/>
        <v>4</v>
      </c>
      <c r="P827" t="str">
        <f t="shared" si="87"/>
        <v>"Marvin Sonntag";"Harry Potter and the Philosopher's Stone";"4"</v>
      </c>
      <c r="U827" t="str">
        <f t="shared" si="88"/>
        <v>Marvin Sonntag</v>
      </c>
      <c r="V827" t="str">
        <f t="shared" si="89"/>
        <v>Harry Potter and the Philosopher's Stone</v>
      </c>
      <c r="W827">
        <f t="shared" si="90"/>
        <v>1</v>
      </c>
    </row>
    <row r="828" spans="1:23" x14ac:dyDescent="0.2">
      <c r="A828" s="6" t="s">
        <v>36</v>
      </c>
      <c r="B828" s="6">
        <v>1950</v>
      </c>
      <c r="C828" s="6"/>
      <c r="D828" s="6" t="s">
        <v>79</v>
      </c>
      <c r="E828" s="6" t="s">
        <v>3</v>
      </c>
      <c r="F828" s="6">
        <v>0</v>
      </c>
      <c r="G828" s="6"/>
      <c r="H828" s="6">
        <v>0</v>
      </c>
      <c r="I828" s="6"/>
      <c r="J828" s="6"/>
      <c r="K828" s="6"/>
      <c r="L828" s="6" t="str">
        <f t="shared" si="84"/>
        <v>Marvin Sonntag</v>
      </c>
      <c r="M828" s="6" t="str">
        <f t="shared" si="85"/>
        <v>Harvey (Stewart, Hull)</v>
      </c>
      <c r="N828" s="9">
        <f t="shared" si="86"/>
        <v>0</v>
      </c>
      <c r="P828" t="str">
        <f t="shared" si="87"/>
        <v>"Marvin Sonntag";"Harvey";"0"</v>
      </c>
      <c r="U828" t="str">
        <f t="shared" si="88"/>
        <v>Marvin Sonntag</v>
      </c>
      <c r="V828" t="str">
        <f t="shared" si="89"/>
        <v>Harvey</v>
      </c>
      <c r="W828">
        <f t="shared" si="90"/>
        <v>0</v>
      </c>
    </row>
    <row r="829" spans="1:23" x14ac:dyDescent="0.2">
      <c r="A829" s="6" t="s">
        <v>37</v>
      </c>
      <c r="B829" s="6">
        <v>1962</v>
      </c>
      <c r="C829" s="6"/>
      <c r="D829" s="6" t="s">
        <v>79</v>
      </c>
      <c r="E829" s="6" t="s">
        <v>3</v>
      </c>
      <c r="F829" s="6">
        <v>0</v>
      </c>
      <c r="G829" s="6"/>
      <c r="H829" s="6">
        <v>0</v>
      </c>
      <c r="I829" s="6"/>
      <c r="J829" s="6"/>
      <c r="K829" s="6"/>
      <c r="L829" s="6" t="str">
        <f t="shared" si="84"/>
        <v>Marvin Sonntag</v>
      </c>
      <c r="M829" s="6" t="str">
        <f t="shared" si="85"/>
        <v>Hatari! (Wayne, Martinelli)</v>
      </c>
      <c r="N829" s="9">
        <f t="shared" si="86"/>
        <v>0</v>
      </c>
      <c r="P829" t="str">
        <f t="shared" si="87"/>
        <v>"Marvin Sonntag";"Hatari!";"0"</v>
      </c>
      <c r="U829" t="str">
        <f t="shared" si="88"/>
        <v>Marvin Sonntag</v>
      </c>
      <c r="V829" t="str">
        <f t="shared" si="89"/>
        <v>Hatari!</v>
      </c>
      <c r="W829">
        <f t="shared" si="90"/>
        <v>0</v>
      </c>
    </row>
    <row r="830" spans="1:23" x14ac:dyDescent="0.2">
      <c r="A830" s="6" t="s">
        <v>38</v>
      </c>
      <c r="B830" s="6">
        <v>1990</v>
      </c>
      <c r="C830" s="6"/>
      <c r="D830" s="6" t="s">
        <v>79</v>
      </c>
      <c r="E830" s="6" t="s">
        <v>2</v>
      </c>
      <c r="F830" s="6">
        <v>1</v>
      </c>
      <c r="G830" s="6">
        <v>3</v>
      </c>
      <c r="H830" s="6">
        <v>3</v>
      </c>
      <c r="I830" s="6"/>
      <c r="J830" s="6"/>
      <c r="K830" s="6"/>
      <c r="L830" s="6" t="str">
        <f t="shared" si="84"/>
        <v>Marvin Sonntag</v>
      </c>
      <c r="M830" s="6" t="str">
        <f t="shared" si="85"/>
        <v>Home alone (Culkin, Pesci)</v>
      </c>
      <c r="N830" s="9">
        <f t="shared" si="86"/>
        <v>3</v>
      </c>
      <c r="P830" t="str">
        <f t="shared" si="87"/>
        <v>"Marvin Sonntag";"Home alone";"3"</v>
      </c>
      <c r="U830" t="str">
        <f t="shared" si="88"/>
        <v>Marvin Sonntag</v>
      </c>
      <c r="V830" t="str">
        <f t="shared" si="89"/>
        <v>Home alone</v>
      </c>
      <c r="W830">
        <f t="shared" si="90"/>
        <v>1</v>
      </c>
    </row>
    <row r="831" spans="1:23" x14ac:dyDescent="0.2">
      <c r="A831" s="6" t="s">
        <v>39</v>
      </c>
      <c r="B831" s="6">
        <v>2004</v>
      </c>
      <c r="C831" s="6"/>
      <c r="D831" s="6" t="s">
        <v>79</v>
      </c>
      <c r="E831" s="6" t="s">
        <v>2</v>
      </c>
      <c r="F831" s="6">
        <v>1</v>
      </c>
      <c r="G831" s="6">
        <v>3</v>
      </c>
      <c r="H831" s="6">
        <v>3</v>
      </c>
      <c r="I831" s="6"/>
      <c r="J831" s="6"/>
      <c r="K831" s="6"/>
      <c r="L831" s="6" t="str">
        <f t="shared" si="84"/>
        <v>Marvin Sonntag</v>
      </c>
      <c r="M831" s="6" t="str">
        <f t="shared" si="85"/>
        <v>I, Robot (Smith, Moynahan)</v>
      </c>
      <c r="N831" s="9">
        <f t="shared" si="86"/>
        <v>3</v>
      </c>
      <c r="P831" t="str">
        <f t="shared" si="87"/>
        <v>"Marvin Sonntag";"I, Robot";"3"</v>
      </c>
      <c r="U831" t="str">
        <f t="shared" si="88"/>
        <v>Marvin Sonntag</v>
      </c>
      <c r="V831" t="str">
        <f t="shared" si="89"/>
        <v>I, Robot</v>
      </c>
      <c r="W831">
        <f t="shared" si="90"/>
        <v>1</v>
      </c>
    </row>
    <row r="832" spans="1:23" x14ac:dyDescent="0.2">
      <c r="A832" s="6" t="s">
        <v>40</v>
      </c>
      <c r="B832" s="6">
        <v>1967</v>
      </c>
      <c r="C832" s="6"/>
      <c r="D832" s="6" t="s">
        <v>79</v>
      </c>
      <c r="E832" s="6" t="s">
        <v>3</v>
      </c>
      <c r="F832" s="6">
        <v>0</v>
      </c>
      <c r="G832" s="6"/>
      <c r="H832" s="6">
        <v>0</v>
      </c>
      <c r="I832" s="6"/>
      <c r="J832" s="6"/>
      <c r="K832" s="6"/>
      <c r="L832" s="6" t="str">
        <f t="shared" si="84"/>
        <v>Marvin Sonntag</v>
      </c>
      <c r="M832" s="6" t="str">
        <f t="shared" si="85"/>
        <v>In The Heat Of The Night (Poitier, Steiger)</v>
      </c>
      <c r="N832" s="9">
        <f t="shared" si="86"/>
        <v>0</v>
      </c>
      <c r="P832" t="str">
        <f t="shared" si="87"/>
        <v>"Marvin Sonntag";"In The Heat Of The Night";"0"</v>
      </c>
      <c r="U832" t="str">
        <f t="shared" si="88"/>
        <v>Marvin Sonntag</v>
      </c>
      <c r="V832" t="str">
        <f t="shared" si="89"/>
        <v>In The Heat Of The Night</v>
      </c>
      <c r="W832">
        <f t="shared" si="90"/>
        <v>0</v>
      </c>
    </row>
    <row r="833" spans="1:23" x14ac:dyDescent="0.2">
      <c r="A833" s="6" t="s">
        <v>41</v>
      </c>
      <c r="B833" s="6">
        <v>2014</v>
      </c>
      <c r="C833" s="6"/>
      <c r="D833" s="6" t="s">
        <v>79</v>
      </c>
      <c r="E833" s="6" t="s">
        <v>3</v>
      </c>
      <c r="F833" s="6">
        <v>0</v>
      </c>
      <c r="G833" s="6"/>
      <c r="H833" s="6">
        <v>0</v>
      </c>
      <c r="I833" s="6"/>
      <c r="J833" s="6"/>
      <c r="K833" s="6"/>
      <c r="L833" s="6" t="str">
        <f t="shared" si="84"/>
        <v>Marvin Sonntag</v>
      </c>
      <c r="M833" s="6" t="str">
        <f t="shared" si="85"/>
        <v>Jack Ryan: Shadow Recruite (Pine, Costner)</v>
      </c>
      <c r="N833" s="9">
        <f t="shared" si="86"/>
        <v>0</v>
      </c>
      <c r="P833" t="str">
        <f t="shared" si="87"/>
        <v>"Marvin Sonntag";"Jack Ryan: Shadow Recruite";"0"</v>
      </c>
      <c r="U833" t="str">
        <f t="shared" si="88"/>
        <v>Marvin Sonntag</v>
      </c>
      <c r="V833" t="str">
        <f t="shared" si="89"/>
        <v>Jack Ryan: Shadow Recruite</v>
      </c>
      <c r="W833">
        <f t="shared" si="90"/>
        <v>0</v>
      </c>
    </row>
    <row r="834" spans="1:23" x14ac:dyDescent="0.2">
      <c r="A834" s="6" t="s">
        <v>42</v>
      </c>
      <c r="B834" s="6">
        <v>1995</v>
      </c>
      <c r="C834" s="6"/>
      <c r="D834" s="6" t="s">
        <v>79</v>
      </c>
      <c r="E834" s="6" t="s">
        <v>2</v>
      </c>
      <c r="F834" s="6">
        <v>1</v>
      </c>
      <c r="G834" s="6">
        <v>3</v>
      </c>
      <c r="H834" s="6">
        <v>3</v>
      </c>
      <c r="I834" s="6"/>
      <c r="J834" s="6"/>
      <c r="K834" s="6"/>
      <c r="L834" s="6" t="str">
        <f t="shared" si="84"/>
        <v>Marvin Sonntag</v>
      </c>
      <c r="M834" s="6" t="str">
        <f t="shared" si="85"/>
        <v>Jumanji (Williams, Dunst)</v>
      </c>
      <c r="N834" s="9">
        <f t="shared" si="86"/>
        <v>3</v>
      </c>
      <c r="P834" t="str">
        <f t="shared" si="87"/>
        <v>"Marvin Sonntag";"Jumanji";"3"</v>
      </c>
      <c r="U834" t="str">
        <f t="shared" si="88"/>
        <v>Marvin Sonntag</v>
      </c>
      <c r="V834" t="str">
        <f t="shared" si="89"/>
        <v>Jumanji</v>
      </c>
      <c r="W834">
        <f t="shared" si="90"/>
        <v>1</v>
      </c>
    </row>
    <row r="835" spans="1:23" x14ac:dyDescent="0.2">
      <c r="A835" s="6" t="s">
        <v>43</v>
      </c>
      <c r="B835" s="6">
        <v>2005</v>
      </c>
      <c r="C835" s="6"/>
      <c r="D835" s="6" t="s">
        <v>79</v>
      </c>
      <c r="E835" s="6" t="s">
        <v>2</v>
      </c>
      <c r="F835" s="6">
        <v>1</v>
      </c>
      <c r="G835" s="6">
        <v>4</v>
      </c>
      <c r="H835" s="6">
        <v>4</v>
      </c>
      <c r="I835" s="6"/>
      <c r="J835" s="6"/>
      <c r="K835" s="6"/>
      <c r="L835" s="6" t="str">
        <f t="shared" ref="L835:L898" si="91">D835</f>
        <v>Marvin Sonntag</v>
      </c>
      <c r="M835" s="6" t="str">
        <f t="shared" ref="M835:M898" si="92">A835</f>
        <v>King Kong (Watts, Black)</v>
      </c>
      <c r="N835" s="9">
        <f t="shared" ref="N835:N898" si="93">H835</f>
        <v>4</v>
      </c>
      <c r="P835" t="str">
        <f t="shared" ref="P835:P898" si="94">""""&amp;L835&amp;""";"""&amp;LEFT(M835,FIND("(",M835)-2)&amp;""";"""&amp;SUBSTITUTE(N835,",",".")&amp;""""</f>
        <v>"Marvin Sonntag";"King Kong";"4"</v>
      </c>
      <c r="U835" t="str">
        <f t="shared" ref="U835:U898" si="95">D835</f>
        <v>Marvin Sonntag</v>
      </c>
      <c r="V835" t="str">
        <f t="shared" ref="V835:V898" si="96">LEFT(A835,FIND("(",A835)-2)</f>
        <v>King Kong</v>
      </c>
      <c r="W835">
        <f t="shared" ref="W835:W898" si="97">F835</f>
        <v>1</v>
      </c>
    </row>
    <row r="836" spans="1:23" x14ac:dyDescent="0.2">
      <c r="A836" s="6" t="s">
        <v>44</v>
      </c>
      <c r="B836" s="6">
        <v>2016</v>
      </c>
      <c r="C836" s="6"/>
      <c r="D836" s="6" t="s">
        <v>79</v>
      </c>
      <c r="E836" s="6" t="s">
        <v>3</v>
      </c>
      <c r="F836" s="6">
        <v>0</v>
      </c>
      <c r="G836" s="6"/>
      <c r="H836" s="6">
        <v>0</v>
      </c>
      <c r="I836" s="6"/>
      <c r="J836" s="6"/>
      <c r="K836" s="6"/>
      <c r="L836" s="6" t="str">
        <f t="shared" si="91"/>
        <v>Marvin Sonntag</v>
      </c>
      <c r="M836" s="6" t="str">
        <f t="shared" si="92"/>
        <v>La La Land (Gosling, Stone)</v>
      </c>
      <c r="N836" s="9">
        <f t="shared" si="93"/>
        <v>0</v>
      </c>
      <c r="P836" t="str">
        <f t="shared" si="94"/>
        <v>"Marvin Sonntag";"La La Land";"0"</v>
      </c>
      <c r="U836" t="str">
        <f t="shared" si="95"/>
        <v>Marvin Sonntag</v>
      </c>
      <c r="V836" t="str">
        <f t="shared" si="96"/>
        <v>La La Land</v>
      </c>
      <c r="W836">
        <f t="shared" si="97"/>
        <v>0</v>
      </c>
    </row>
    <row r="837" spans="1:23" x14ac:dyDescent="0.2">
      <c r="A837" s="6" t="s">
        <v>45</v>
      </c>
      <c r="B837" s="6">
        <v>2001</v>
      </c>
      <c r="C837" s="6"/>
      <c r="D837" s="6" t="s">
        <v>79</v>
      </c>
      <c r="E837" s="6" t="s">
        <v>2</v>
      </c>
      <c r="F837" s="6">
        <v>1</v>
      </c>
      <c r="G837" s="6">
        <v>4</v>
      </c>
      <c r="H837" s="6">
        <v>4</v>
      </c>
      <c r="I837" s="6"/>
      <c r="J837" s="6"/>
      <c r="K837" s="6"/>
      <c r="L837" s="6" t="str">
        <f t="shared" si="91"/>
        <v>Marvin Sonntag</v>
      </c>
      <c r="M837" s="6" t="str">
        <f t="shared" si="92"/>
        <v>Lord of the Rings (Woods, McKellen)</v>
      </c>
      <c r="N837" s="9">
        <f t="shared" si="93"/>
        <v>4</v>
      </c>
      <c r="P837" t="str">
        <f t="shared" si="94"/>
        <v>"Marvin Sonntag";"Lord of the Rings";"4"</v>
      </c>
      <c r="U837" t="str">
        <f t="shared" si="95"/>
        <v>Marvin Sonntag</v>
      </c>
      <c r="V837" t="str">
        <f t="shared" si="96"/>
        <v>Lord of the Rings</v>
      </c>
      <c r="W837">
        <f t="shared" si="97"/>
        <v>1</v>
      </c>
    </row>
    <row r="838" spans="1:23" x14ac:dyDescent="0.2">
      <c r="A838" s="6" t="s">
        <v>46</v>
      </c>
      <c r="B838" s="6">
        <v>1964</v>
      </c>
      <c r="C838" s="6"/>
      <c r="D838" s="6" t="s">
        <v>79</v>
      </c>
      <c r="E838" s="6" t="s">
        <v>3</v>
      </c>
      <c r="F838" s="6">
        <v>0</v>
      </c>
      <c r="G838" s="6"/>
      <c r="H838" s="6">
        <v>0</v>
      </c>
      <c r="I838" s="6"/>
      <c r="J838" s="6"/>
      <c r="K838" s="6"/>
      <c r="L838" s="6" t="str">
        <f t="shared" si="91"/>
        <v>Marvin Sonntag</v>
      </c>
      <c r="M838" s="6" t="str">
        <f t="shared" si="92"/>
        <v>Per Un Pugno Di Dollari (Eastwood, Koch)</v>
      </c>
      <c r="N838" s="9">
        <f t="shared" si="93"/>
        <v>0</v>
      </c>
      <c r="P838" t="str">
        <f t="shared" si="94"/>
        <v>"Marvin Sonntag";"Per Un Pugno Di Dollari";"0"</v>
      </c>
      <c r="U838" t="str">
        <f t="shared" si="95"/>
        <v>Marvin Sonntag</v>
      </c>
      <c r="V838" t="str">
        <f t="shared" si="96"/>
        <v>Per Un Pugno Di Dollari</v>
      </c>
      <c r="W838">
        <f t="shared" si="97"/>
        <v>0</v>
      </c>
    </row>
    <row r="839" spans="1:23" x14ac:dyDescent="0.2">
      <c r="A839" s="6" t="s">
        <v>47</v>
      </c>
      <c r="B839" s="6">
        <v>1954</v>
      </c>
      <c r="C839" s="6"/>
      <c r="D839" s="6" t="s">
        <v>79</v>
      </c>
      <c r="E839" s="6" t="s">
        <v>3</v>
      </c>
      <c r="F839" s="6">
        <v>0</v>
      </c>
      <c r="G839" s="6"/>
      <c r="H839" s="6">
        <v>0</v>
      </c>
      <c r="I839" s="6"/>
      <c r="J839" s="6"/>
      <c r="K839" s="6"/>
      <c r="L839" s="6" t="str">
        <f t="shared" si="91"/>
        <v>Marvin Sonntag</v>
      </c>
      <c r="M839" s="6" t="str">
        <f t="shared" si="92"/>
        <v>Rear Window (Stewart, Kelly)</v>
      </c>
      <c r="N839" s="9">
        <f t="shared" si="93"/>
        <v>0</v>
      </c>
      <c r="P839" t="str">
        <f t="shared" si="94"/>
        <v>"Marvin Sonntag";"Rear Window";"0"</v>
      </c>
      <c r="U839" t="str">
        <f t="shared" si="95"/>
        <v>Marvin Sonntag</v>
      </c>
      <c r="V839" t="str">
        <f t="shared" si="96"/>
        <v>Rear Window</v>
      </c>
      <c r="W839">
        <f t="shared" si="97"/>
        <v>0</v>
      </c>
    </row>
    <row r="840" spans="1:23" x14ac:dyDescent="0.2">
      <c r="A840" s="6" t="s">
        <v>48</v>
      </c>
      <c r="B840" s="6">
        <v>1955</v>
      </c>
      <c r="C840" s="6"/>
      <c r="D840" s="6" t="s">
        <v>79</v>
      </c>
      <c r="E840" s="6" t="s">
        <v>3</v>
      </c>
      <c r="F840" s="6">
        <v>0</v>
      </c>
      <c r="G840" s="6"/>
      <c r="H840" s="6">
        <v>0</v>
      </c>
      <c r="I840" s="6"/>
      <c r="J840" s="6"/>
      <c r="K840" s="6"/>
      <c r="L840" s="6" t="str">
        <f t="shared" si="91"/>
        <v>Marvin Sonntag</v>
      </c>
      <c r="M840" s="6" t="str">
        <f t="shared" si="92"/>
        <v>Rebel Without A Cause (Dean, Wood)</v>
      </c>
      <c r="N840" s="9">
        <f t="shared" si="93"/>
        <v>0</v>
      </c>
      <c r="P840" t="str">
        <f t="shared" si="94"/>
        <v>"Marvin Sonntag";"Rebel Without A Cause";"0"</v>
      </c>
      <c r="U840" t="str">
        <f t="shared" si="95"/>
        <v>Marvin Sonntag</v>
      </c>
      <c r="V840" t="str">
        <f t="shared" si="96"/>
        <v>Rebel Without A Cause</v>
      </c>
      <c r="W840">
        <f t="shared" si="97"/>
        <v>0</v>
      </c>
    </row>
    <row r="841" spans="1:23" x14ac:dyDescent="0.2">
      <c r="A841" s="6" t="s">
        <v>66</v>
      </c>
      <c r="B841" s="6">
        <v>2005</v>
      </c>
      <c r="C841" s="6"/>
      <c r="D841" s="6" t="s">
        <v>79</v>
      </c>
      <c r="E841" s="6" t="s">
        <v>3</v>
      </c>
      <c r="F841" s="6">
        <v>0</v>
      </c>
      <c r="G841" s="6"/>
      <c r="H841" s="6">
        <v>0</v>
      </c>
      <c r="I841" s="6"/>
      <c r="J841" s="6"/>
      <c r="K841" s="6"/>
      <c r="L841" s="6" t="str">
        <f t="shared" si="91"/>
        <v>Marvin Sonntag</v>
      </c>
      <c r="M841" s="6" t="str">
        <f t="shared" si="92"/>
        <v>Rumor has it (Aniston, Costner)</v>
      </c>
      <c r="N841" s="9">
        <f t="shared" si="93"/>
        <v>0</v>
      </c>
      <c r="P841" t="str">
        <f t="shared" si="94"/>
        <v>"Marvin Sonntag";"Rumor has it";"0"</v>
      </c>
      <c r="U841" t="str">
        <f t="shared" si="95"/>
        <v>Marvin Sonntag</v>
      </c>
      <c r="V841" t="str">
        <f t="shared" si="96"/>
        <v>Rumor has it</v>
      </c>
      <c r="W841">
        <f t="shared" si="97"/>
        <v>0</v>
      </c>
    </row>
    <row r="842" spans="1:23" x14ac:dyDescent="0.2">
      <c r="A842" s="6" t="s">
        <v>49</v>
      </c>
      <c r="B842" s="6">
        <v>1998</v>
      </c>
      <c r="C842" s="6"/>
      <c r="D842" s="6" t="s">
        <v>79</v>
      </c>
      <c r="E842" s="6" t="s">
        <v>3</v>
      </c>
      <c r="F842" s="6">
        <v>0</v>
      </c>
      <c r="G842" s="6"/>
      <c r="H842" s="6">
        <v>0</v>
      </c>
      <c r="I842" s="6"/>
      <c r="J842" s="6"/>
      <c r="K842" s="6"/>
      <c r="L842" s="6" t="str">
        <f t="shared" si="91"/>
        <v>Marvin Sonntag</v>
      </c>
      <c r="M842" s="6" t="str">
        <f t="shared" si="92"/>
        <v>Saving private Ryan (Hanks, Damon)</v>
      </c>
      <c r="N842" s="9">
        <f t="shared" si="93"/>
        <v>0</v>
      </c>
      <c r="P842" t="str">
        <f t="shared" si="94"/>
        <v>"Marvin Sonntag";"Saving private Ryan";"0"</v>
      </c>
      <c r="U842" t="str">
        <f t="shared" si="95"/>
        <v>Marvin Sonntag</v>
      </c>
      <c r="V842" t="str">
        <f t="shared" si="96"/>
        <v>Saving private Ryan</v>
      </c>
      <c r="W842">
        <f t="shared" si="97"/>
        <v>0</v>
      </c>
    </row>
    <row r="843" spans="1:23" x14ac:dyDescent="0.2">
      <c r="A843" s="6" t="s">
        <v>50</v>
      </c>
      <c r="B843" s="6">
        <v>1993</v>
      </c>
      <c r="C843" s="6"/>
      <c r="D843" s="6" t="s">
        <v>79</v>
      </c>
      <c r="E843" s="6" t="s">
        <v>3</v>
      </c>
      <c r="F843" s="6">
        <v>0</v>
      </c>
      <c r="G843" s="6"/>
      <c r="H843" s="6">
        <v>0</v>
      </c>
      <c r="I843" s="6"/>
      <c r="J843" s="6"/>
      <c r="K843" s="6"/>
      <c r="L843" s="6" t="str">
        <f t="shared" si="91"/>
        <v>Marvin Sonntag</v>
      </c>
      <c r="M843" s="6" t="str">
        <f t="shared" si="92"/>
        <v>Schindlers List (Neeson, Fiennes)</v>
      </c>
      <c r="N843" s="9">
        <f t="shared" si="93"/>
        <v>0</v>
      </c>
      <c r="P843" t="str">
        <f t="shared" si="94"/>
        <v>"Marvin Sonntag";"Schindlers List";"0"</v>
      </c>
      <c r="U843" t="str">
        <f t="shared" si="95"/>
        <v>Marvin Sonntag</v>
      </c>
      <c r="V843" t="str">
        <f t="shared" si="96"/>
        <v>Schindlers List</v>
      </c>
      <c r="W843">
        <f t="shared" si="97"/>
        <v>0</v>
      </c>
    </row>
    <row r="844" spans="1:23" x14ac:dyDescent="0.2">
      <c r="A844" s="6" t="s">
        <v>51</v>
      </c>
      <c r="B844" s="6">
        <v>1996</v>
      </c>
      <c r="C844" s="6"/>
      <c r="D844" s="6" t="s">
        <v>79</v>
      </c>
      <c r="E844" s="6" t="s">
        <v>3</v>
      </c>
      <c r="F844" s="6">
        <v>0</v>
      </c>
      <c r="G844" s="6"/>
      <c r="H844" s="6">
        <v>0</v>
      </c>
      <c r="I844" s="6"/>
      <c r="J844" s="6"/>
      <c r="K844" s="6"/>
      <c r="L844" s="6" t="str">
        <f t="shared" si="91"/>
        <v>Marvin Sonntag</v>
      </c>
      <c r="M844" s="6" t="str">
        <f t="shared" si="92"/>
        <v>Scream (Arquette, Campell)</v>
      </c>
      <c r="N844" s="9">
        <f t="shared" si="93"/>
        <v>0</v>
      </c>
      <c r="P844" t="str">
        <f t="shared" si="94"/>
        <v>"Marvin Sonntag";"Scream";"0"</v>
      </c>
      <c r="U844" t="str">
        <f t="shared" si="95"/>
        <v>Marvin Sonntag</v>
      </c>
      <c r="V844" t="str">
        <f t="shared" si="96"/>
        <v>Scream</v>
      </c>
      <c r="W844">
        <f t="shared" si="97"/>
        <v>0</v>
      </c>
    </row>
    <row r="845" spans="1:23" x14ac:dyDescent="0.2">
      <c r="A845" s="6" t="s">
        <v>52</v>
      </c>
      <c r="B845" s="6">
        <v>1977</v>
      </c>
      <c r="C845" s="6"/>
      <c r="D845" s="6" t="s">
        <v>79</v>
      </c>
      <c r="E845" s="6" t="s">
        <v>2</v>
      </c>
      <c r="F845" s="6">
        <v>1</v>
      </c>
      <c r="G845" s="6">
        <v>2</v>
      </c>
      <c r="H845" s="6">
        <v>2</v>
      </c>
      <c r="I845" s="6"/>
      <c r="J845" s="6"/>
      <c r="K845" s="6"/>
      <c r="L845" s="6" t="str">
        <f t="shared" si="91"/>
        <v>Marvin Sonntag</v>
      </c>
      <c r="M845" s="6" t="str">
        <f t="shared" si="92"/>
        <v>Star Wars IV: A new hope (Hamill, Ford)</v>
      </c>
      <c r="N845" s="9">
        <f t="shared" si="93"/>
        <v>2</v>
      </c>
      <c r="P845" t="str">
        <f t="shared" si="94"/>
        <v>"Marvin Sonntag";"Star Wars IV: A new hope";"2"</v>
      </c>
      <c r="U845" t="str">
        <f t="shared" si="95"/>
        <v>Marvin Sonntag</v>
      </c>
      <c r="V845" t="str">
        <f t="shared" si="96"/>
        <v>Star Wars IV: A new hope</v>
      </c>
      <c r="W845">
        <f t="shared" si="97"/>
        <v>1</v>
      </c>
    </row>
    <row r="846" spans="1:23" x14ac:dyDescent="0.2">
      <c r="A846" s="6" t="s">
        <v>53</v>
      </c>
      <c r="B846" s="6">
        <v>2016</v>
      </c>
      <c r="C846" s="6"/>
      <c r="D846" s="6" t="s">
        <v>79</v>
      </c>
      <c r="E846" s="6" t="s">
        <v>2</v>
      </c>
      <c r="F846" s="6">
        <v>1</v>
      </c>
      <c r="G846" s="6">
        <v>2</v>
      </c>
      <c r="H846" s="6">
        <v>2</v>
      </c>
      <c r="I846" s="6"/>
      <c r="J846" s="6"/>
      <c r="K846" s="6"/>
      <c r="L846" s="6" t="str">
        <f t="shared" si="91"/>
        <v>Marvin Sonntag</v>
      </c>
      <c r="M846" s="6" t="str">
        <f t="shared" si="92"/>
        <v>Suicide Squad (Smith, Robbie)</v>
      </c>
      <c r="N846" s="9">
        <f t="shared" si="93"/>
        <v>2</v>
      </c>
      <c r="P846" t="str">
        <f t="shared" si="94"/>
        <v>"Marvin Sonntag";"Suicide Squad";"2"</v>
      </c>
      <c r="U846" t="str">
        <f t="shared" si="95"/>
        <v>Marvin Sonntag</v>
      </c>
      <c r="V846" t="str">
        <f t="shared" si="96"/>
        <v>Suicide Squad</v>
      </c>
      <c r="W846">
        <f t="shared" si="97"/>
        <v>1</v>
      </c>
    </row>
    <row r="847" spans="1:23" x14ac:dyDescent="0.2">
      <c r="A847" s="6" t="s">
        <v>54</v>
      </c>
      <c r="B847" s="6">
        <v>2010</v>
      </c>
      <c r="C847" s="6"/>
      <c r="D847" s="6" t="s">
        <v>79</v>
      </c>
      <c r="E847" s="6" t="s">
        <v>3</v>
      </c>
      <c r="F847" s="6">
        <v>0</v>
      </c>
      <c r="G847" s="6"/>
      <c r="H847" s="6">
        <v>0</v>
      </c>
      <c r="I847" s="6"/>
      <c r="J847" s="6"/>
      <c r="K847" s="6"/>
      <c r="L847" s="6" t="str">
        <f t="shared" si="91"/>
        <v>Marvin Sonntag</v>
      </c>
      <c r="M847" s="6" t="str">
        <f t="shared" si="92"/>
        <v>Tangled (Disney)</v>
      </c>
      <c r="N847" s="9">
        <f t="shared" si="93"/>
        <v>0</v>
      </c>
      <c r="P847" t="str">
        <f t="shared" si="94"/>
        <v>"Marvin Sonntag";"Tangled";"0"</v>
      </c>
      <c r="U847" t="str">
        <f t="shared" si="95"/>
        <v>Marvin Sonntag</v>
      </c>
      <c r="V847" t="str">
        <f t="shared" si="96"/>
        <v>Tangled</v>
      </c>
      <c r="W847">
        <f t="shared" si="97"/>
        <v>0</v>
      </c>
    </row>
    <row r="848" spans="1:23" x14ac:dyDescent="0.2">
      <c r="A848" s="6" t="s">
        <v>55</v>
      </c>
      <c r="B848" s="6">
        <v>2012</v>
      </c>
      <c r="C848" s="6"/>
      <c r="D848" s="6" t="s">
        <v>79</v>
      </c>
      <c r="E848" s="6" t="s">
        <v>2</v>
      </c>
      <c r="F848" s="6">
        <v>1</v>
      </c>
      <c r="G848" s="6">
        <v>4</v>
      </c>
      <c r="H848" s="6">
        <v>4</v>
      </c>
      <c r="I848" s="6"/>
      <c r="J848" s="6"/>
      <c r="K848" s="6"/>
      <c r="L848" s="6" t="str">
        <f t="shared" si="91"/>
        <v>Marvin Sonntag</v>
      </c>
      <c r="M848" s="6" t="str">
        <f t="shared" si="92"/>
        <v>The Avengers (Downey Jr. Evans)</v>
      </c>
      <c r="N848" s="9">
        <f t="shared" si="93"/>
        <v>4</v>
      </c>
      <c r="P848" t="str">
        <f t="shared" si="94"/>
        <v>"Marvin Sonntag";"The Avengers";"4"</v>
      </c>
      <c r="U848" t="str">
        <f t="shared" si="95"/>
        <v>Marvin Sonntag</v>
      </c>
      <c r="V848" t="str">
        <f t="shared" si="96"/>
        <v>The Avengers</v>
      </c>
      <c r="W848">
        <f t="shared" si="97"/>
        <v>1</v>
      </c>
    </row>
    <row r="849" spans="1:23" x14ac:dyDescent="0.2">
      <c r="A849" s="6" t="s">
        <v>56</v>
      </c>
      <c r="B849" s="6">
        <v>1973</v>
      </c>
      <c r="C849" s="6"/>
      <c r="D849" s="6" t="s">
        <v>79</v>
      </c>
      <c r="E849" s="6" t="s">
        <v>3</v>
      </c>
      <c r="F849" s="6">
        <v>0</v>
      </c>
      <c r="G849" s="6"/>
      <c r="H849" s="6">
        <v>0</v>
      </c>
      <c r="I849" s="6"/>
      <c r="J849" s="6"/>
      <c r="K849" s="6"/>
      <c r="L849" s="6" t="str">
        <f t="shared" si="91"/>
        <v>Marvin Sonntag</v>
      </c>
      <c r="M849" s="6" t="str">
        <f t="shared" si="92"/>
        <v>The Exorcist (von Sydow, Blair)</v>
      </c>
      <c r="N849" s="9">
        <f t="shared" si="93"/>
        <v>0</v>
      </c>
      <c r="P849" t="str">
        <f t="shared" si="94"/>
        <v>"Marvin Sonntag";"The Exorcist";"0"</v>
      </c>
      <c r="U849" t="str">
        <f t="shared" si="95"/>
        <v>Marvin Sonntag</v>
      </c>
      <c r="V849" t="str">
        <f t="shared" si="96"/>
        <v>The Exorcist</v>
      </c>
      <c r="W849">
        <f t="shared" si="97"/>
        <v>0</v>
      </c>
    </row>
    <row r="850" spans="1:23" x14ac:dyDescent="0.2">
      <c r="A850" s="6" t="s">
        <v>57</v>
      </c>
      <c r="B850" s="6">
        <v>1972</v>
      </c>
      <c r="C850" s="6"/>
      <c r="D850" s="6" t="s">
        <v>79</v>
      </c>
      <c r="E850" s="6" t="s">
        <v>2</v>
      </c>
      <c r="F850" s="6">
        <v>1</v>
      </c>
      <c r="G850" s="6">
        <v>4</v>
      </c>
      <c r="H850" s="6">
        <v>4</v>
      </c>
      <c r="I850" s="6"/>
      <c r="J850" s="6"/>
      <c r="K850" s="6"/>
      <c r="L850" s="6" t="str">
        <f t="shared" si="91"/>
        <v>Marvin Sonntag</v>
      </c>
      <c r="M850" s="6" t="str">
        <f t="shared" si="92"/>
        <v>The Godfather (Brando, Pacino)</v>
      </c>
      <c r="N850" s="9">
        <f t="shared" si="93"/>
        <v>4</v>
      </c>
      <c r="P850" t="str">
        <f t="shared" si="94"/>
        <v>"Marvin Sonntag";"The Godfather";"4"</v>
      </c>
      <c r="U850" t="str">
        <f t="shared" si="95"/>
        <v>Marvin Sonntag</v>
      </c>
      <c r="V850" t="str">
        <f t="shared" si="96"/>
        <v>The Godfather</v>
      </c>
      <c r="W850">
        <f t="shared" si="97"/>
        <v>1</v>
      </c>
    </row>
    <row r="851" spans="1:23" x14ac:dyDescent="0.2">
      <c r="A851" s="6" t="s">
        <v>58</v>
      </c>
      <c r="B851" s="6">
        <v>1994</v>
      </c>
      <c r="C851" s="6"/>
      <c r="D851" s="6" t="s">
        <v>79</v>
      </c>
      <c r="E851" s="6" t="s">
        <v>2</v>
      </c>
      <c r="F851" s="6">
        <v>1</v>
      </c>
      <c r="G851" s="6">
        <v>5</v>
      </c>
      <c r="H851" s="6">
        <v>5</v>
      </c>
      <c r="I851" s="6"/>
      <c r="J851" s="6"/>
      <c r="K851" s="6"/>
      <c r="L851" s="6" t="str">
        <f t="shared" si="91"/>
        <v>Marvin Sonntag</v>
      </c>
      <c r="M851" s="6" t="str">
        <f t="shared" si="92"/>
        <v>The Lion King (Disney)</v>
      </c>
      <c r="N851" s="9">
        <f t="shared" si="93"/>
        <v>5</v>
      </c>
      <c r="P851" t="str">
        <f t="shared" si="94"/>
        <v>"Marvin Sonntag";"The Lion King";"5"</v>
      </c>
      <c r="U851" t="str">
        <f t="shared" si="95"/>
        <v>Marvin Sonntag</v>
      </c>
      <c r="V851" t="str">
        <f t="shared" si="96"/>
        <v>The Lion King</v>
      </c>
      <c r="W851">
        <f t="shared" si="97"/>
        <v>1</v>
      </c>
    </row>
    <row r="852" spans="1:23" x14ac:dyDescent="0.2">
      <c r="A852" s="6" t="s">
        <v>59</v>
      </c>
      <c r="B852" s="6">
        <v>1999</v>
      </c>
      <c r="C852" s="6"/>
      <c r="D852" s="6" t="s">
        <v>79</v>
      </c>
      <c r="E852" s="6" t="s">
        <v>2</v>
      </c>
      <c r="F852" s="6">
        <v>1</v>
      </c>
      <c r="G852" s="6">
        <v>5</v>
      </c>
      <c r="H852" s="6">
        <v>5</v>
      </c>
      <c r="I852" s="6"/>
      <c r="J852" s="6"/>
      <c r="K852" s="6"/>
      <c r="L852" s="6" t="str">
        <f t="shared" si="91"/>
        <v>Marvin Sonntag</v>
      </c>
      <c r="M852" s="6" t="str">
        <f t="shared" si="92"/>
        <v>The Matrix (Reeves, Fishburn)</v>
      </c>
      <c r="N852" s="9">
        <f t="shared" si="93"/>
        <v>5</v>
      </c>
      <c r="P852" t="str">
        <f t="shared" si="94"/>
        <v>"Marvin Sonntag";"The Matrix";"5"</v>
      </c>
      <c r="U852" t="str">
        <f t="shared" si="95"/>
        <v>Marvin Sonntag</v>
      </c>
      <c r="V852" t="str">
        <f t="shared" si="96"/>
        <v>The Matrix</v>
      </c>
      <c r="W852">
        <f t="shared" si="97"/>
        <v>1</v>
      </c>
    </row>
    <row r="853" spans="1:23" x14ac:dyDescent="0.2">
      <c r="A853" s="6" t="s">
        <v>60</v>
      </c>
      <c r="B853" s="6">
        <v>1980</v>
      </c>
      <c r="C853" s="6"/>
      <c r="D853" s="6" t="s">
        <v>79</v>
      </c>
      <c r="E853" s="6" t="s">
        <v>2</v>
      </c>
      <c r="F853" s="6">
        <v>1</v>
      </c>
      <c r="G853" s="6">
        <v>2</v>
      </c>
      <c r="H853" s="6">
        <v>2</v>
      </c>
      <c r="I853" s="6"/>
      <c r="J853" s="6"/>
      <c r="K853" s="6"/>
      <c r="L853" s="6" t="str">
        <f t="shared" si="91"/>
        <v>Marvin Sonntag</v>
      </c>
      <c r="M853" s="6" t="str">
        <f t="shared" si="92"/>
        <v>The Shining (Nicholson, Duvall)</v>
      </c>
      <c r="N853" s="9">
        <f t="shared" si="93"/>
        <v>2</v>
      </c>
      <c r="P853" t="str">
        <f t="shared" si="94"/>
        <v>"Marvin Sonntag";"The Shining";"2"</v>
      </c>
      <c r="U853" t="str">
        <f t="shared" si="95"/>
        <v>Marvin Sonntag</v>
      </c>
      <c r="V853" t="str">
        <f t="shared" si="96"/>
        <v>The Shining</v>
      </c>
      <c r="W853">
        <f t="shared" si="97"/>
        <v>1</v>
      </c>
    </row>
    <row r="854" spans="1:23" x14ac:dyDescent="0.2">
      <c r="A854" s="6" t="s">
        <v>61</v>
      </c>
      <c r="B854" s="6">
        <v>1984</v>
      </c>
      <c r="C854" s="6"/>
      <c r="D854" s="6" t="s">
        <v>79</v>
      </c>
      <c r="E854" s="6" t="s">
        <v>2</v>
      </c>
      <c r="F854" s="6">
        <v>1</v>
      </c>
      <c r="G854" s="6">
        <v>3</v>
      </c>
      <c r="H854" s="6">
        <v>3</v>
      </c>
      <c r="I854" s="6"/>
      <c r="J854" s="6"/>
      <c r="K854" s="6"/>
      <c r="L854" s="6" t="str">
        <f t="shared" si="91"/>
        <v>Marvin Sonntag</v>
      </c>
      <c r="M854" s="6" t="str">
        <f t="shared" si="92"/>
        <v>The Terminator (Schwarzenegger, Hamilton)</v>
      </c>
      <c r="N854" s="9">
        <f t="shared" si="93"/>
        <v>3</v>
      </c>
      <c r="P854" t="str">
        <f t="shared" si="94"/>
        <v>"Marvin Sonntag";"The Terminator";"3"</v>
      </c>
      <c r="U854" t="str">
        <f t="shared" si="95"/>
        <v>Marvin Sonntag</v>
      </c>
      <c r="V854" t="str">
        <f t="shared" si="96"/>
        <v>The Terminator</v>
      </c>
      <c r="W854">
        <f t="shared" si="97"/>
        <v>1</v>
      </c>
    </row>
    <row r="855" spans="1:23" x14ac:dyDescent="0.2">
      <c r="A855" s="6" t="s">
        <v>62</v>
      </c>
      <c r="B855" s="6">
        <v>1986</v>
      </c>
      <c r="C855" s="6"/>
      <c r="D855" s="6" t="s">
        <v>79</v>
      </c>
      <c r="E855" s="6" t="s">
        <v>2</v>
      </c>
      <c r="F855" s="6">
        <v>1</v>
      </c>
      <c r="G855" s="6">
        <v>2</v>
      </c>
      <c r="H855" s="6">
        <v>2</v>
      </c>
      <c r="I855" s="6"/>
      <c r="J855" s="6"/>
      <c r="K855" s="6"/>
      <c r="L855" s="6" t="str">
        <f t="shared" si="91"/>
        <v>Marvin Sonntag</v>
      </c>
      <c r="M855" s="6" t="str">
        <f t="shared" si="92"/>
        <v>Top Gun (Cruise, McGillis)</v>
      </c>
      <c r="N855" s="9">
        <f t="shared" si="93"/>
        <v>2</v>
      </c>
      <c r="P855" t="str">
        <f t="shared" si="94"/>
        <v>"Marvin Sonntag";"Top Gun";"2"</v>
      </c>
      <c r="U855" t="str">
        <f t="shared" si="95"/>
        <v>Marvin Sonntag</v>
      </c>
      <c r="V855" t="str">
        <f t="shared" si="96"/>
        <v>Top Gun</v>
      </c>
      <c r="W855">
        <f t="shared" si="97"/>
        <v>1</v>
      </c>
    </row>
    <row r="856" spans="1:23" x14ac:dyDescent="0.2">
      <c r="A856" s="6" t="s">
        <v>63</v>
      </c>
      <c r="B856" s="6">
        <v>1995</v>
      </c>
      <c r="C856" s="6"/>
      <c r="D856" s="6" t="s">
        <v>79</v>
      </c>
      <c r="E856" s="6" t="s">
        <v>2</v>
      </c>
      <c r="F856" s="6">
        <v>1</v>
      </c>
      <c r="G856" s="6">
        <v>4</v>
      </c>
      <c r="H856" s="6">
        <v>4</v>
      </c>
      <c r="I856" s="6"/>
      <c r="J856" s="6"/>
      <c r="K856" s="6"/>
      <c r="L856" s="6" t="str">
        <f t="shared" si="91"/>
        <v>Marvin Sonntag</v>
      </c>
      <c r="M856" s="6" t="str">
        <f t="shared" si="92"/>
        <v>Toy Story (Pixar)</v>
      </c>
      <c r="N856" s="9">
        <f t="shared" si="93"/>
        <v>4</v>
      </c>
      <c r="P856" t="str">
        <f t="shared" si="94"/>
        <v>"Marvin Sonntag";"Toy Story";"4"</v>
      </c>
      <c r="U856" t="str">
        <f t="shared" si="95"/>
        <v>Marvin Sonntag</v>
      </c>
      <c r="V856" t="str">
        <f t="shared" si="96"/>
        <v>Toy Story</v>
      </c>
      <c r="W856">
        <f t="shared" si="97"/>
        <v>1</v>
      </c>
    </row>
    <row r="857" spans="1:23" x14ac:dyDescent="0.2">
      <c r="A857" s="6" t="s">
        <v>8</v>
      </c>
      <c r="B857" s="6">
        <v>1968</v>
      </c>
      <c r="C857" s="6"/>
      <c r="D857" s="6" t="s">
        <v>80</v>
      </c>
      <c r="E857" s="6" t="s">
        <v>3</v>
      </c>
      <c r="F857" s="6">
        <v>0</v>
      </c>
      <c r="G857" s="6"/>
      <c r="H857" s="6">
        <v>0</v>
      </c>
      <c r="I857" s="6"/>
      <c r="J857" s="6"/>
      <c r="K857" s="6"/>
      <c r="L857" s="6" t="str">
        <f t="shared" si="91"/>
        <v>Michael S.</v>
      </c>
      <c r="M857" s="6" t="str">
        <f t="shared" si="92"/>
        <v>2001: A Space Odyssey (Duella, Lockwood)</v>
      </c>
      <c r="N857" s="9">
        <f t="shared" si="93"/>
        <v>0</v>
      </c>
      <c r="P857" t="str">
        <f t="shared" si="94"/>
        <v>"Michael S.";"2001: A Space Odyssey";"0"</v>
      </c>
      <c r="U857" t="str">
        <f t="shared" si="95"/>
        <v>Michael S.</v>
      </c>
      <c r="V857" t="str">
        <f t="shared" si="96"/>
        <v>2001: A Space Odyssey</v>
      </c>
      <c r="W857">
        <f t="shared" si="97"/>
        <v>0</v>
      </c>
    </row>
    <row r="858" spans="1:23" x14ac:dyDescent="0.2">
      <c r="A858" s="6" t="s">
        <v>9</v>
      </c>
      <c r="B858" s="6">
        <v>1971</v>
      </c>
      <c r="C858" s="6"/>
      <c r="D858" s="6" t="s">
        <v>80</v>
      </c>
      <c r="E858" s="6" t="s">
        <v>3</v>
      </c>
      <c r="F858" s="6">
        <v>0</v>
      </c>
      <c r="G858" s="6"/>
      <c r="H858" s="6">
        <v>0</v>
      </c>
      <c r="I858" s="6"/>
      <c r="J858" s="6"/>
      <c r="K858" s="6"/>
      <c r="L858" s="6" t="str">
        <f t="shared" si="91"/>
        <v>Michael S.</v>
      </c>
      <c r="M858" s="6" t="str">
        <f t="shared" si="92"/>
        <v>A Clockwork Orange (McDowell, Magee)</v>
      </c>
      <c r="N858" s="9">
        <f t="shared" si="93"/>
        <v>0</v>
      </c>
      <c r="P858" t="str">
        <f t="shared" si="94"/>
        <v>"Michael S.";"A Clockwork Orange";"0"</v>
      </c>
      <c r="U858" t="str">
        <f t="shared" si="95"/>
        <v>Michael S.</v>
      </c>
      <c r="V858" t="str">
        <f t="shared" si="96"/>
        <v>A Clockwork Orange</v>
      </c>
      <c r="W858">
        <f t="shared" si="97"/>
        <v>0</v>
      </c>
    </row>
    <row r="859" spans="1:23" x14ac:dyDescent="0.2">
      <c r="A859" s="6" t="s">
        <v>10</v>
      </c>
      <c r="B859" s="6">
        <v>2018</v>
      </c>
      <c r="C859" s="6"/>
      <c r="D859" s="6" t="s">
        <v>80</v>
      </c>
      <c r="E859" s="6" t="s">
        <v>3</v>
      </c>
      <c r="F859" s="6">
        <v>0</v>
      </c>
      <c r="G859" s="6"/>
      <c r="H859" s="6">
        <v>0</v>
      </c>
      <c r="I859" s="6"/>
      <c r="J859" s="6"/>
      <c r="K859" s="6"/>
      <c r="L859" s="6" t="str">
        <f t="shared" si="91"/>
        <v>Michael S.</v>
      </c>
      <c r="M859" s="6" t="str">
        <f t="shared" si="92"/>
        <v>A star is born (Gaga, Cooper)</v>
      </c>
      <c r="N859" s="9">
        <f t="shared" si="93"/>
        <v>0</v>
      </c>
      <c r="P859" t="str">
        <f t="shared" si="94"/>
        <v>"Michael S.";"A star is born";"0"</v>
      </c>
      <c r="U859" t="str">
        <f t="shared" si="95"/>
        <v>Michael S.</v>
      </c>
      <c r="V859" t="str">
        <f t="shared" si="96"/>
        <v>A star is born</v>
      </c>
      <c r="W859">
        <f t="shared" si="97"/>
        <v>0</v>
      </c>
    </row>
    <row r="860" spans="1:23" x14ac:dyDescent="0.2">
      <c r="A860" s="6" t="s">
        <v>11</v>
      </c>
      <c r="B860" s="6">
        <v>2005</v>
      </c>
      <c r="C860" s="6"/>
      <c r="D860" s="6" t="s">
        <v>80</v>
      </c>
      <c r="E860" s="6" t="s">
        <v>3</v>
      </c>
      <c r="F860" s="6">
        <v>0</v>
      </c>
      <c r="G860" s="6"/>
      <c r="H860" s="6">
        <v>0</v>
      </c>
      <c r="I860" s="6"/>
      <c r="J860" s="6"/>
      <c r="K860" s="6"/>
      <c r="L860" s="6" t="str">
        <f t="shared" si="91"/>
        <v>Michael S.</v>
      </c>
      <c r="M860" s="6" t="str">
        <f t="shared" si="92"/>
        <v>Aeon Flux (Theron, Csokas)</v>
      </c>
      <c r="N860" s="9">
        <f t="shared" si="93"/>
        <v>0</v>
      </c>
      <c r="P860" t="str">
        <f t="shared" si="94"/>
        <v>"Michael S.";"Aeon Flux";"0"</v>
      </c>
      <c r="U860" t="str">
        <f t="shared" si="95"/>
        <v>Michael S.</v>
      </c>
      <c r="V860" t="str">
        <f t="shared" si="96"/>
        <v>Aeon Flux</v>
      </c>
      <c r="W860">
        <f t="shared" si="97"/>
        <v>0</v>
      </c>
    </row>
    <row r="861" spans="1:23" x14ac:dyDescent="0.2">
      <c r="A861" s="6" t="s">
        <v>12</v>
      </c>
      <c r="B861" s="6">
        <v>1951</v>
      </c>
      <c r="C861" s="6"/>
      <c r="D861" s="6" t="s">
        <v>80</v>
      </c>
      <c r="E861" s="6" t="s">
        <v>3</v>
      </c>
      <c r="F861" s="6">
        <v>0</v>
      </c>
      <c r="G861" s="6"/>
      <c r="H861" s="6">
        <v>0</v>
      </c>
      <c r="I861" s="6"/>
      <c r="J861" s="6"/>
      <c r="K861" s="6"/>
      <c r="L861" s="6" t="str">
        <f t="shared" si="91"/>
        <v>Michael S.</v>
      </c>
      <c r="M861" s="6" t="str">
        <f t="shared" si="92"/>
        <v>African Queen (Bogart, Hepburn)</v>
      </c>
      <c r="N861" s="9">
        <f t="shared" si="93"/>
        <v>0</v>
      </c>
      <c r="P861" t="str">
        <f t="shared" si="94"/>
        <v>"Michael S.";"African Queen";"0"</v>
      </c>
      <c r="U861" t="str">
        <f t="shared" si="95"/>
        <v>Michael S.</v>
      </c>
      <c r="V861" t="str">
        <f t="shared" si="96"/>
        <v>African Queen</v>
      </c>
      <c r="W861">
        <f t="shared" si="97"/>
        <v>0</v>
      </c>
    </row>
    <row r="862" spans="1:23" x14ac:dyDescent="0.2">
      <c r="A862" s="6" t="s">
        <v>13</v>
      </c>
      <c r="B862" s="6">
        <v>1979</v>
      </c>
      <c r="C862" s="6"/>
      <c r="D862" s="6" t="s">
        <v>80</v>
      </c>
      <c r="E862" s="6" t="s">
        <v>3</v>
      </c>
      <c r="F862" s="6">
        <v>0</v>
      </c>
      <c r="G862" s="6"/>
      <c r="H862" s="6">
        <v>0</v>
      </c>
      <c r="I862" s="6"/>
      <c r="J862" s="6"/>
      <c r="K862" s="6"/>
      <c r="L862" s="6" t="str">
        <f t="shared" si="91"/>
        <v>Michael S.</v>
      </c>
      <c r="M862" s="6" t="str">
        <f t="shared" si="92"/>
        <v>Alien (Weaver, Skerritt)</v>
      </c>
      <c r="N862" s="9">
        <f t="shared" si="93"/>
        <v>0</v>
      </c>
      <c r="P862" t="str">
        <f t="shared" si="94"/>
        <v>"Michael S.";"Alien";"0"</v>
      </c>
      <c r="U862" t="str">
        <f t="shared" si="95"/>
        <v>Michael S.</v>
      </c>
      <c r="V862" t="str">
        <f t="shared" si="96"/>
        <v>Alien</v>
      </c>
      <c r="W862">
        <f t="shared" si="97"/>
        <v>0</v>
      </c>
    </row>
    <row r="863" spans="1:23" x14ac:dyDescent="0.2">
      <c r="A863" s="6" t="s">
        <v>14</v>
      </c>
      <c r="B863" s="6">
        <v>1960</v>
      </c>
      <c r="C863" s="6"/>
      <c r="D863" s="6" t="s">
        <v>80</v>
      </c>
      <c r="E863" s="6" t="s">
        <v>3</v>
      </c>
      <c r="F863" s="6">
        <v>0</v>
      </c>
      <c r="G863" s="6"/>
      <c r="H863" s="6">
        <v>0</v>
      </c>
      <c r="I863" s="6"/>
      <c r="J863" s="6"/>
      <c r="K863" s="6"/>
      <c r="L863" s="6" t="str">
        <f t="shared" si="91"/>
        <v>Michael S.</v>
      </c>
      <c r="M863" s="6" t="str">
        <f t="shared" si="92"/>
        <v>Apartment (Lemmon, MacLaine)</v>
      </c>
      <c r="N863" s="9">
        <f t="shared" si="93"/>
        <v>0</v>
      </c>
      <c r="P863" t="str">
        <f t="shared" si="94"/>
        <v>"Michael S.";"Apartment";"0"</v>
      </c>
      <c r="U863" t="str">
        <f t="shared" si="95"/>
        <v>Michael S.</v>
      </c>
      <c r="V863" t="str">
        <f t="shared" si="96"/>
        <v>Apartment</v>
      </c>
      <c r="W863">
        <f t="shared" si="97"/>
        <v>0</v>
      </c>
    </row>
    <row r="864" spans="1:23" x14ac:dyDescent="0.2">
      <c r="A864" s="6" t="s">
        <v>15</v>
      </c>
      <c r="B864" s="6">
        <v>1979</v>
      </c>
      <c r="C864" s="6"/>
      <c r="D864" s="6" t="s">
        <v>80</v>
      </c>
      <c r="E864" s="6" t="s">
        <v>3</v>
      </c>
      <c r="F864" s="6">
        <v>0</v>
      </c>
      <c r="G864" s="6"/>
      <c r="H864" s="6">
        <v>0</v>
      </c>
      <c r="I864" s="6"/>
      <c r="J864" s="6"/>
      <c r="K864" s="6"/>
      <c r="L864" s="6" t="str">
        <f t="shared" si="91"/>
        <v>Michael S.</v>
      </c>
      <c r="M864" s="6" t="str">
        <f t="shared" si="92"/>
        <v>Apocalypse Now (Sheen, Brando)</v>
      </c>
      <c r="N864" s="9">
        <f t="shared" si="93"/>
        <v>0</v>
      </c>
      <c r="P864" t="str">
        <f t="shared" si="94"/>
        <v>"Michael S.";"Apocalypse Now";"0"</v>
      </c>
      <c r="U864" t="str">
        <f t="shared" si="95"/>
        <v>Michael S.</v>
      </c>
      <c r="V864" t="str">
        <f t="shared" si="96"/>
        <v>Apocalypse Now</v>
      </c>
      <c r="W864">
        <f t="shared" si="97"/>
        <v>0</v>
      </c>
    </row>
    <row r="865" spans="1:23" x14ac:dyDescent="0.2">
      <c r="A865" s="6" t="s">
        <v>16</v>
      </c>
      <c r="B865" s="6">
        <v>1956</v>
      </c>
      <c r="C865" s="6"/>
      <c r="D865" s="6" t="s">
        <v>80</v>
      </c>
      <c r="E865" s="6" t="s">
        <v>3</v>
      </c>
      <c r="F865" s="6">
        <v>0</v>
      </c>
      <c r="G865" s="6"/>
      <c r="H865" s="6">
        <v>0</v>
      </c>
      <c r="I865" s="6"/>
      <c r="J865" s="6"/>
      <c r="K865" s="6"/>
      <c r="L865" s="6" t="str">
        <f t="shared" si="91"/>
        <v>Michael S.</v>
      </c>
      <c r="M865" s="6" t="str">
        <f t="shared" si="92"/>
        <v>Around The World In 80 Days (Niven, Cantinflas)</v>
      </c>
      <c r="N865" s="9">
        <f t="shared" si="93"/>
        <v>0</v>
      </c>
      <c r="P865" t="str">
        <f t="shared" si="94"/>
        <v>"Michael S.";"Around The World In 80 Days";"0"</v>
      </c>
      <c r="U865" t="str">
        <f t="shared" si="95"/>
        <v>Michael S.</v>
      </c>
      <c r="V865" t="str">
        <f t="shared" si="96"/>
        <v>Around The World In 80 Days</v>
      </c>
      <c r="W865">
        <f t="shared" si="97"/>
        <v>0</v>
      </c>
    </row>
    <row r="866" spans="1:23" x14ac:dyDescent="0.2">
      <c r="A866" s="6" t="s">
        <v>17</v>
      </c>
      <c r="B866" s="6">
        <v>2009</v>
      </c>
      <c r="C866" s="6"/>
      <c r="D866" s="6" t="s">
        <v>80</v>
      </c>
      <c r="E866" s="6" t="s">
        <v>2</v>
      </c>
      <c r="F866" s="6">
        <v>1</v>
      </c>
      <c r="G866" s="6">
        <v>3</v>
      </c>
      <c r="H866" s="6">
        <v>3</v>
      </c>
      <c r="I866" s="6"/>
      <c r="J866" s="6"/>
      <c r="K866" s="6"/>
      <c r="L866" s="6" t="str">
        <f t="shared" si="91"/>
        <v>Michael S.</v>
      </c>
      <c r="M866" s="6" t="str">
        <f t="shared" si="92"/>
        <v>Avatar (Worthington, Saldana)</v>
      </c>
      <c r="N866" s="9">
        <f t="shared" si="93"/>
        <v>3</v>
      </c>
      <c r="P866" t="str">
        <f t="shared" si="94"/>
        <v>"Michael S.";"Avatar";"3"</v>
      </c>
      <c r="U866" t="str">
        <f t="shared" si="95"/>
        <v>Michael S.</v>
      </c>
      <c r="V866" t="str">
        <f t="shared" si="96"/>
        <v>Avatar</v>
      </c>
      <c r="W866">
        <f t="shared" si="97"/>
        <v>1</v>
      </c>
    </row>
    <row r="867" spans="1:23" x14ac:dyDescent="0.2">
      <c r="A867" s="6" t="s">
        <v>18</v>
      </c>
      <c r="B867" s="6">
        <v>1989</v>
      </c>
      <c r="C867" s="6"/>
      <c r="D867" s="6" t="s">
        <v>80</v>
      </c>
      <c r="E867" s="6" t="s">
        <v>3</v>
      </c>
      <c r="F867" s="6">
        <v>0</v>
      </c>
      <c r="G867" s="6"/>
      <c r="H867" s="6">
        <v>0</v>
      </c>
      <c r="I867" s="6"/>
      <c r="J867" s="6"/>
      <c r="K867" s="6"/>
      <c r="L867" s="6" t="str">
        <f t="shared" si="91"/>
        <v>Michael S.</v>
      </c>
      <c r="M867" s="6" t="str">
        <f t="shared" si="92"/>
        <v>Batman (Keaton, Nicholson, Basinger)</v>
      </c>
      <c r="N867" s="9">
        <f t="shared" si="93"/>
        <v>0</v>
      </c>
      <c r="P867" t="str">
        <f t="shared" si="94"/>
        <v>"Michael S.";"Batman";"0"</v>
      </c>
      <c r="U867" t="str">
        <f t="shared" si="95"/>
        <v>Michael S.</v>
      </c>
      <c r="V867" t="str">
        <f t="shared" si="96"/>
        <v>Batman</v>
      </c>
      <c r="W867">
        <f t="shared" si="97"/>
        <v>0</v>
      </c>
    </row>
    <row r="868" spans="1:23" x14ac:dyDescent="0.2">
      <c r="A868" s="6" t="s">
        <v>19</v>
      </c>
      <c r="B868" s="6">
        <v>1982</v>
      </c>
      <c r="C868" s="6"/>
      <c r="D868" s="6" t="s">
        <v>80</v>
      </c>
      <c r="E868" s="6" t="s">
        <v>3</v>
      </c>
      <c r="F868" s="6">
        <v>0</v>
      </c>
      <c r="G868" s="6"/>
      <c r="H868" s="6">
        <v>0</v>
      </c>
      <c r="I868" s="6"/>
      <c r="J868" s="6"/>
      <c r="K868" s="6"/>
      <c r="L868" s="6" t="str">
        <f t="shared" si="91"/>
        <v>Michael S.</v>
      </c>
      <c r="M868" s="6" t="str">
        <f t="shared" si="92"/>
        <v>Blade Runner (Ford, Hauer)</v>
      </c>
      <c r="N868" s="9">
        <f t="shared" si="93"/>
        <v>0</v>
      </c>
      <c r="P868" t="str">
        <f t="shared" si="94"/>
        <v>"Michael S.";"Blade Runner";"0"</v>
      </c>
      <c r="U868" t="str">
        <f t="shared" si="95"/>
        <v>Michael S.</v>
      </c>
      <c r="V868" t="str">
        <f t="shared" si="96"/>
        <v>Blade Runner</v>
      </c>
      <c r="W868">
        <f t="shared" si="97"/>
        <v>0</v>
      </c>
    </row>
    <row r="869" spans="1:23" x14ac:dyDescent="0.2">
      <c r="A869" s="6" t="s">
        <v>20</v>
      </c>
      <c r="B869" s="6">
        <v>2018</v>
      </c>
      <c r="C869" s="6"/>
      <c r="D869" s="6" t="s">
        <v>80</v>
      </c>
      <c r="E869" s="6" t="s">
        <v>3</v>
      </c>
      <c r="F869" s="6">
        <v>0</v>
      </c>
      <c r="G869" s="6"/>
      <c r="H869" s="6">
        <v>0</v>
      </c>
      <c r="I869" s="6"/>
      <c r="J869" s="6"/>
      <c r="K869" s="6"/>
      <c r="L869" s="6" t="str">
        <f t="shared" si="91"/>
        <v>Michael S.</v>
      </c>
      <c r="M869" s="6" t="str">
        <f t="shared" si="92"/>
        <v>Bohemian Rhapsody (Malek, Boynton)</v>
      </c>
      <c r="N869" s="9">
        <f t="shared" si="93"/>
        <v>0</v>
      </c>
      <c r="P869" t="str">
        <f t="shared" si="94"/>
        <v>"Michael S.";"Bohemian Rhapsody";"0"</v>
      </c>
      <c r="U869" t="str">
        <f t="shared" si="95"/>
        <v>Michael S.</v>
      </c>
      <c r="V869" t="str">
        <f t="shared" si="96"/>
        <v>Bohemian Rhapsody</v>
      </c>
      <c r="W869">
        <f t="shared" si="97"/>
        <v>0</v>
      </c>
    </row>
    <row r="870" spans="1:23" x14ac:dyDescent="0.2">
      <c r="A870" s="6" t="s">
        <v>21</v>
      </c>
      <c r="B870" s="6">
        <v>2011</v>
      </c>
      <c r="C870" s="6"/>
      <c r="D870" s="6" t="s">
        <v>80</v>
      </c>
      <c r="E870" s="6" t="s">
        <v>3</v>
      </c>
      <c r="F870" s="6">
        <v>0</v>
      </c>
      <c r="G870" s="6"/>
      <c r="H870" s="6">
        <v>0</v>
      </c>
      <c r="I870" s="6"/>
      <c r="J870" s="6"/>
      <c r="K870" s="6"/>
      <c r="L870" s="6" t="str">
        <f t="shared" si="91"/>
        <v>Michael S.</v>
      </c>
      <c r="M870" s="6" t="str">
        <f t="shared" si="92"/>
        <v>Captain America (Evans, Waeving)</v>
      </c>
      <c r="N870" s="9">
        <f t="shared" si="93"/>
        <v>0</v>
      </c>
      <c r="P870" t="str">
        <f t="shared" si="94"/>
        <v>"Michael S.";"Captain America";"0"</v>
      </c>
      <c r="U870" t="str">
        <f t="shared" si="95"/>
        <v>Michael S.</v>
      </c>
      <c r="V870" t="str">
        <f t="shared" si="96"/>
        <v>Captain America</v>
      </c>
      <c r="W870">
        <f t="shared" si="97"/>
        <v>0</v>
      </c>
    </row>
    <row r="871" spans="1:23" x14ac:dyDescent="0.2">
      <c r="A871" s="6" t="s">
        <v>22</v>
      </c>
      <c r="B871" s="6">
        <v>2000</v>
      </c>
      <c r="C871" s="6"/>
      <c r="D871" s="6" t="s">
        <v>80</v>
      </c>
      <c r="E871" s="6" t="s">
        <v>2</v>
      </c>
      <c r="F871" s="6">
        <v>1</v>
      </c>
      <c r="G871" s="6">
        <v>5</v>
      </c>
      <c r="H871" s="6">
        <v>5</v>
      </c>
      <c r="I871" s="6"/>
      <c r="J871" s="6"/>
      <c r="K871" s="6"/>
      <c r="L871" s="6" t="str">
        <f t="shared" si="91"/>
        <v>Michael S.</v>
      </c>
      <c r="M871" s="6" t="str">
        <f t="shared" si="92"/>
        <v>Cast Away (Hanks, Hunt)</v>
      </c>
      <c r="N871" s="9">
        <f t="shared" si="93"/>
        <v>5</v>
      </c>
      <c r="P871" t="str">
        <f t="shared" si="94"/>
        <v>"Michael S.";"Cast Away";"5"</v>
      </c>
      <c r="U871" t="str">
        <f t="shared" si="95"/>
        <v>Michael S.</v>
      </c>
      <c r="V871" t="str">
        <f t="shared" si="96"/>
        <v>Cast Away</v>
      </c>
      <c r="W871">
        <f t="shared" si="97"/>
        <v>1</v>
      </c>
    </row>
    <row r="872" spans="1:23" x14ac:dyDescent="0.2">
      <c r="A872" s="6" t="s">
        <v>23</v>
      </c>
      <c r="B872" s="6">
        <v>1958</v>
      </c>
      <c r="C872" s="6"/>
      <c r="D872" s="6" t="s">
        <v>80</v>
      </c>
      <c r="E872" s="6" t="s">
        <v>3</v>
      </c>
      <c r="F872" s="6">
        <v>0</v>
      </c>
      <c r="G872" s="6"/>
      <c r="H872" s="6">
        <v>0</v>
      </c>
      <c r="I872" s="6"/>
      <c r="J872" s="6"/>
      <c r="K872" s="6"/>
      <c r="L872" s="6" t="str">
        <f t="shared" si="91"/>
        <v>Michael S.</v>
      </c>
      <c r="M872" s="6" t="str">
        <f t="shared" si="92"/>
        <v>Cat On Hot Tin Roof (Taylor, Newman)</v>
      </c>
      <c r="N872" s="9">
        <f t="shared" si="93"/>
        <v>0</v>
      </c>
      <c r="P872" t="str">
        <f t="shared" si="94"/>
        <v>"Michael S.";"Cat On Hot Tin Roof";"0"</v>
      </c>
      <c r="U872" t="str">
        <f t="shared" si="95"/>
        <v>Michael S.</v>
      </c>
      <c r="V872" t="str">
        <f t="shared" si="96"/>
        <v>Cat On Hot Tin Roof</v>
      </c>
      <c r="W872">
        <f t="shared" si="97"/>
        <v>0</v>
      </c>
    </row>
    <row r="873" spans="1:23" x14ac:dyDescent="0.2">
      <c r="A873" s="6" t="s">
        <v>24</v>
      </c>
      <c r="B873" s="6">
        <v>1963</v>
      </c>
      <c r="C873" s="6"/>
      <c r="D873" s="6" t="s">
        <v>80</v>
      </c>
      <c r="E873" s="6" t="s">
        <v>3</v>
      </c>
      <c r="F873" s="6">
        <v>0</v>
      </c>
      <c r="G873" s="6"/>
      <c r="H873" s="6">
        <v>0</v>
      </c>
      <c r="I873" s="6"/>
      <c r="J873" s="6"/>
      <c r="K873" s="6"/>
      <c r="L873" s="6" t="str">
        <f t="shared" si="91"/>
        <v>Michael S.</v>
      </c>
      <c r="M873" s="6" t="str">
        <f t="shared" si="92"/>
        <v>Charade (Grant, Hepburn)</v>
      </c>
      <c r="N873" s="9">
        <f t="shared" si="93"/>
        <v>0</v>
      </c>
      <c r="P873" t="str">
        <f t="shared" si="94"/>
        <v>"Michael S.";"Charade";"0"</v>
      </c>
      <c r="U873" t="str">
        <f t="shared" si="95"/>
        <v>Michael S.</v>
      </c>
      <c r="V873" t="str">
        <f t="shared" si="96"/>
        <v>Charade</v>
      </c>
      <c r="W873">
        <f t="shared" si="97"/>
        <v>0</v>
      </c>
    </row>
    <row r="874" spans="1:23" x14ac:dyDescent="0.2">
      <c r="A874" s="6" t="s">
        <v>25</v>
      </c>
      <c r="B874" s="6">
        <v>2000</v>
      </c>
      <c r="C874" s="6"/>
      <c r="D874" s="6" t="s">
        <v>80</v>
      </c>
      <c r="E874" s="6" t="s">
        <v>3</v>
      </c>
      <c r="F874" s="6">
        <v>0</v>
      </c>
      <c r="G874" s="6"/>
      <c r="H874" s="6">
        <v>0</v>
      </c>
      <c r="I874" s="6"/>
      <c r="J874" s="6"/>
      <c r="K874" s="6"/>
      <c r="L874" s="6" t="str">
        <f t="shared" si="91"/>
        <v>Michael S.</v>
      </c>
      <c r="M874" s="6" t="str">
        <f t="shared" si="92"/>
        <v>Charlies Angels (Diaz, Barrymore, Liu)</v>
      </c>
      <c r="N874" s="9">
        <f t="shared" si="93"/>
        <v>0</v>
      </c>
      <c r="P874" t="str">
        <f t="shared" si="94"/>
        <v>"Michael S.";"Charlies Angels";"0"</v>
      </c>
      <c r="U874" t="str">
        <f t="shared" si="95"/>
        <v>Michael S.</v>
      </c>
      <c r="V874" t="str">
        <f t="shared" si="96"/>
        <v>Charlies Angels</v>
      </c>
      <c r="W874">
        <f t="shared" si="97"/>
        <v>0</v>
      </c>
    </row>
    <row r="875" spans="1:23" x14ac:dyDescent="0.2">
      <c r="A875" s="6" t="s">
        <v>26</v>
      </c>
      <c r="B875" s="6">
        <v>1974</v>
      </c>
      <c r="C875" s="6"/>
      <c r="D875" s="6" t="s">
        <v>80</v>
      </c>
      <c r="E875" s="6" t="s">
        <v>3</v>
      </c>
      <c r="F875" s="6">
        <v>0</v>
      </c>
      <c r="G875" s="6"/>
      <c r="H875" s="6">
        <v>0</v>
      </c>
      <c r="I875" s="6"/>
      <c r="J875" s="6"/>
      <c r="K875" s="6"/>
      <c r="L875" s="6" t="str">
        <f t="shared" si="91"/>
        <v>Michael S.</v>
      </c>
      <c r="M875" s="6" t="str">
        <f t="shared" si="92"/>
        <v>Chinatown (Nicholson, Dunaway)</v>
      </c>
      <c r="N875" s="9">
        <f t="shared" si="93"/>
        <v>0</v>
      </c>
      <c r="P875" t="str">
        <f t="shared" si="94"/>
        <v>"Michael S.";"Chinatown";"0"</v>
      </c>
      <c r="U875" t="str">
        <f t="shared" si="95"/>
        <v>Michael S.</v>
      </c>
      <c r="V875" t="str">
        <f t="shared" si="96"/>
        <v>Chinatown</v>
      </c>
      <c r="W875">
        <f t="shared" si="97"/>
        <v>0</v>
      </c>
    </row>
    <row r="876" spans="1:23" x14ac:dyDescent="0.2">
      <c r="A876" s="6" t="s">
        <v>27</v>
      </c>
      <c r="B876" s="6">
        <v>1986</v>
      </c>
      <c r="C876" s="6"/>
      <c r="D876" s="6" t="s">
        <v>80</v>
      </c>
      <c r="E876" s="6" t="s">
        <v>3</v>
      </c>
      <c r="F876" s="6">
        <v>0</v>
      </c>
      <c r="G876" s="6"/>
      <c r="H876" s="6">
        <v>0</v>
      </c>
      <c r="I876" s="6"/>
      <c r="J876" s="6"/>
      <c r="K876" s="6"/>
      <c r="L876" s="6" t="str">
        <f t="shared" si="91"/>
        <v>Michael S.</v>
      </c>
      <c r="M876" s="6" t="str">
        <f t="shared" si="92"/>
        <v>Clockwise (Gleese, Leatherbarrow)</v>
      </c>
      <c r="N876" s="9">
        <f t="shared" si="93"/>
        <v>0</v>
      </c>
      <c r="P876" t="str">
        <f t="shared" si="94"/>
        <v>"Michael S.";"Clockwise";"0"</v>
      </c>
      <c r="U876" t="str">
        <f t="shared" si="95"/>
        <v>Michael S.</v>
      </c>
      <c r="V876" t="str">
        <f t="shared" si="96"/>
        <v>Clockwise</v>
      </c>
      <c r="W876">
        <f t="shared" si="97"/>
        <v>0</v>
      </c>
    </row>
    <row r="877" spans="1:23" x14ac:dyDescent="0.2">
      <c r="A877" s="6" t="s">
        <v>28</v>
      </c>
      <c r="B877" s="6">
        <v>2011</v>
      </c>
      <c r="C877" s="6"/>
      <c r="D877" s="6" t="s">
        <v>80</v>
      </c>
      <c r="E877" s="6" t="s">
        <v>3</v>
      </c>
      <c r="F877" s="6">
        <v>0</v>
      </c>
      <c r="G877" s="6"/>
      <c r="H877" s="6">
        <v>0</v>
      </c>
      <c r="I877" s="6"/>
      <c r="J877" s="6"/>
      <c r="K877" s="6"/>
      <c r="L877" s="6" t="str">
        <f t="shared" si="91"/>
        <v>Michael S.</v>
      </c>
      <c r="M877" s="6" t="str">
        <f t="shared" si="92"/>
        <v>Colombiana (Saldana, Molla)</v>
      </c>
      <c r="N877" s="9">
        <f t="shared" si="93"/>
        <v>0</v>
      </c>
      <c r="P877" t="str">
        <f t="shared" si="94"/>
        <v>"Michael S.";"Colombiana";"0"</v>
      </c>
      <c r="U877" t="str">
        <f t="shared" si="95"/>
        <v>Michael S.</v>
      </c>
      <c r="V877" t="str">
        <f t="shared" si="96"/>
        <v>Colombiana</v>
      </c>
      <c r="W877">
        <f t="shared" si="97"/>
        <v>0</v>
      </c>
    </row>
    <row r="878" spans="1:23" x14ac:dyDescent="0.2">
      <c r="A878" s="6" t="s">
        <v>29</v>
      </c>
      <c r="B878" s="6">
        <v>1962</v>
      </c>
      <c r="C878" s="6"/>
      <c r="D878" s="6" t="s">
        <v>80</v>
      </c>
      <c r="E878" s="6" t="s">
        <v>3</v>
      </c>
      <c r="F878" s="6">
        <v>0</v>
      </c>
      <c r="G878" s="6"/>
      <c r="H878" s="6">
        <v>0</v>
      </c>
      <c r="I878" s="6"/>
      <c r="J878" s="6"/>
      <c r="K878" s="6"/>
      <c r="L878" s="6" t="str">
        <f t="shared" si="91"/>
        <v>Michael S.</v>
      </c>
      <c r="M878" s="6" t="str">
        <f t="shared" si="92"/>
        <v>Doctor No (Connery, Andress)</v>
      </c>
      <c r="N878" s="9">
        <f t="shared" si="93"/>
        <v>0</v>
      </c>
      <c r="P878" t="str">
        <f t="shared" si="94"/>
        <v>"Michael S.";"Doctor No";"0"</v>
      </c>
      <c r="U878" t="str">
        <f t="shared" si="95"/>
        <v>Michael S.</v>
      </c>
      <c r="V878" t="str">
        <f t="shared" si="96"/>
        <v>Doctor No</v>
      </c>
      <c r="W878">
        <f t="shared" si="97"/>
        <v>0</v>
      </c>
    </row>
    <row r="879" spans="1:23" x14ac:dyDescent="0.2">
      <c r="A879" s="6" t="s">
        <v>30</v>
      </c>
      <c r="B879" s="6">
        <v>1965</v>
      </c>
      <c r="C879" s="6"/>
      <c r="D879" s="6" t="s">
        <v>80</v>
      </c>
      <c r="E879" s="6" t="s">
        <v>3</v>
      </c>
      <c r="F879" s="6">
        <v>0</v>
      </c>
      <c r="G879" s="6"/>
      <c r="H879" s="6">
        <v>0</v>
      </c>
      <c r="I879" s="6"/>
      <c r="J879" s="6"/>
      <c r="K879" s="6"/>
      <c r="L879" s="6" t="str">
        <f t="shared" si="91"/>
        <v>Michael S.</v>
      </c>
      <c r="M879" s="6" t="str">
        <f t="shared" si="92"/>
        <v>Doctor Zhiwago (Sharif, Christie)</v>
      </c>
      <c r="N879" s="9">
        <f t="shared" si="93"/>
        <v>0</v>
      </c>
      <c r="P879" t="str">
        <f t="shared" si="94"/>
        <v>"Michael S.";"Doctor Zhiwago";"0"</v>
      </c>
      <c r="U879" t="str">
        <f t="shared" si="95"/>
        <v>Michael S.</v>
      </c>
      <c r="V879" t="str">
        <f t="shared" si="96"/>
        <v>Doctor Zhiwago</v>
      </c>
      <c r="W879">
        <f t="shared" si="97"/>
        <v>0</v>
      </c>
    </row>
    <row r="880" spans="1:23" x14ac:dyDescent="0.2">
      <c r="A880" s="6" t="s">
        <v>31</v>
      </c>
      <c r="B880" s="6">
        <v>1964</v>
      </c>
      <c r="C880" s="6"/>
      <c r="D880" s="6" t="s">
        <v>80</v>
      </c>
      <c r="E880" s="6" t="s">
        <v>3</v>
      </c>
      <c r="F880" s="6">
        <v>0</v>
      </c>
      <c r="G880" s="6"/>
      <c r="H880" s="6">
        <v>0</v>
      </c>
      <c r="I880" s="6"/>
      <c r="J880" s="6"/>
      <c r="K880" s="6"/>
      <c r="L880" s="6" t="str">
        <f t="shared" si="91"/>
        <v>Michael S.</v>
      </c>
      <c r="M880" s="6" t="str">
        <f t="shared" si="92"/>
        <v>Dr. Strangelove… (Sellers, Scott)</v>
      </c>
      <c r="N880" s="9">
        <f t="shared" si="93"/>
        <v>0</v>
      </c>
      <c r="P880" t="str">
        <f t="shared" si="94"/>
        <v>"Michael S.";"Dr. Strangelove…";"0"</v>
      </c>
      <c r="U880" t="str">
        <f t="shared" si="95"/>
        <v>Michael S.</v>
      </c>
      <c r="V880" t="str">
        <f t="shared" si="96"/>
        <v>Dr. Strangelove…</v>
      </c>
      <c r="W880">
        <f t="shared" si="97"/>
        <v>0</v>
      </c>
    </row>
    <row r="881" spans="1:23" x14ac:dyDescent="0.2">
      <c r="A881" s="6" t="s">
        <v>32</v>
      </c>
      <c r="B881" s="6">
        <v>2000</v>
      </c>
      <c r="C881" s="6"/>
      <c r="D881" s="6" t="s">
        <v>80</v>
      </c>
      <c r="E881" s="6" t="s">
        <v>3</v>
      </c>
      <c r="F881" s="6">
        <v>0</v>
      </c>
      <c r="G881" s="6"/>
      <c r="H881" s="6">
        <v>0</v>
      </c>
      <c r="I881" s="6"/>
      <c r="J881" s="6"/>
      <c r="K881" s="6"/>
      <c r="L881" s="6" t="str">
        <f t="shared" si="91"/>
        <v>Michael S.</v>
      </c>
      <c r="M881" s="6" t="str">
        <f t="shared" si="92"/>
        <v>Dr. T and the women (Gere, Hunt)</v>
      </c>
      <c r="N881" s="9">
        <f t="shared" si="93"/>
        <v>0</v>
      </c>
      <c r="P881" t="str">
        <f t="shared" si="94"/>
        <v>"Michael S.";"Dr. T and the women";"0"</v>
      </c>
      <c r="U881" t="str">
        <f t="shared" si="95"/>
        <v>Michael S.</v>
      </c>
      <c r="V881" t="str">
        <f t="shared" si="96"/>
        <v>Dr. T and the women</v>
      </c>
      <c r="W881">
        <f t="shared" si="97"/>
        <v>0</v>
      </c>
    </row>
    <row r="882" spans="1:23" x14ac:dyDescent="0.2">
      <c r="A882" s="6" t="s">
        <v>33</v>
      </c>
      <c r="B882" s="6">
        <v>1953</v>
      </c>
      <c r="C882" s="6"/>
      <c r="D882" s="6" t="s">
        <v>80</v>
      </c>
      <c r="E882" s="6" t="s">
        <v>3</v>
      </c>
      <c r="F882" s="6">
        <v>0</v>
      </c>
      <c r="G882" s="6"/>
      <c r="H882" s="6">
        <v>0</v>
      </c>
      <c r="I882" s="6"/>
      <c r="J882" s="6"/>
      <c r="K882" s="6"/>
      <c r="L882" s="6" t="str">
        <f t="shared" si="91"/>
        <v>Michael S.</v>
      </c>
      <c r="M882" s="6" t="str">
        <f t="shared" si="92"/>
        <v>Gentlemen Prefer Blondes (Monroe, Russell)</v>
      </c>
      <c r="N882" s="9">
        <f t="shared" si="93"/>
        <v>0</v>
      </c>
      <c r="P882" t="str">
        <f t="shared" si="94"/>
        <v>"Michael S.";"Gentlemen Prefer Blondes";"0"</v>
      </c>
      <c r="U882" t="str">
        <f t="shared" si="95"/>
        <v>Michael S.</v>
      </c>
      <c r="V882" t="str">
        <f t="shared" si="96"/>
        <v>Gentlemen Prefer Blondes</v>
      </c>
      <c r="W882">
        <f t="shared" si="97"/>
        <v>0</v>
      </c>
    </row>
    <row r="883" spans="1:23" x14ac:dyDescent="0.2">
      <c r="A883" s="6" t="s">
        <v>34</v>
      </c>
      <c r="B883" s="6">
        <v>2014</v>
      </c>
      <c r="C883" s="6"/>
      <c r="D883" s="6" t="s">
        <v>80</v>
      </c>
      <c r="E883" s="6" t="s">
        <v>3</v>
      </c>
      <c r="F883" s="6">
        <v>0</v>
      </c>
      <c r="G883" s="6"/>
      <c r="H883" s="6">
        <v>0</v>
      </c>
      <c r="I883" s="6"/>
      <c r="J883" s="6"/>
      <c r="K883" s="6"/>
      <c r="L883" s="6" t="str">
        <f t="shared" si="91"/>
        <v>Michael S.</v>
      </c>
      <c r="M883" s="6" t="str">
        <f t="shared" si="92"/>
        <v>Grand Budapest Hotel (Fiennes, Abraham)</v>
      </c>
      <c r="N883" s="9">
        <f t="shared" si="93"/>
        <v>0</v>
      </c>
      <c r="P883" t="str">
        <f t="shared" si="94"/>
        <v>"Michael S.";"Grand Budapest Hotel";"0"</v>
      </c>
      <c r="U883" t="str">
        <f t="shared" si="95"/>
        <v>Michael S.</v>
      </c>
      <c r="V883" t="str">
        <f t="shared" si="96"/>
        <v>Grand Budapest Hotel</v>
      </c>
      <c r="W883">
        <f t="shared" si="97"/>
        <v>0</v>
      </c>
    </row>
    <row r="884" spans="1:23" x14ac:dyDescent="0.2">
      <c r="A884" s="6" t="s">
        <v>35</v>
      </c>
      <c r="B884" s="6">
        <v>2001</v>
      </c>
      <c r="C884" s="6"/>
      <c r="D884" s="6" t="s">
        <v>80</v>
      </c>
      <c r="E884" s="6" t="s">
        <v>2</v>
      </c>
      <c r="F884" s="6">
        <v>1</v>
      </c>
      <c r="G884" s="6">
        <v>5</v>
      </c>
      <c r="H884" s="6">
        <v>5</v>
      </c>
      <c r="I884" s="6"/>
      <c r="J884" s="6"/>
      <c r="K884" s="6"/>
      <c r="L884" s="6" t="str">
        <f t="shared" si="91"/>
        <v>Michael S.</v>
      </c>
      <c r="M884" s="6" t="str">
        <f t="shared" si="92"/>
        <v>Harry Potter and the Philosopher's Stone (Radcliff, Harris)</v>
      </c>
      <c r="N884" s="9">
        <f t="shared" si="93"/>
        <v>5</v>
      </c>
      <c r="P884" t="str">
        <f t="shared" si="94"/>
        <v>"Michael S.";"Harry Potter and the Philosopher's Stone";"5"</v>
      </c>
      <c r="U884" t="str">
        <f t="shared" si="95"/>
        <v>Michael S.</v>
      </c>
      <c r="V884" t="str">
        <f t="shared" si="96"/>
        <v>Harry Potter and the Philosopher's Stone</v>
      </c>
      <c r="W884">
        <f t="shared" si="97"/>
        <v>1</v>
      </c>
    </row>
    <row r="885" spans="1:23" x14ac:dyDescent="0.2">
      <c r="A885" s="6" t="s">
        <v>36</v>
      </c>
      <c r="B885" s="6">
        <v>1950</v>
      </c>
      <c r="C885" s="6"/>
      <c r="D885" s="6" t="s">
        <v>80</v>
      </c>
      <c r="E885" s="6" t="s">
        <v>3</v>
      </c>
      <c r="F885" s="6">
        <v>0</v>
      </c>
      <c r="G885" s="6"/>
      <c r="H885" s="6">
        <v>0</v>
      </c>
      <c r="I885" s="6"/>
      <c r="J885" s="6"/>
      <c r="K885" s="6"/>
      <c r="L885" s="6" t="str">
        <f t="shared" si="91"/>
        <v>Michael S.</v>
      </c>
      <c r="M885" s="6" t="str">
        <f t="shared" si="92"/>
        <v>Harvey (Stewart, Hull)</v>
      </c>
      <c r="N885" s="9">
        <f t="shared" si="93"/>
        <v>0</v>
      </c>
      <c r="P885" t="str">
        <f t="shared" si="94"/>
        <v>"Michael S.";"Harvey";"0"</v>
      </c>
      <c r="U885" t="str">
        <f t="shared" si="95"/>
        <v>Michael S.</v>
      </c>
      <c r="V885" t="str">
        <f t="shared" si="96"/>
        <v>Harvey</v>
      </c>
      <c r="W885">
        <f t="shared" si="97"/>
        <v>0</v>
      </c>
    </row>
    <row r="886" spans="1:23" x14ac:dyDescent="0.2">
      <c r="A886" s="6" t="s">
        <v>37</v>
      </c>
      <c r="B886" s="6">
        <v>1962</v>
      </c>
      <c r="C886" s="6"/>
      <c r="D886" s="6" t="s">
        <v>80</v>
      </c>
      <c r="E886" s="6" t="s">
        <v>3</v>
      </c>
      <c r="F886" s="6">
        <v>0</v>
      </c>
      <c r="G886" s="6"/>
      <c r="H886" s="6">
        <v>0</v>
      </c>
      <c r="I886" s="6"/>
      <c r="J886" s="6"/>
      <c r="K886" s="6"/>
      <c r="L886" s="6" t="str">
        <f t="shared" si="91"/>
        <v>Michael S.</v>
      </c>
      <c r="M886" s="6" t="str">
        <f t="shared" si="92"/>
        <v>Hatari! (Wayne, Martinelli)</v>
      </c>
      <c r="N886" s="9">
        <f t="shared" si="93"/>
        <v>0</v>
      </c>
      <c r="P886" t="str">
        <f t="shared" si="94"/>
        <v>"Michael S.";"Hatari!";"0"</v>
      </c>
      <c r="U886" t="str">
        <f t="shared" si="95"/>
        <v>Michael S.</v>
      </c>
      <c r="V886" t="str">
        <f t="shared" si="96"/>
        <v>Hatari!</v>
      </c>
      <c r="W886">
        <f t="shared" si="97"/>
        <v>0</v>
      </c>
    </row>
    <row r="887" spans="1:23" x14ac:dyDescent="0.2">
      <c r="A887" s="6" t="s">
        <v>38</v>
      </c>
      <c r="B887" s="6">
        <v>1990</v>
      </c>
      <c r="C887" s="6"/>
      <c r="D887" s="6" t="s">
        <v>80</v>
      </c>
      <c r="E887" s="6" t="s">
        <v>2</v>
      </c>
      <c r="F887" s="6">
        <v>1</v>
      </c>
      <c r="G887" s="6">
        <v>5</v>
      </c>
      <c r="H887" s="6">
        <v>5</v>
      </c>
      <c r="I887" s="6"/>
      <c r="J887" s="6"/>
      <c r="K887" s="6"/>
      <c r="L887" s="6" t="str">
        <f t="shared" si="91"/>
        <v>Michael S.</v>
      </c>
      <c r="M887" s="6" t="str">
        <f t="shared" si="92"/>
        <v>Home alone (Culkin, Pesci)</v>
      </c>
      <c r="N887" s="9">
        <f t="shared" si="93"/>
        <v>5</v>
      </c>
      <c r="P887" t="str">
        <f t="shared" si="94"/>
        <v>"Michael S.";"Home alone";"5"</v>
      </c>
      <c r="U887" t="str">
        <f t="shared" si="95"/>
        <v>Michael S.</v>
      </c>
      <c r="V887" t="str">
        <f t="shared" si="96"/>
        <v>Home alone</v>
      </c>
      <c r="W887">
        <f t="shared" si="97"/>
        <v>1</v>
      </c>
    </row>
    <row r="888" spans="1:23" x14ac:dyDescent="0.2">
      <c r="A888" s="6" t="s">
        <v>39</v>
      </c>
      <c r="B888" s="6">
        <v>2004</v>
      </c>
      <c r="C888" s="6"/>
      <c r="D888" s="6" t="s">
        <v>80</v>
      </c>
      <c r="E888" s="6" t="s">
        <v>2</v>
      </c>
      <c r="F888" s="6">
        <v>1</v>
      </c>
      <c r="G888" s="6">
        <v>4</v>
      </c>
      <c r="H888" s="6">
        <v>4</v>
      </c>
      <c r="I888" s="6"/>
      <c r="J888" s="6"/>
      <c r="K888" s="6"/>
      <c r="L888" s="6" t="str">
        <f t="shared" si="91"/>
        <v>Michael S.</v>
      </c>
      <c r="M888" s="6" t="str">
        <f t="shared" si="92"/>
        <v>I, Robot (Smith, Moynahan)</v>
      </c>
      <c r="N888" s="9">
        <f t="shared" si="93"/>
        <v>4</v>
      </c>
      <c r="P888" t="str">
        <f t="shared" si="94"/>
        <v>"Michael S.";"I, Robot";"4"</v>
      </c>
      <c r="U888" t="str">
        <f t="shared" si="95"/>
        <v>Michael S.</v>
      </c>
      <c r="V888" t="str">
        <f t="shared" si="96"/>
        <v>I, Robot</v>
      </c>
      <c r="W888">
        <f t="shared" si="97"/>
        <v>1</v>
      </c>
    </row>
    <row r="889" spans="1:23" x14ac:dyDescent="0.2">
      <c r="A889" s="6" t="s">
        <v>40</v>
      </c>
      <c r="B889" s="6">
        <v>1967</v>
      </c>
      <c r="C889" s="6"/>
      <c r="D889" s="6" t="s">
        <v>80</v>
      </c>
      <c r="E889" s="6" t="s">
        <v>3</v>
      </c>
      <c r="F889" s="6">
        <v>0</v>
      </c>
      <c r="G889" s="6"/>
      <c r="H889" s="6">
        <v>0</v>
      </c>
      <c r="I889" s="6"/>
      <c r="J889" s="6"/>
      <c r="K889" s="6"/>
      <c r="L889" s="6" t="str">
        <f t="shared" si="91"/>
        <v>Michael S.</v>
      </c>
      <c r="M889" s="6" t="str">
        <f t="shared" si="92"/>
        <v>In The Heat Of The Night (Poitier, Steiger)</v>
      </c>
      <c r="N889" s="9">
        <f t="shared" si="93"/>
        <v>0</v>
      </c>
      <c r="P889" t="str">
        <f t="shared" si="94"/>
        <v>"Michael S.";"In The Heat Of The Night";"0"</v>
      </c>
      <c r="U889" t="str">
        <f t="shared" si="95"/>
        <v>Michael S.</v>
      </c>
      <c r="V889" t="str">
        <f t="shared" si="96"/>
        <v>In The Heat Of The Night</v>
      </c>
      <c r="W889">
        <f t="shared" si="97"/>
        <v>0</v>
      </c>
    </row>
    <row r="890" spans="1:23" x14ac:dyDescent="0.2">
      <c r="A890" s="6" t="s">
        <v>41</v>
      </c>
      <c r="B890" s="6">
        <v>2014</v>
      </c>
      <c r="C890" s="6"/>
      <c r="D890" s="6" t="s">
        <v>80</v>
      </c>
      <c r="E890" s="6" t="s">
        <v>3</v>
      </c>
      <c r="F890" s="6">
        <v>0</v>
      </c>
      <c r="G890" s="6"/>
      <c r="H890" s="6">
        <v>0</v>
      </c>
      <c r="I890" s="6"/>
      <c r="J890" s="6"/>
      <c r="K890" s="6"/>
      <c r="L890" s="6" t="str">
        <f t="shared" si="91"/>
        <v>Michael S.</v>
      </c>
      <c r="M890" s="6" t="str">
        <f t="shared" si="92"/>
        <v>Jack Ryan: Shadow Recruite (Pine, Costner)</v>
      </c>
      <c r="N890" s="9">
        <f t="shared" si="93"/>
        <v>0</v>
      </c>
      <c r="P890" t="str">
        <f t="shared" si="94"/>
        <v>"Michael S.";"Jack Ryan: Shadow Recruite";"0"</v>
      </c>
      <c r="U890" t="str">
        <f t="shared" si="95"/>
        <v>Michael S.</v>
      </c>
      <c r="V890" t="str">
        <f t="shared" si="96"/>
        <v>Jack Ryan: Shadow Recruite</v>
      </c>
      <c r="W890">
        <f t="shared" si="97"/>
        <v>0</v>
      </c>
    </row>
    <row r="891" spans="1:23" x14ac:dyDescent="0.2">
      <c r="A891" s="6" t="s">
        <v>42</v>
      </c>
      <c r="B891" s="6">
        <v>1995</v>
      </c>
      <c r="C891" s="6"/>
      <c r="D891" s="6" t="s">
        <v>80</v>
      </c>
      <c r="E891" s="6" t="s">
        <v>3</v>
      </c>
      <c r="F891" s="6">
        <v>0</v>
      </c>
      <c r="G891" s="6"/>
      <c r="H891" s="6">
        <v>0</v>
      </c>
      <c r="I891" s="6"/>
      <c r="J891" s="6"/>
      <c r="K891" s="6"/>
      <c r="L891" s="6" t="str">
        <f t="shared" si="91"/>
        <v>Michael S.</v>
      </c>
      <c r="M891" s="6" t="str">
        <f t="shared" si="92"/>
        <v>Jumanji (Williams, Dunst)</v>
      </c>
      <c r="N891" s="9">
        <f t="shared" si="93"/>
        <v>0</v>
      </c>
      <c r="P891" t="str">
        <f t="shared" si="94"/>
        <v>"Michael S.";"Jumanji";"0"</v>
      </c>
      <c r="U891" t="str">
        <f t="shared" si="95"/>
        <v>Michael S.</v>
      </c>
      <c r="V891" t="str">
        <f t="shared" si="96"/>
        <v>Jumanji</v>
      </c>
      <c r="W891">
        <f t="shared" si="97"/>
        <v>0</v>
      </c>
    </row>
    <row r="892" spans="1:23" x14ac:dyDescent="0.2">
      <c r="A892" s="6" t="s">
        <v>43</v>
      </c>
      <c r="B892" s="6">
        <v>2005</v>
      </c>
      <c r="C892" s="6"/>
      <c r="D892" s="6" t="s">
        <v>80</v>
      </c>
      <c r="E892" s="6" t="s">
        <v>3</v>
      </c>
      <c r="F892" s="6">
        <v>0</v>
      </c>
      <c r="G892" s="6"/>
      <c r="H892" s="6">
        <v>0</v>
      </c>
      <c r="I892" s="6"/>
      <c r="J892" s="6"/>
      <c r="K892" s="6"/>
      <c r="L892" s="6" t="str">
        <f t="shared" si="91"/>
        <v>Michael S.</v>
      </c>
      <c r="M892" s="6" t="str">
        <f t="shared" si="92"/>
        <v>King Kong (Watts, Black)</v>
      </c>
      <c r="N892" s="9">
        <f t="shared" si="93"/>
        <v>0</v>
      </c>
      <c r="P892" t="str">
        <f t="shared" si="94"/>
        <v>"Michael S.";"King Kong";"0"</v>
      </c>
      <c r="U892" t="str">
        <f t="shared" si="95"/>
        <v>Michael S.</v>
      </c>
      <c r="V892" t="str">
        <f t="shared" si="96"/>
        <v>King Kong</v>
      </c>
      <c r="W892">
        <f t="shared" si="97"/>
        <v>0</v>
      </c>
    </row>
    <row r="893" spans="1:23" x14ac:dyDescent="0.2">
      <c r="A893" s="6" t="s">
        <v>44</v>
      </c>
      <c r="B893" s="6">
        <v>2016</v>
      </c>
      <c r="C893" s="6"/>
      <c r="D893" s="6" t="s">
        <v>80</v>
      </c>
      <c r="E893" s="6" t="s">
        <v>3</v>
      </c>
      <c r="F893" s="6">
        <v>0</v>
      </c>
      <c r="G893" s="6"/>
      <c r="H893" s="6">
        <v>0</v>
      </c>
      <c r="I893" s="6"/>
      <c r="J893" s="6"/>
      <c r="K893" s="6"/>
      <c r="L893" s="6" t="str">
        <f t="shared" si="91"/>
        <v>Michael S.</v>
      </c>
      <c r="M893" s="6" t="str">
        <f t="shared" si="92"/>
        <v>La La Land (Gosling, Stone)</v>
      </c>
      <c r="N893" s="9">
        <f t="shared" si="93"/>
        <v>0</v>
      </c>
      <c r="P893" t="str">
        <f t="shared" si="94"/>
        <v>"Michael S.";"La La Land";"0"</v>
      </c>
      <c r="U893" t="str">
        <f t="shared" si="95"/>
        <v>Michael S.</v>
      </c>
      <c r="V893" t="str">
        <f t="shared" si="96"/>
        <v>La La Land</v>
      </c>
      <c r="W893">
        <f t="shared" si="97"/>
        <v>0</v>
      </c>
    </row>
    <row r="894" spans="1:23" x14ac:dyDescent="0.2">
      <c r="A894" s="6" t="s">
        <v>45</v>
      </c>
      <c r="B894" s="6">
        <v>2001</v>
      </c>
      <c r="C894" s="6"/>
      <c r="D894" s="6" t="s">
        <v>80</v>
      </c>
      <c r="E894" s="6" t="s">
        <v>3</v>
      </c>
      <c r="F894" s="6">
        <v>0</v>
      </c>
      <c r="G894" s="6"/>
      <c r="H894" s="6">
        <v>0</v>
      </c>
      <c r="I894" s="6"/>
      <c r="J894" s="6"/>
      <c r="K894" s="6"/>
      <c r="L894" s="6" t="str">
        <f t="shared" si="91"/>
        <v>Michael S.</v>
      </c>
      <c r="M894" s="6" t="str">
        <f t="shared" si="92"/>
        <v>Lord of the Rings (Woods, McKellen)</v>
      </c>
      <c r="N894" s="9">
        <f t="shared" si="93"/>
        <v>0</v>
      </c>
      <c r="P894" t="str">
        <f t="shared" si="94"/>
        <v>"Michael S.";"Lord of the Rings";"0"</v>
      </c>
      <c r="U894" t="str">
        <f t="shared" si="95"/>
        <v>Michael S.</v>
      </c>
      <c r="V894" t="str">
        <f t="shared" si="96"/>
        <v>Lord of the Rings</v>
      </c>
      <c r="W894">
        <f t="shared" si="97"/>
        <v>0</v>
      </c>
    </row>
    <row r="895" spans="1:23" x14ac:dyDescent="0.2">
      <c r="A895" s="6" t="s">
        <v>46</v>
      </c>
      <c r="B895" s="6">
        <v>1964</v>
      </c>
      <c r="C895" s="6"/>
      <c r="D895" s="6" t="s">
        <v>80</v>
      </c>
      <c r="E895" s="6" t="s">
        <v>3</v>
      </c>
      <c r="F895" s="6">
        <v>0</v>
      </c>
      <c r="G895" s="6"/>
      <c r="H895" s="6">
        <v>0</v>
      </c>
      <c r="I895" s="6"/>
      <c r="J895" s="6"/>
      <c r="K895" s="6"/>
      <c r="L895" s="6" t="str">
        <f t="shared" si="91"/>
        <v>Michael S.</v>
      </c>
      <c r="M895" s="6" t="str">
        <f t="shared" si="92"/>
        <v>Per Un Pugno Di Dollari (Eastwood, Koch)</v>
      </c>
      <c r="N895" s="9">
        <f t="shared" si="93"/>
        <v>0</v>
      </c>
      <c r="P895" t="str">
        <f t="shared" si="94"/>
        <v>"Michael S.";"Per Un Pugno Di Dollari";"0"</v>
      </c>
      <c r="U895" t="str">
        <f t="shared" si="95"/>
        <v>Michael S.</v>
      </c>
      <c r="V895" t="str">
        <f t="shared" si="96"/>
        <v>Per Un Pugno Di Dollari</v>
      </c>
      <c r="W895">
        <f t="shared" si="97"/>
        <v>0</v>
      </c>
    </row>
    <row r="896" spans="1:23" x14ac:dyDescent="0.2">
      <c r="A896" s="6" t="s">
        <v>47</v>
      </c>
      <c r="B896" s="6">
        <v>1954</v>
      </c>
      <c r="C896" s="6"/>
      <c r="D896" s="6" t="s">
        <v>80</v>
      </c>
      <c r="E896" s="6" t="s">
        <v>3</v>
      </c>
      <c r="F896" s="6">
        <v>0</v>
      </c>
      <c r="G896" s="6"/>
      <c r="H896" s="6">
        <v>0</v>
      </c>
      <c r="I896" s="6"/>
      <c r="J896" s="6"/>
      <c r="K896" s="6"/>
      <c r="L896" s="6" t="str">
        <f t="shared" si="91"/>
        <v>Michael S.</v>
      </c>
      <c r="M896" s="6" t="str">
        <f t="shared" si="92"/>
        <v>Rear Window (Stewart, Kelly)</v>
      </c>
      <c r="N896" s="9">
        <f t="shared" si="93"/>
        <v>0</v>
      </c>
      <c r="P896" t="str">
        <f t="shared" si="94"/>
        <v>"Michael S.";"Rear Window";"0"</v>
      </c>
      <c r="U896" t="str">
        <f t="shared" si="95"/>
        <v>Michael S.</v>
      </c>
      <c r="V896" t="str">
        <f t="shared" si="96"/>
        <v>Rear Window</v>
      </c>
      <c r="W896">
        <f t="shared" si="97"/>
        <v>0</v>
      </c>
    </row>
    <row r="897" spans="1:23" x14ac:dyDescent="0.2">
      <c r="A897" s="6" t="s">
        <v>48</v>
      </c>
      <c r="B897" s="6">
        <v>1955</v>
      </c>
      <c r="C897" s="6"/>
      <c r="D897" s="6" t="s">
        <v>80</v>
      </c>
      <c r="E897" s="6" t="s">
        <v>3</v>
      </c>
      <c r="F897" s="6">
        <v>0</v>
      </c>
      <c r="G897" s="6"/>
      <c r="H897" s="6">
        <v>0</v>
      </c>
      <c r="I897" s="6"/>
      <c r="J897" s="6"/>
      <c r="K897" s="6"/>
      <c r="L897" s="6" t="str">
        <f t="shared" si="91"/>
        <v>Michael S.</v>
      </c>
      <c r="M897" s="6" t="str">
        <f t="shared" si="92"/>
        <v>Rebel Without A Cause (Dean, Wood)</v>
      </c>
      <c r="N897" s="9">
        <f t="shared" si="93"/>
        <v>0</v>
      </c>
      <c r="P897" t="str">
        <f t="shared" si="94"/>
        <v>"Michael S.";"Rebel Without A Cause";"0"</v>
      </c>
      <c r="U897" t="str">
        <f t="shared" si="95"/>
        <v>Michael S.</v>
      </c>
      <c r="V897" t="str">
        <f t="shared" si="96"/>
        <v>Rebel Without A Cause</v>
      </c>
      <c r="W897">
        <f t="shared" si="97"/>
        <v>0</v>
      </c>
    </row>
    <row r="898" spans="1:23" x14ac:dyDescent="0.2">
      <c r="A898" s="6" t="s">
        <v>66</v>
      </c>
      <c r="B898" s="6">
        <v>2005</v>
      </c>
      <c r="C898" s="6"/>
      <c r="D898" s="6" t="s">
        <v>80</v>
      </c>
      <c r="E898" s="6" t="s">
        <v>3</v>
      </c>
      <c r="F898" s="6">
        <v>0</v>
      </c>
      <c r="G898" s="6"/>
      <c r="H898" s="6">
        <v>0</v>
      </c>
      <c r="I898" s="6"/>
      <c r="J898" s="6"/>
      <c r="K898" s="6"/>
      <c r="L898" s="6" t="str">
        <f t="shared" si="91"/>
        <v>Michael S.</v>
      </c>
      <c r="M898" s="6" t="str">
        <f t="shared" si="92"/>
        <v>Rumor has it (Aniston, Costner)</v>
      </c>
      <c r="N898" s="9">
        <f t="shared" si="93"/>
        <v>0</v>
      </c>
      <c r="P898" t="str">
        <f t="shared" si="94"/>
        <v>"Michael S.";"Rumor has it";"0"</v>
      </c>
      <c r="U898" t="str">
        <f t="shared" si="95"/>
        <v>Michael S.</v>
      </c>
      <c r="V898" t="str">
        <f t="shared" si="96"/>
        <v>Rumor has it</v>
      </c>
      <c r="W898">
        <f t="shared" si="97"/>
        <v>0</v>
      </c>
    </row>
    <row r="899" spans="1:23" x14ac:dyDescent="0.2">
      <c r="A899" s="6" t="s">
        <v>49</v>
      </c>
      <c r="B899" s="6">
        <v>1998</v>
      </c>
      <c r="C899" s="6"/>
      <c r="D899" s="6" t="s">
        <v>80</v>
      </c>
      <c r="E899" s="6" t="s">
        <v>3</v>
      </c>
      <c r="F899" s="6">
        <v>0</v>
      </c>
      <c r="G899" s="6"/>
      <c r="H899" s="6">
        <v>0</v>
      </c>
      <c r="I899" s="6"/>
      <c r="J899" s="6"/>
      <c r="K899" s="6"/>
      <c r="L899" s="6" t="str">
        <f t="shared" ref="L899:L962" si="98">D899</f>
        <v>Michael S.</v>
      </c>
      <c r="M899" s="6" t="str">
        <f t="shared" ref="M899:M962" si="99">A899</f>
        <v>Saving private Ryan (Hanks, Damon)</v>
      </c>
      <c r="N899" s="9">
        <f t="shared" ref="N899:N962" si="100">H899</f>
        <v>0</v>
      </c>
      <c r="P899" t="str">
        <f t="shared" ref="P899:P962" si="101">""""&amp;L899&amp;""";"""&amp;LEFT(M899,FIND("(",M899)-2)&amp;""";"""&amp;SUBSTITUTE(N899,",",".")&amp;""""</f>
        <v>"Michael S.";"Saving private Ryan";"0"</v>
      </c>
      <c r="U899" t="str">
        <f t="shared" ref="U899:U962" si="102">D899</f>
        <v>Michael S.</v>
      </c>
      <c r="V899" t="str">
        <f t="shared" ref="V899:V962" si="103">LEFT(A899,FIND("(",A899)-2)</f>
        <v>Saving private Ryan</v>
      </c>
      <c r="W899">
        <f t="shared" ref="W899:W962" si="104">F899</f>
        <v>0</v>
      </c>
    </row>
    <row r="900" spans="1:23" x14ac:dyDescent="0.2">
      <c r="A900" s="6" t="s">
        <v>50</v>
      </c>
      <c r="B900" s="6">
        <v>1993</v>
      </c>
      <c r="C900" s="6"/>
      <c r="D900" s="6" t="s">
        <v>80</v>
      </c>
      <c r="E900" s="6" t="s">
        <v>2</v>
      </c>
      <c r="F900" s="6">
        <v>1</v>
      </c>
      <c r="G900" s="6">
        <v>4</v>
      </c>
      <c r="H900" s="6">
        <v>4</v>
      </c>
      <c r="I900" s="6"/>
      <c r="J900" s="6"/>
      <c r="K900" s="6"/>
      <c r="L900" s="6" t="str">
        <f t="shared" si="98"/>
        <v>Michael S.</v>
      </c>
      <c r="M900" s="6" t="str">
        <f t="shared" si="99"/>
        <v>Schindlers List (Neeson, Fiennes)</v>
      </c>
      <c r="N900" s="9">
        <f t="shared" si="100"/>
        <v>4</v>
      </c>
      <c r="P900" t="str">
        <f t="shared" si="101"/>
        <v>"Michael S.";"Schindlers List";"4"</v>
      </c>
      <c r="U900" t="str">
        <f t="shared" si="102"/>
        <v>Michael S.</v>
      </c>
      <c r="V900" t="str">
        <f t="shared" si="103"/>
        <v>Schindlers List</v>
      </c>
      <c r="W900">
        <f t="shared" si="104"/>
        <v>1</v>
      </c>
    </row>
    <row r="901" spans="1:23" x14ac:dyDescent="0.2">
      <c r="A901" s="6" t="s">
        <v>51</v>
      </c>
      <c r="B901" s="6">
        <v>1996</v>
      </c>
      <c r="C901" s="6"/>
      <c r="D901" s="6" t="s">
        <v>80</v>
      </c>
      <c r="E901" s="6" t="s">
        <v>3</v>
      </c>
      <c r="F901" s="6">
        <v>0</v>
      </c>
      <c r="G901" s="6"/>
      <c r="H901" s="6">
        <v>0</v>
      </c>
      <c r="I901" s="6"/>
      <c r="J901" s="6"/>
      <c r="K901" s="6"/>
      <c r="L901" s="6" t="str">
        <f t="shared" si="98"/>
        <v>Michael S.</v>
      </c>
      <c r="M901" s="6" t="str">
        <f t="shared" si="99"/>
        <v>Scream (Arquette, Campell)</v>
      </c>
      <c r="N901" s="9">
        <f t="shared" si="100"/>
        <v>0</v>
      </c>
      <c r="P901" t="str">
        <f t="shared" si="101"/>
        <v>"Michael S.";"Scream";"0"</v>
      </c>
      <c r="U901" t="str">
        <f t="shared" si="102"/>
        <v>Michael S.</v>
      </c>
      <c r="V901" t="str">
        <f t="shared" si="103"/>
        <v>Scream</v>
      </c>
      <c r="W901">
        <f t="shared" si="104"/>
        <v>0</v>
      </c>
    </row>
    <row r="902" spans="1:23" x14ac:dyDescent="0.2">
      <c r="A902" s="6" t="s">
        <v>52</v>
      </c>
      <c r="B902" s="6">
        <v>1977</v>
      </c>
      <c r="C902" s="6"/>
      <c r="D902" s="6" t="s">
        <v>80</v>
      </c>
      <c r="E902" s="6" t="s">
        <v>3</v>
      </c>
      <c r="F902" s="6">
        <v>0</v>
      </c>
      <c r="G902" s="6"/>
      <c r="H902" s="6">
        <v>0</v>
      </c>
      <c r="I902" s="6"/>
      <c r="J902" s="6"/>
      <c r="K902" s="6"/>
      <c r="L902" s="6" t="str">
        <f t="shared" si="98"/>
        <v>Michael S.</v>
      </c>
      <c r="M902" s="6" t="str">
        <f t="shared" si="99"/>
        <v>Star Wars IV: A new hope (Hamill, Ford)</v>
      </c>
      <c r="N902" s="9">
        <f t="shared" si="100"/>
        <v>0</v>
      </c>
      <c r="P902" t="str">
        <f t="shared" si="101"/>
        <v>"Michael S.";"Star Wars IV: A new hope";"0"</v>
      </c>
      <c r="U902" t="str">
        <f t="shared" si="102"/>
        <v>Michael S.</v>
      </c>
      <c r="V902" t="str">
        <f t="shared" si="103"/>
        <v>Star Wars IV: A new hope</v>
      </c>
      <c r="W902">
        <f t="shared" si="104"/>
        <v>0</v>
      </c>
    </row>
    <row r="903" spans="1:23" x14ac:dyDescent="0.2">
      <c r="A903" s="6" t="s">
        <v>53</v>
      </c>
      <c r="B903" s="6">
        <v>2016</v>
      </c>
      <c r="C903" s="6"/>
      <c r="D903" s="6" t="s">
        <v>80</v>
      </c>
      <c r="E903" s="6" t="s">
        <v>3</v>
      </c>
      <c r="F903" s="6">
        <v>0</v>
      </c>
      <c r="G903" s="6"/>
      <c r="H903" s="6">
        <v>0</v>
      </c>
      <c r="I903" s="6"/>
      <c r="J903" s="6"/>
      <c r="K903" s="6"/>
      <c r="L903" s="6" t="str">
        <f t="shared" si="98"/>
        <v>Michael S.</v>
      </c>
      <c r="M903" s="6" t="str">
        <f t="shared" si="99"/>
        <v>Suicide Squad (Smith, Robbie)</v>
      </c>
      <c r="N903" s="9">
        <f t="shared" si="100"/>
        <v>0</v>
      </c>
      <c r="P903" t="str">
        <f t="shared" si="101"/>
        <v>"Michael S.";"Suicide Squad";"0"</v>
      </c>
      <c r="U903" t="str">
        <f t="shared" si="102"/>
        <v>Michael S.</v>
      </c>
      <c r="V903" t="str">
        <f t="shared" si="103"/>
        <v>Suicide Squad</v>
      </c>
      <c r="W903">
        <f t="shared" si="104"/>
        <v>0</v>
      </c>
    </row>
    <row r="904" spans="1:23" x14ac:dyDescent="0.2">
      <c r="A904" s="6" t="s">
        <v>54</v>
      </c>
      <c r="B904" s="6">
        <v>2010</v>
      </c>
      <c r="C904" s="6"/>
      <c r="D904" s="6" t="s">
        <v>80</v>
      </c>
      <c r="E904" s="6" t="s">
        <v>3</v>
      </c>
      <c r="F904" s="6">
        <v>0</v>
      </c>
      <c r="G904" s="6"/>
      <c r="H904" s="6">
        <v>0</v>
      </c>
      <c r="I904" s="6"/>
      <c r="J904" s="6"/>
      <c r="K904" s="6"/>
      <c r="L904" s="6" t="str">
        <f t="shared" si="98"/>
        <v>Michael S.</v>
      </c>
      <c r="M904" s="6" t="str">
        <f t="shared" si="99"/>
        <v>Tangled (Disney)</v>
      </c>
      <c r="N904" s="9">
        <f t="shared" si="100"/>
        <v>0</v>
      </c>
      <c r="P904" t="str">
        <f t="shared" si="101"/>
        <v>"Michael S.";"Tangled";"0"</v>
      </c>
      <c r="U904" t="str">
        <f t="shared" si="102"/>
        <v>Michael S.</v>
      </c>
      <c r="V904" t="str">
        <f t="shared" si="103"/>
        <v>Tangled</v>
      </c>
      <c r="W904">
        <f t="shared" si="104"/>
        <v>0</v>
      </c>
    </row>
    <row r="905" spans="1:23" x14ac:dyDescent="0.2">
      <c r="A905" s="6" t="s">
        <v>55</v>
      </c>
      <c r="B905" s="6">
        <v>2012</v>
      </c>
      <c r="C905" s="6"/>
      <c r="D905" s="6" t="s">
        <v>80</v>
      </c>
      <c r="E905" s="6" t="s">
        <v>3</v>
      </c>
      <c r="F905" s="6">
        <v>0</v>
      </c>
      <c r="G905" s="6"/>
      <c r="H905" s="6">
        <v>0</v>
      </c>
      <c r="I905" s="6"/>
      <c r="J905" s="6"/>
      <c r="K905" s="6"/>
      <c r="L905" s="6" t="str">
        <f t="shared" si="98"/>
        <v>Michael S.</v>
      </c>
      <c r="M905" s="6" t="str">
        <f t="shared" si="99"/>
        <v>The Avengers (Downey Jr. Evans)</v>
      </c>
      <c r="N905" s="9">
        <f t="shared" si="100"/>
        <v>0</v>
      </c>
      <c r="P905" t="str">
        <f t="shared" si="101"/>
        <v>"Michael S.";"The Avengers";"0"</v>
      </c>
      <c r="U905" t="str">
        <f t="shared" si="102"/>
        <v>Michael S.</v>
      </c>
      <c r="V905" t="str">
        <f t="shared" si="103"/>
        <v>The Avengers</v>
      </c>
      <c r="W905">
        <f t="shared" si="104"/>
        <v>0</v>
      </c>
    </row>
    <row r="906" spans="1:23" x14ac:dyDescent="0.2">
      <c r="A906" s="6" t="s">
        <v>56</v>
      </c>
      <c r="B906" s="6">
        <v>1973</v>
      </c>
      <c r="C906" s="6"/>
      <c r="D906" s="6" t="s">
        <v>80</v>
      </c>
      <c r="E906" s="6" t="s">
        <v>3</v>
      </c>
      <c r="F906" s="6">
        <v>0</v>
      </c>
      <c r="G906" s="6"/>
      <c r="H906" s="6">
        <v>0</v>
      </c>
      <c r="I906" s="6"/>
      <c r="J906" s="6"/>
      <c r="K906" s="6"/>
      <c r="L906" s="6" t="str">
        <f t="shared" si="98"/>
        <v>Michael S.</v>
      </c>
      <c r="M906" s="6" t="str">
        <f t="shared" si="99"/>
        <v>The Exorcist (von Sydow, Blair)</v>
      </c>
      <c r="N906" s="9">
        <f t="shared" si="100"/>
        <v>0</v>
      </c>
      <c r="P906" t="str">
        <f t="shared" si="101"/>
        <v>"Michael S.";"The Exorcist";"0"</v>
      </c>
      <c r="U906" t="str">
        <f t="shared" si="102"/>
        <v>Michael S.</v>
      </c>
      <c r="V906" t="str">
        <f t="shared" si="103"/>
        <v>The Exorcist</v>
      </c>
      <c r="W906">
        <f t="shared" si="104"/>
        <v>0</v>
      </c>
    </row>
    <row r="907" spans="1:23" x14ac:dyDescent="0.2">
      <c r="A907" s="6" t="s">
        <v>57</v>
      </c>
      <c r="B907" s="6">
        <v>1972</v>
      </c>
      <c r="C907" s="6"/>
      <c r="D907" s="6" t="s">
        <v>80</v>
      </c>
      <c r="E907" s="6" t="s">
        <v>3</v>
      </c>
      <c r="F907" s="6">
        <v>0</v>
      </c>
      <c r="G907" s="6"/>
      <c r="H907" s="6">
        <v>0</v>
      </c>
      <c r="I907" s="6"/>
      <c r="J907" s="6"/>
      <c r="K907" s="6"/>
      <c r="L907" s="6" t="str">
        <f t="shared" si="98"/>
        <v>Michael S.</v>
      </c>
      <c r="M907" s="6" t="str">
        <f t="shared" si="99"/>
        <v>The Godfather (Brando, Pacino)</v>
      </c>
      <c r="N907" s="9">
        <f t="shared" si="100"/>
        <v>0</v>
      </c>
      <c r="P907" t="str">
        <f t="shared" si="101"/>
        <v>"Michael S.";"The Godfather";"0"</v>
      </c>
      <c r="U907" t="str">
        <f t="shared" si="102"/>
        <v>Michael S.</v>
      </c>
      <c r="V907" t="str">
        <f t="shared" si="103"/>
        <v>The Godfather</v>
      </c>
      <c r="W907">
        <f t="shared" si="104"/>
        <v>0</v>
      </c>
    </row>
    <row r="908" spans="1:23" x14ac:dyDescent="0.2">
      <c r="A908" s="6" t="s">
        <v>58</v>
      </c>
      <c r="B908" s="6">
        <v>1994</v>
      </c>
      <c r="C908" s="6"/>
      <c r="D908" s="6" t="s">
        <v>80</v>
      </c>
      <c r="E908" s="6" t="s">
        <v>2</v>
      </c>
      <c r="F908" s="6">
        <v>1</v>
      </c>
      <c r="G908" s="6">
        <v>5</v>
      </c>
      <c r="H908" s="6">
        <v>5</v>
      </c>
      <c r="I908" s="6"/>
      <c r="J908" s="6"/>
      <c r="K908" s="6"/>
      <c r="L908" s="6" t="str">
        <f t="shared" si="98"/>
        <v>Michael S.</v>
      </c>
      <c r="M908" s="6" t="str">
        <f t="shared" si="99"/>
        <v>The Lion King (Disney)</v>
      </c>
      <c r="N908" s="9">
        <f t="shared" si="100"/>
        <v>5</v>
      </c>
      <c r="P908" t="str">
        <f t="shared" si="101"/>
        <v>"Michael S.";"The Lion King";"5"</v>
      </c>
      <c r="U908" t="str">
        <f t="shared" si="102"/>
        <v>Michael S.</v>
      </c>
      <c r="V908" t="str">
        <f t="shared" si="103"/>
        <v>The Lion King</v>
      </c>
      <c r="W908">
        <f t="shared" si="104"/>
        <v>1</v>
      </c>
    </row>
    <row r="909" spans="1:23" x14ac:dyDescent="0.2">
      <c r="A909" s="6" t="s">
        <v>59</v>
      </c>
      <c r="B909" s="6">
        <v>1999</v>
      </c>
      <c r="C909" s="6"/>
      <c r="D909" s="6" t="s">
        <v>80</v>
      </c>
      <c r="E909" s="6" t="s">
        <v>3</v>
      </c>
      <c r="F909" s="6">
        <v>0</v>
      </c>
      <c r="G909" s="6"/>
      <c r="H909" s="6">
        <v>0</v>
      </c>
      <c r="I909" s="6"/>
      <c r="J909" s="6"/>
      <c r="K909" s="6"/>
      <c r="L909" s="6" t="str">
        <f t="shared" si="98"/>
        <v>Michael S.</v>
      </c>
      <c r="M909" s="6" t="str">
        <f t="shared" si="99"/>
        <v>The Matrix (Reeves, Fishburn)</v>
      </c>
      <c r="N909" s="9">
        <f t="shared" si="100"/>
        <v>0</v>
      </c>
      <c r="P909" t="str">
        <f t="shared" si="101"/>
        <v>"Michael S.";"The Matrix";"0"</v>
      </c>
      <c r="U909" t="str">
        <f t="shared" si="102"/>
        <v>Michael S.</v>
      </c>
      <c r="V909" t="str">
        <f t="shared" si="103"/>
        <v>The Matrix</v>
      </c>
      <c r="W909">
        <f t="shared" si="104"/>
        <v>0</v>
      </c>
    </row>
    <row r="910" spans="1:23" x14ac:dyDescent="0.2">
      <c r="A910" s="6" t="s">
        <v>60</v>
      </c>
      <c r="B910" s="6">
        <v>1980</v>
      </c>
      <c r="C910" s="6"/>
      <c r="D910" s="6" t="s">
        <v>80</v>
      </c>
      <c r="E910" s="6" t="s">
        <v>3</v>
      </c>
      <c r="F910" s="6">
        <v>0</v>
      </c>
      <c r="G910" s="6"/>
      <c r="H910" s="6">
        <v>0</v>
      </c>
      <c r="I910" s="6"/>
      <c r="J910" s="6"/>
      <c r="K910" s="6"/>
      <c r="L910" s="6" t="str">
        <f t="shared" si="98"/>
        <v>Michael S.</v>
      </c>
      <c r="M910" s="6" t="str">
        <f t="shared" si="99"/>
        <v>The Shining (Nicholson, Duvall)</v>
      </c>
      <c r="N910" s="9">
        <f t="shared" si="100"/>
        <v>0</v>
      </c>
      <c r="P910" t="str">
        <f t="shared" si="101"/>
        <v>"Michael S.";"The Shining";"0"</v>
      </c>
      <c r="U910" t="str">
        <f t="shared" si="102"/>
        <v>Michael S.</v>
      </c>
      <c r="V910" t="str">
        <f t="shared" si="103"/>
        <v>The Shining</v>
      </c>
      <c r="W910">
        <f t="shared" si="104"/>
        <v>0</v>
      </c>
    </row>
    <row r="911" spans="1:23" x14ac:dyDescent="0.2">
      <c r="A911" s="6" t="s">
        <v>61</v>
      </c>
      <c r="B911" s="6">
        <v>1984</v>
      </c>
      <c r="C911" s="6"/>
      <c r="D911" s="6" t="s">
        <v>80</v>
      </c>
      <c r="E911" s="6" t="s">
        <v>3</v>
      </c>
      <c r="F911" s="6">
        <v>0</v>
      </c>
      <c r="G911" s="6"/>
      <c r="H911" s="6">
        <v>0</v>
      </c>
      <c r="I911" s="6"/>
      <c r="J911" s="6"/>
      <c r="K911" s="6"/>
      <c r="L911" s="6" t="str">
        <f t="shared" si="98"/>
        <v>Michael S.</v>
      </c>
      <c r="M911" s="6" t="str">
        <f t="shared" si="99"/>
        <v>The Terminator (Schwarzenegger, Hamilton)</v>
      </c>
      <c r="N911" s="9">
        <f t="shared" si="100"/>
        <v>0</v>
      </c>
      <c r="P911" t="str">
        <f t="shared" si="101"/>
        <v>"Michael S.";"The Terminator";"0"</v>
      </c>
      <c r="U911" t="str">
        <f t="shared" si="102"/>
        <v>Michael S.</v>
      </c>
      <c r="V911" t="str">
        <f t="shared" si="103"/>
        <v>The Terminator</v>
      </c>
      <c r="W911">
        <f t="shared" si="104"/>
        <v>0</v>
      </c>
    </row>
    <row r="912" spans="1:23" x14ac:dyDescent="0.2">
      <c r="A912" s="6" t="s">
        <v>62</v>
      </c>
      <c r="B912" s="6">
        <v>1986</v>
      </c>
      <c r="C912" s="6"/>
      <c r="D912" s="6" t="s">
        <v>80</v>
      </c>
      <c r="E912" s="6" t="s">
        <v>3</v>
      </c>
      <c r="F912" s="6">
        <v>0</v>
      </c>
      <c r="G912" s="6"/>
      <c r="H912" s="6">
        <v>0</v>
      </c>
      <c r="I912" s="6"/>
      <c r="J912" s="6"/>
      <c r="K912" s="6"/>
      <c r="L912" s="6" t="str">
        <f t="shared" si="98"/>
        <v>Michael S.</v>
      </c>
      <c r="M912" s="6" t="str">
        <f t="shared" si="99"/>
        <v>Top Gun (Cruise, McGillis)</v>
      </c>
      <c r="N912" s="9">
        <f t="shared" si="100"/>
        <v>0</v>
      </c>
      <c r="P912" t="str">
        <f t="shared" si="101"/>
        <v>"Michael S.";"Top Gun";"0"</v>
      </c>
      <c r="U912" t="str">
        <f t="shared" si="102"/>
        <v>Michael S.</v>
      </c>
      <c r="V912" t="str">
        <f t="shared" si="103"/>
        <v>Top Gun</v>
      </c>
      <c r="W912">
        <f t="shared" si="104"/>
        <v>0</v>
      </c>
    </row>
    <row r="913" spans="1:23" x14ac:dyDescent="0.2">
      <c r="A913" s="6" t="s">
        <v>63</v>
      </c>
      <c r="B913" s="6">
        <v>1995</v>
      </c>
      <c r="C913" s="6"/>
      <c r="D913" s="6" t="s">
        <v>80</v>
      </c>
      <c r="E913" s="6" t="s">
        <v>2</v>
      </c>
      <c r="F913" s="6">
        <v>1</v>
      </c>
      <c r="G913" s="6">
        <v>5</v>
      </c>
      <c r="H913" s="6">
        <v>5</v>
      </c>
      <c r="I913" s="6"/>
      <c r="J913" s="6"/>
      <c r="K913" s="6"/>
      <c r="L913" s="6" t="str">
        <f t="shared" si="98"/>
        <v>Michael S.</v>
      </c>
      <c r="M913" s="6" t="str">
        <f t="shared" si="99"/>
        <v>Toy Story (Pixar)</v>
      </c>
      <c r="N913" s="9">
        <f t="shared" si="100"/>
        <v>5</v>
      </c>
      <c r="P913" t="str">
        <f t="shared" si="101"/>
        <v>"Michael S.";"Toy Story";"5"</v>
      </c>
      <c r="U913" t="str">
        <f t="shared" si="102"/>
        <v>Michael S.</v>
      </c>
      <c r="V913" t="str">
        <f t="shared" si="103"/>
        <v>Toy Story</v>
      </c>
      <c r="W913">
        <f t="shared" si="104"/>
        <v>1</v>
      </c>
    </row>
    <row r="914" spans="1:23" x14ac:dyDescent="0.2">
      <c r="A914" s="6" t="s">
        <v>8</v>
      </c>
      <c r="B914" s="6">
        <v>1968</v>
      </c>
      <c r="C914" s="6"/>
      <c r="D914" s="6" t="s">
        <v>81</v>
      </c>
      <c r="E914" s="6" t="s">
        <v>3</v>
      </c>
      <c r="F914" s="6">
        <v>0</v>
      </c>
      <c r="G914" s="6"/>
      <c r="H914" s="6">
        <v>0</v>
      </c>
      <c r="I914" s="6"/>
      <c r="J914" s="6"/>
      <c r="K914" s="6"/>
      <c r="L914" s="6" t="str">
        <f t="shared" si="98"/>
        <v>Carla Columna</v>
      </c>
      <c r="M914" s="6" t="str">
        <f t="shared" si="99"/>
        <v>2001: A Space Odyssey (Duella, Lockwood)</v>
      </c>
      <c r="N914" s="9">
        <f t="shared" si="100"/>
        <v>0</v>
      </c>
      <c r="P914" t="str">
        <f t="shared" si="101"/>
        <v>"Carla Columna";"2001: A Space Odyssey";"0"</v>
      </c>
      <c r="U914" t="str">
        <f t="shared" si="102"/>
        <v>Carla Columna</v>
      </c>
      <c r="V914" t="str">
        <f t="shared" si="103"/>
        <v>2001: A Space Odyssey</v>
      </c>
      <c r="W914">
        <f t="shared" si="104"/>
        <v>0</v>
      </c>
    </row>
    <row r="915" spans="1:23" x14ac:dyDescent="0.2">
      <c r="A915" s="6" t="s">
        <v>9</v>
      </c>
      <c r="B915" s="6">
        <v>1971</v>
      </c>
      <c r="C915" s="6"/>
      <c r="D915" s="6" t="s">
        <v>81</v>
      </c>
      <c r="E915" s="6" t="s">
        <v>3</v>
      </c>
      <c r="F915" s="6">
        <v>0</v>
      </c>
      <c r="G915" s="6"/>
      <c r="H915" s="6">
        <v>0</v>
      </c>
      <c r="I915" s="6"/>
      <c r="J915" s="6"/>
      <c r="K915" s="6"/>
      <c r="L915" s="6" t="str">
        <f t="shared" si="98"/>
        <v>Carla Columna</v>
      </c>
      <c r="M915" s="6" t="str">
        <f t="shared" si="99"/>
        <v>A Clockwork Orange (McDowell, Magee)</v>
      </c>
      <c r="N915" s="9">
        <f t="shared" si="100"/>
        <v>0</v>
      </c>
      <c r="P915" t="str">
        <f t="shared" si="101"/>
        <v>"Carla Columna";"A Clockwork Orange";"0"</v>
      </c>
      <c r="U915" t="str">
        <f t="shared" si="102"/>
        <v>Carla Columna</v>
      </c>
      <c r="V915" t="str">
        <f t="shared" si="103"/>
        <v>A Clockwork Orange</v>
      </c>
      <c r="W915">
        <f t="shared" si="104"/>
        <v>0</v>
      </c>
    </row>
    <row r="916" spans="1:23" x14ac:dyDescent="0.2">
      <c r="A916" s="6" t="s">
        <v>10</v>
      </c>
      <c r="B916" s="6">
        <v>2018</v>
      </c>
      <c r="C916" s="6"/>
      <c r="D916" s="6" t="s">
        <v>81</v>
      </c>
      <c r="E916" s="6" t="s">
        <v>3</v>
      </c>
      <c r="F916" s="6">
        <v>0</v>
      </c>
      <c r="G916" s="6"/>
      <c r="H916" s="6">
        <v>0</v>
      </c>
      <c r="I916" s="6"/>
      <c r="J916" s="6"/>
      <c r="K916" s="6"/>
      <c r="L916" s="6" t="str">
        <f t="shared" si="98"/>
        <v>Carla Columna</v>
      </c>
      <c r="M916" s="6" t="str">
        <f t="shared" si="99"/>
        <v>A star is born (Gaga, Cooper)</v>
      </c>
      <c r="N916" s="9">
        <f t="shared" si="100"/>
        <v>0</v>
      </c>
      <c r="P916" t="str">
        <f t="shared" si="101"/>
        <v>"Carla Columna";"A star is born";"0"</v>
      </c>
      <c r="U916" t="str">
        <f t="shared" si="102"/>
        <v>Carla Columna</v>
      </c>
      <c r="V916" t="str">
        <f t="shared" si="103"/>
        <v>A star is born</v>
      </c>
      <c r="W916">
        <f t="shared" si="104"/>
        <v>0</v>
      </c>
    </row>
    <row r="917" spans="1:23" x14ac:dyDescent="0.2">
      <c r="A917" s="6" t="s">
        <v>11</v>
      </c>
      <c r="B917" s="6">
        <v>2005</v>
      </c>
      <c r="C917" s="6"/>
      <c r="D917" s="6" t="s">
        <v>81</v>
      </c>
      <c r="E917" s="6" t="s">
        <v>3</v>
      </c>
      <c r="F917" s="6">
        <v>0</v>
      </c>
      <c r="G917" s="6"/>
      <c r="H917" s="6">
        <v>0</v>
      </c>
      <c r="I917" s="6"/>
      <c r="J917" s="6"/>
      <c r="K917" s="6"/>
      <c r="L917" s="6" t="str">
        <f t="shared" si="98"/>
        <v>Carla Columna</v>
      </c>
      <c r="M917" s="6" t="str">
        <f t="shared" si="99"/>
        <v>Aeon Flux (Theron, Csokas)</v>
      </c>
      <c r="N917" s="9">
        <f t="shared" si="100"/>
        <v>0</v>
      </c>
      <c r="P917" t="str">
        <f t="shared" si="101"/>
        <v>"Carla Columna";"Aeon Flux";"0"</v>
      </c>
      <c r="U917" t="str">
        <f t="shared" si="102"/>
        <v>Carla Columna</v>
      </c>
      <c r="V917" t="str">
        <f t="shared" si="103"/>
        <v>Aeon Flux</v>
      </c>
      <c r="W917">
        <f t="shared" si="104"/>
        <v>0</v>
      </c>
    </row>
    <row r="918" spans="1:23" x14ac:dyDescent="0.2">
      <c r="A918" s="6" t="s">
        <v>12</v>
      </c>
      <c r="B918" s="6">
        <v>1951</v>
      </c>
      <c r="C918" s="6"/>
      <c r="D918" s="6" t="s">
        <v>81</v>
      </c>
      <c r="E918" s="6" t="s">
        <v>3</v>
      </c>
      <c r="F918" s="6">
        <v>0</v>
      </c>
      <c r="G918" s="6"/>
      <c r="H918" s="6">
        <v>0</v>
      </c>
      <c r="I918" s="6"/>
      <c r="J918" s="6"/>
      <c r="K918" s="6"/>
      <c r="L918" s="6" t="str">
        <f t="shared" si="98"/>
        <v>Carla Columna</v>
      </c>
      <c r="M918" s="6" t="str">
        <f t="shared" si="99"/>
        <v>African Queen (Bogart, Hepburn)</v>
      </c>
      <c r="N918" s="9">
        <f t="shared" si="100"/>
        <v>0</v>
      </c>
      <c r="P918" t="str">
        <f t="shared" si="101"/>
        <v>"Carla Columna";"African Queen";"0"</v>
      </c>
      <c r="U918" t="str">
        <f t="shared" si="102"/>
        <v>Carla Columna</v>
      </c>
      <c r="V918" t="str">
        <f t="shared" si="103"/>
        <v>African Queen</v>
      </c>
      <c r="W918">
        <f t="shared" si="104"/>
        <v>0</v>
      </c>
    </row>
    <row r="919" spans="1:23" x14ac:dyDescent="0.2">
      <c r="A919" s="6" t="s">
        <v>13</v>
      </c>
      <c r="B919" s="6">
        <v>1979</v>
      </c>
      <c r="C919" s="6"/>
      <c r="D919" s="6" t="s">
        <v>81</v>
      </c>
      <c r="E919" s="6" t="s">
        <v>3</v>
      </c>
      <c r="F919" s="6">
        <v>0</v>
      </c>
      <c r="G919" s="6"/>
      <c r="H919" s="6">
        <v>0</v>
      </c>
      <c r="I919" s="6"/>
      <c r="J919" s="6"/>
      <c r="K919" s="6"/>
      <c r="L919" s="6" t="str">
        <f t="shared" si="98"/>
        <v>Carla Columna</v>
      </c>
      <c r="M919" s="6" t="str">
        <f t="shared" si="99"/>
        <v>Alien (Weaver, Skerritt)</v>
      </c>
      <c r="N919" s="9">
        <f t="shared" si="100"/>
        <v>0</v>
      </c>
      <c r="P919" t="str">
        <f t="shared" si="101"/>
        <v>"Carla Columna";"Alien";"0"</v>
      </c>
      <c r="U919" t="str">
        <f t="shared" si="102"/>
        <v>Carla Columna</v>
      </c>
      <c r="V919" t="str">
        <f t="shared" si="103"/>
        <v>Alien</v>
      </c>
      <c r="W919">
        <f t="shared" si="104"/>
        <v>0</v>
      </c>
    </row>
    <row r="920" spans="1:23" x14ac:dyDescent="0.2">
      <c r="A920" s="6" t="s">
        <v>14</v>
      </c>
      <c r="B920" s="6">
        <v>1960</v>
      </c>
      <c r="C920" s="6"/>
      <c r="D920" s="6" t="s">
        <v>81</v>
      </c>
      <c r="E920" s="6" t="s">
        <v>3</v>
      </c>
      <c r="F920" s="6">
        <v>0</v>
      </c>
      <c r="G920" s="6"/>
      <c r="H920" s="6">
        <v>0</v>
      </c>
      <c r="I920" s="6"/>
      <c r="J920" s="6"/>
      <c r="K920" s="6"/>
      <c r="L920" s="6" t="str">
        <f t="shared" si="98"/>
        <v>Carla Columna</v>
      </c>
      <c r="M920" s="6" t="str">
        <f t="shared" si="99"/>
        <v>Apartment (Lemmon, MacLaine)</v>
      </c>
      <c r="N920" s="9">
        <f t="shared" si="100"/>
        <v>0</v>
      </c>
      <c r="P920" t="str">
        <f t="shared" si="101"/>
        <v>"Carla Columna";"Apartment";"0"</v>
      </c>
      <c r="U920" t="str">
        <f t="shared" si="102"/>
        <v>Carla Columna</v>
      </c>
      <c r="V920" t="str">
        <f t="shared" si="103"/>
        <v>Apartment</v>
      </c>
      <c r="W920">
        <f t="shared" si="104"/>
        <v>0</v>
      </c>
    </row>
    <row r="921" spans="1:23" x14ac:dyDescent="0.2">
      <c r="A921" s="6" t="s">
        <v>15</v>
      </c>
      <c r="B921" s="6">
        <v>1979</v>
      </c>
      <c r="C921" s="6"/>
      <c r="D921" s="6" t="s">
        <v>81</v>
      </c>
      <c r="E921" s="6" t="s">
        <v>3</v>
      </c>
      <c r="F921" s="6">
        <v>0</v>
      </c>
      <c r="G921" s="6"/>
      <c r="H921" s="6">
        <v>0</v>
      </c>
      <c r="I921" s="6"/>
      <c r="J921" s="6"/>
      <c r="K921" s="6"/>
      <c r="L921" s="6" t="str">
        <f t="shared" si="98"/>
        <v>Carla Columna</v>
      </c>
      <c r="M921" s="6" t="str">
        <f t="shared" si="99"/>
        <v>Apocalypse Now (Sheen, Brando)</v>
      </c>
      <c r="N921" s="9">
        <f t="shared" si="100"/>
        <v>0</v>
      </c>
      <c r="P921" t="str">
        <f t="shared" si="101"/>
        <v>"Carla Columna";"Apocalypse Now";"0"</v>
      </c>
      <c r="U921" t="str">
        <f t="shared" si="102"/>
        <v>Carla Columna</v>
      </c>
      <c r="V921" t="str">
        <f t="shared" si="103"/>
        <v>Apocalypse Now</v>
      </c>
      <c r="W921">
        <f t="shared" si="104"/>
        <v>0</v>
      </c>
    </row>
    <row r="922" spans="1:23" x14ac:dyDescent="0.2">
      <c r="A922" s="6" t="s">
        <v>16</v>
      </c>
      <c r="B922" s="6">
        <v>1956</v>
      </c>
      <c r="C922" s="6"/>
      <c r="D922" s="6" t="s">
        <v>81</v>
      </c>
      <c r="E922" s="6" t="s">
        <v>3</v>
      </c>
      <c r="F922" s="6">
        <v>0</v>
      </c>
      <c r="G922" s="6"/>
      <c r="H922" s="6">
        <v>0</v>
      </c>
      <c r="I922" s="6"/>
      <c r="J922" s="6"/>
      <c r="K922" s="6"/>
      <c r="L922" s="6" t="str">
        <f t="shared" si="98"/>
        <v>Carla Columna</v>
      </c>
      <c r="M922" s="6" t="str">
        <f t="shared" si="99"/>
        <v>Around The World In 80 Days (Niven, Cantinflas)</v>
      </c>
      <c r="N922" s="9">
        <f t="shared" si="100"/>
        <v>0</v>
      </c>
      <c r="P922" t="str">
        <f t="shared" si="101"/>
        <v>"Carla Columna";"Around The World In 80 Days";"0"</v>
      </c>
      <c r="U922" t="str">
        <f t="shared" si="102"/>
        <v>Carla Columna</v>
      </c>
      <c r="V922" t="str">
        <f t="shared" si="103"/>
        <v>Around The World In 80 Days</v>
      </c>
      <c r="W922">
        <f t="shared" si="104"/>
        <v>0</v>
      </c>
    </row>
    <row r="923" spans="1:23" x14ac:dyDescent="0.2">
      <c r="A923" s="6" t="s">
        <v>17</v>
      </c>
      <c r="B923" s="6">
        <v>2009</v>
      </c>
      <c r="C923" s="6"/>
      <c r="D923" s="6" t="s">
        <v>81</v>
      </c>
      <c r="E923" s="6" t="s">
        <v>2</v>
      </c>
      <c r="F923" s="6">
        <v>1</v>
      </c>
      <c r="G923" s="6">
        <v>2</v>
      </c>
      <c r="H923" s="6">
        <v>2</v>
      </c>
      <c r="I923" s="6"/>
      <c r="J923" s="6"/>
      <c r="K923" s="6"/>
      <c r="L923" s="6" t="str">
        <f t="shared" si="98"/>
        <v>Carla Columna</v>
      </c>
      <c r="M923" s="6" t="str">
        <f t="shared" si="99"/>
        <v>Avatar (Worthington, Saldana)</v>
      </c>
      <c r="N923" s="9">
        <f t="shared" si="100"/>
        <v>2</v>
      </c>
      <c r="P923" t="str">
        <f t="shared" si="101"/>
        <v>"Carla Columna";"Avatar";"2"</v>
      </c>
      <c r="U923" t="str">
        <f t="shared" si="102"/>
        <v>Carla Columna</v>
      </c>
      <c r="V923" t="str">
        <f t="shared" si="103"/>
        <v>Avatar</v>
      </c>
      <c r="W923">
        <f t="shared" si="104"/>
        <v>1</v>
      </c>
    </row>
    <row r="924" spans="1:23" x14ac:dyDescent="0.2">
      <c r="A924" s="6" t="s">
        <v>18</v>
      </c>
      <c r="B924" s="6">
        <v>1989</v>
      </c>
      <c r="C924" s="6"/>
      <c r="D924" s="6" t="s">
        <v>81</v>
      </c>
      <c r="E924" s="6" t="s">
        <v>3</v>
      </c>
      <c r="F924" s="6">
        <v>0</v>
      </c>
      <c r="G924" s="6"/>
      <c r="H924" s="6">
        <v>0</v>
      </c>
      <c r="I924" s="6"/>
      <c r="J924" s="6"/>
      <c r="K924" s="6"/>
      <c r="L924" s="6" t="str">
        <f t="shared" si="98"/>
        <v>Carla Columna</v>
      </c>
      <c r="M924" s="6" t="str">
        <f t="shared" si="99"/>
        <v>Batman (Keaton, Nicholson, Basinger)</v>
      </c>
      <c r="N924" s="9">
        <f t="shared" si="100"/>
        <v>0</v>
      </c>
      <c r="P924" t="str">
        <f t="shared" si="101"/>
        <v>"Carla Columna";"Batman";"0"</v>
      </c>
      <c r="U924" t="str">
        <f t="shared" si="102"/>
        <v>Carla Columna</v>
      </c>
      <c r="V924" t="str">
        <f t="shared" si="103"/>
        <v>Batman</v>
      </c>
      <c r="W924">
        <f t="shared" si="104"/>
        <v>0</v>
      </c>
    </row>
    <row r="925" spans="1:23" x14ac:dyDescent="0.2">
      <c r="A925" s="6" t="s">
        <v>19</v>
      </c>
      <c r="B925" s="6">
        <v>1982</v>
      </c>
      <c r="C925" s="6"/>
      <c r="D925" s="6" t="s">
        <v>81</v>
      </c>
      <c r="E925" s="6" t="s">
        <v>2</v>
      </c>
      <c r="F925" s="6">
        <v>1</v>
      </c>
      <c r="G925" s="6">
        <v>2</v>
      </c>
      <c r="H925" s="6">
        <v>2</v>
      </c>
      <c r="I925" s="6"/>
      <c r="J925" s="6"/>
      <c r="K925" s="6"/>
      <c r="L925" s="6" t="str">
        <f t="shared" si="98"/>
        <v>Carla Columna</v>
      </c>
      <c r="M925" s="6" t="str">
        <f t="shared" si="99"/>
        <v>Blade Runner (Ford, Hauer)</v>
      </c>
      <c r="N925" s="9">
        <f t="shared" si="100"/>
        <v>2</v>
      </c>
      <c r="P925" t="str">
        <f t="shared" si="101"/>
        <v>"Carla Columna";"Blade Runner";"2"</v>
      </c>
      <c r="U925" t="str">
        <f t="shared" si="102"/>
        <v>Carla Columna</v>
      </c>
      <c r="V925" t="str">
        <f t="shared" si="103"/>
        <v>Blade Runner</v>
      </c>
      <c r="W925">
        <f t="shared" si="104"/>
        <v>1</v>
      </c>
    </row>
    <row r="926" spans="1:23" x14ac:dyDescent="0.2">
      <c r="A926" s="6" t="s">
        <v>20</v>
      </c>
      <c r="B926" s="6">
        <v>2018</v>
      </c>
      <c r="C926" s="6"/>
      <c r="D926" s="6" t="s">
        <v>81</v>
      </c>
      <c r="E926" s="6" t="s">
        <v>3</v>
      </c>
      <c r="F926" s="6">
        <v>0</v>
      </c>
      <c r="G926" s="6"/>
      <c r="H926" s="6">
        <v>0</v>
      </c>
      <c r="I926" s="6"/>
      <c r="J926" s="6"/>
      <c r="K926" s="6"/>
      <c r="L926" s="6" t="str">
        <f t="shared" si="98"/>
        <v>Carla Columna</v>
      </c>
      <c r="M926" s="6" t="str">
        <f t="shared" si="99"/>
        <v>Bohemian Rhapsody (Malek, Boynton)</v>
      </c>
      <c r="N926" s="9">
        <f t="shared" si="100"/>
        <v>0</v>
      </c>
      <c r="P926" t="str">
        <f t="shared" si="101"/>
        <v>"Carla Columna";"Bohemian Rhapsody";"0"</v>
      </c>
      <c r="U926" t="str">
        <f t="shared" si="102"/>
        <v>Carla Columna</v>
      </c>
      <c r="V926" t="str">
        <f t="shared" si="103"/>
        <v>Bohemian Rhapsody</v>
      </c>
      <c r="W926">
        <f t="shared" si="104"/>
        <v>0</v>
      </c>
    </row>
    <row r="927" spans="1:23" x14ac:dyDescent="0.2">
      <c r="A927" s="6" t="s">
        <v>21</v>
      </c>
      <c r="B927" s="6">
        <v>2011</v>
      </c>
      <c r="C927" s="6"/>
      <c r="D927" s="6" t="s">
        <v>81</v>
      </c>
      <c r="E927" s="6" t="s">
        <v>3</v>
      </c>
      <c r="F927" s="6">
        <v>0</v>
      </c>
      <c r="G927" s="6"/>
      <c r="H927" s="6">
        <v>0</v>
      </c>
      <c r="I927" s="6"/>
      <c r="J927" s="6"/>
      <c r="K927" s="6"/>
      <c r="L927" s="6" t="str">
        <f t="shared" si="98"/>
        <v>Carla Columna</v>
      </c>
      <c r="M927" s="6" t="str">
        <f t="shared" si="99"/>
        <v>Captain America (Evans, Waeving)</v>
      </c>
      <c r="N927" s="9">
        <f t="shared" si="100"/>
        <v>0</v>
      </c>
      <c r="P927" t="str">
        <f t="shared" si="101"/>
        <v>"Carla Columna";"Captain America";"0"</v>
      </c>
      <c r="U927" t="str">
        <f t="shared" si="102"/>
        <v>Carla Columna</v>
      </c>
      <c r="V927" t="str">
        <f t="shared" si="103"/>
        <v>Captain America</v>
      </c>
      <c r="W927">
        <f t="shared" si="104"/>
        <v>0</v>
      </c>
    </row>
    <row r="928" spans="1:23" x14ac:dyDescent="0.2">
      <c r="A928" s="6" t="s">
        <v>22</v>
      </c>
      <c r="B928" s="6">
        <v>2000</v>
      </c>
      <c r="C928" s="6"/>
      <c r="D928" s="6" t="s">
        <v>81</v>
      </c>
      <c r="E928" s="6" t="s">
        <v>3</v>
      </c>
      <c r="F928" s="6">
        <v>0</v>
      </c>
      <c r="G928" s="6"/>
      <c r="H928" s="6">
        <v>0</v>
      </c>
      <c r="I928" s="6"/>
      <c r="J928" s="6"/>
      <c r="K928" s="6"/>
      <c r="L928" s="6" t="str">
        <f t="shared" si="98"/>
        <v>Carla Columna</v>
      </c>
      <c r="M928" s="6" t="str">
        <f t="shared" si="99"/>
        <v>Cast Away (Hanks, Hunt)</v>
      </c>
      <c r="N928" s="9">
        <f t="shared" si="100"/>
        <v>0</v>
      </c>
      <c r="P928" t="str">
        <f t="shared" si="101"/>
        <v>"Carla Columna";"Cast Away";"0"</v>
      </c>
      <c r="U928" t="str">
        <f t="shared" si="102"/>
        <v>Carla Columna</v>
      </c>
      <c r="V928" t="str">
        <f t="shared" si="103"/>
        <v>Cast Away</v>
      </c>
      <c r="W928">
        <f t="shared" si="104"/>
        <v>0</v>
      </c>
    </row>
    <row r="929" spans="1:23" x14ac:dyDescent="0.2">
      <c r="A929" s="6" t="s">
        <v>23</v>
      </c>
      <c r="B929" s="6">
        <v>1958</v>
      </c>
      <c r="C929" s="6"/>
      <c r="D929" s="6" t="s">
        <v>81</v>
      </c>
      <c r="E929" s="6" t="s">
        <v>3</v>
      </c>
      <c r="F929" s="6">
        <v>0</v>
      </c>
      <c r="G929" s="6"/>
      <c r="H929" s="6">
        <v>0</v>
      </c>
      <c r="I929" s="6"/>
      <c r="J929" s="6"/>
      <c r="K929" s="6"/>
      <c r="L929" s="6" t="str">
        <f t="shared" si="98"/>
        <v>Carla Columna</v>
      </c>
      <c r="M929" s="6" t="str">
        <f t="shared" si="99"/>
        <v>Cat On Hot Tin Roof (Taylor, Newman)</v>
      </c>
      <c r="N929" s="9">
        <f t="shared" si="100"/>
        <v>0</v>
      </c>
      <c r="P929" t="str">
        <f t="shared" si="101"/>
        <v>"Carla Columna";"Cat On Hot Tin Roof";"0"</v>
      </c>
      <c r="U929" t="str">
        <f t="shared" si="102"/>
        <v>Carla Columna</v>
      </c>
      <c r="V929" t="str">
        <f t="shared" si="103"/>
        <v>Cat On Hot Tin Roof</v>
      </c>
      <c r="W929">
        <f t="shared" si="104"/>
        <v>0</v>
      </c>
    </row>
    <row r="930" spans="1:23" x14ac:dyDescent="0.2">
      <c r="A930" s="6" t="s">
        <v>24</v>
      </c>
      <c r="B930" s="6">
        <v>1963</v>
      </c>
      <c r="C930" s="6"/>
      <c r="D930" s="6" t="s">
        <v>81</v>
      </c>
      <c r="E930" s="6" t="s">
        <v>3</v>
      </c>
      <c r="F930" s="6">
        <v>0</v>
      </c>
      <c r="G930" s="6"/>
      <c r="H930" s="6">
        <v>0</v>
      </c>
      <c r="I930" s="6"/>
      <c r="J930" s="6"/>
      <c r="K930" s="6"/>
      <c r="L930" s="6" t="str">
        <f t="shared" si="98"/>
        <v>Carla Columna</v>
      </c>
      <c r="M930" s="6" t="str">
        <f t="shared" si="99"/>
        <v>Charade (Grant, Hepburn)</v>
      </c>
      <c r="N930" s="9">
        <f t="shared" si="100"/>
        <v>0</v>
      </c>
      <c r="P930" t="str">
        <f t="shared" si="101"/>
        <v>"Carla Columna";"Charade";"0"</v>
      </c>
      <c r="U930" t="str">
        <f t="shared" si="102"/>
        <v>Carla Columna</v>
      </c>
      <c r="V930" t="str">
        <f t="shared" si="103"/>
        <v>Charade</v>
      </c>
      <c r="W930">
        <f t="shared" si="104"/>
        <v>0</v>
      </c>
    </row>
    <row r="931" spans="1:23" x14ac:dyDescent="0.2">
      <c r="A931" s="6" t="s">
        <v>25</v>
      </c>
      <c r="B931" s="6">
        <v>2000</v>
      </c>
      <c r="C931" s="6"/>
      <c r="D931" s="6" t="s">
        <v>81</v>
      </c>
      <c r="E931" s="6" t="s">
        <v>2</v>
      </c>
      <c r="F931" s="6">
        <v>1</v>
      </c>
      <c r="G931" s="6">
        <v>3</v>
      </c>
      <c r="H931" s="6">
        <v>3</v>
      </c>
      <c r="I931" s="6"/>
      <c r="J931" s="6"/>
      <c r="K931" s="6"/>
      <c r="L931" s="6" t="str">
        <f t="shared" si="98"/>
        <v>Carla Columna</v>
      </c>
      <c r="M931" s="6" t="str">
        <f t="shared" si="99"/>
        <v>Charlies Angels (Diaz, Barrymore, Liu)</v>
      </c>
      <c r="N931" s="9">
        <f t="shared" si="100"/>
        <v>3</v>
      </c>
      <c r="P931" t="str">
        <f t="shared" si="101"/>
        <v>"Carla Columna";"Charlies Angels";"3"</v>
      </c>
      <c r="U931" t="str">
        <f t="shared" si="102"/>
        <v>Carla Columna</v>
      </c>
      <c r="V931" t="str">
        <f t="shared" si="103"/>
        <v>Charlies Angels</v>
      </c>
      <c r="W931">
        <f t="shared" si="104"/>
        <v>1</v>
      </c>
    </row>
    <row r="932" spans="1:23" x14ac:dyDescent="0.2">
      <c r="A932" s="6" t="s">
        <v>26</v>
      </c>
      <c r="B932" s="6">
        <v>1974</v>
      </c>
      <c r="C932" s="6"/>
      <c r="D932" s="6" t="s">
        <v>81</v>
      </c>
      <c r="E932" s="6" t="s">
        <v>3</v>
      </c>
      <c r="F932" s="6">
        <v>0</v>
      </c>
      <c r="G932" s="6"/>
      <c r="H932" s="6">
        <v>0</v>
      </c>
      <c r="I932" s="6"/>
      <c r="J932" s="6"/>
      <c r="K932" s="6"/>
      <c r="L932" s="6" t="str">
        <f t="shared" si="98"/>
        <v>Carla Columna</v>
      </c>
      <c r="M932" s="6" t="str">
        <f t="shared" si="99"/>
        <v>Chinatown (Nicholson, Dunaway)</v>
      </c>
      <c r="N932" s="9">
        <f t="shared" si="100"/>
        <v>0</v>
      </c>
      <c r="P932" t="str">
        <f t="shared" si="101"/>
        <v>"Carla Columna";"Chinatown";"0"</v>
      </c>
      <c r="U932" t="str">
        <f t="shared" si="102"/>
        <v>Carla Columna</v>
      </c>
      <c r="V932" t="str">
        <f t="shared" si="103"/>
        <v>Chinatown</v>
      </c>
      <c r="W932">
        <f t="shared" si="104"/>
        <v>0</v>
      </c>
    </row>
    <row r="933" spans="1:23" x14ac:dyDescent="0.2">
      <c r="A933" s="6" t="s">
        <v>27</v>
      </c>
      <c r="B933" s="6">
        <v>1986</v>
      </c>
      <c r="C933" s="6"/>
      <c r="D933" s="6" t="s">
        <v>81</v>
      </c>
      <c r="E933" s="6" t="s">
        <v>3</v>
      </c>
      <c r="F933" s="6">
        <v>0</v>
      </c>
      <c r="G933" s="6"/>
      <c r="H933" s="6">
        <v>0</v>
      </c>
      <c r="I933" s="6"/>
      <c r="J933" s="6"/>
      <c r="K933" s="6"/>
      <c r="L933" s="6" t="str">
        <f t="shared" si="98"/>
        <v>Carla Columna</v>
      </c>
      <c r="M933" s="6" t="str">
        <f t="shared" si="99"/>
        <v>Clockwise (Gleese, Leatherbarrow)</v>
      </c>
      <c r="N933" s="9">
        <f t="shared" si="100"/>
        <v>0</v>
      </c>
      <c r="P933" t="str">
        <f t="shared" si="101"/>
        <v>"Carla Columna";"Clockwise";"0"</v>
      </c>
      <c r="U933" t="str">
        <f t="shared" si="102"/>
        <v>Carla Columna</v>
      </c>
      <c r="V933" t="str">
        <f t="shared" si="103"/>
        <v>Clockwise</v>
      </c>
      <c r="W933">
        <f t="shared" si="104"/>
        <v>0</v>
      </c>
    </row>
    <row r="934" spans="1:23" x14ac:dyDescent="0.2">
      <c r="A934" s="6" t="s">
        <v>28</v>
      </c>
      <c r="B934" s="6">
        <v>2011</v>
      </c>
      <c r="C934" s="6"/>
      <c r="D934" s="6" t="s">
        <v>81</v>
      </c>
      <c r="E934" s="6" t="s">
        <v>3</v>
      </c>
      <c r="F934" s="6">
        <v>0</v>
      </c>
      <c r="G934" s="6"/>
      <c r="H934" s="6">
        <v>0</v>
      </c>
      <c r="I934" s="6"/>
      <c r="J934" s="6"/>
      <c r="K934" s="6"/>
      <c r="L934" s="6" t="str">
        <f t="shared" si="98"/>
        <v>Carla Columna</v>
      </c>
      <c r="M934" s="6" t="str">
        <f t="shared" si="99"/>
        <v>Colombiana (Saldana, Molla)</v>
      </c>
      <c r="N934" s="9">
        <f t="shared" si="100"/>
        <v>0</v>
      </c>
      <c r="P934" t="str">
        <f t="shared" si="101"/>
        <v>"Carla Columna";"Colombiana";"0"</v>
      </c>
      <c r="U934" t="str">
        <f t="shared" si="102"/>
        <v>Carla Columna</v>
      </c>
      <c r="V934" t="str">
        <f t="shared" si="103"/>
        <v>Colombiana</v>
      </c>
      <c r="W934">
        <f t="shared" si="104"/>
        <v>0</v>
      </c>
    </row>
    <row r="935" spans="1:23" x14ac:dyDescent="0.2">
      <c r="A935" s="6" t="s">
        <v>29</v>
      </c>
      <c r="B935" s="6">
        <v>1962</v>
      </c>
      <c r="C935" s="6"/>
      <c r="D935" s="6" t="s">
        <v>81</v>
      </c>
      <c r="E935" s="6" t="s">
        <v>3</v>
      </c>
      <c r="F935" s="6">
        <v>0</v>
      </c>
      <c r="G935" s="6"/>
      <c r="H935" s="6">
        <v>0</v>
      </c>
      <c r="I935" s="6"/>
      <c r="J935" s="6"/>
      <c r="K935" s="6"/>
      <c r="L935" s="6" t="str">
        <f t="shared" si="98"/>
        <v>Carla Columna</v>
      </c>
      <c r="M935" s="6" t="str">
        <f t="shared" si="99"/>
        <v>Doctor No (Connery, Andress)</v>
      </c>
      <c r="N935" s="9">
        <f t="shared" si="100"/>
        <v>0</v>
      </c>
      <c r="P935" t="str">
        <f t="shared" si="101"/>
        <v>"Carla Columna";"Doctor No";"0"</v>
      </c>
      <c r="U935" t="str">
        <f t="shared" si="102"/>
        <v>Carla Columna</v>
      </c>
      <c r="V935" t="str">
        <f t="shared" si="103"/>
        <v>Doctor No</v>
      </c>
      <c r="W935">
        <f t="shared" si="104"/>
        <v>0</v>
      </c>
    </row>
    <row r="936" spans="1:23" x14ac:dyDescent="0.2">
      <c r="A936" s="6" t="s">
        <v>30</v>
      </c>
      <c r="B936" s="6">
        <v>1965</v>
      </c>
      <c r="C936" s="6"/>
      <c r="D936" s="6" t="s">
        <v>81</v>
      </c>
      <c r="E936" s="6" t="s">
        <v>3</v>
      </c>
      <c r="F936" s="6">
        <v>0</v>
      </c>
      <c r="G936" s="6"/>
      <c r="H936" s="6">
        <v>0</v>
      </c>
      <c r="I936" s="6"/>
      <c r="J936" s="6"/>
      <c r="K936" s="6"/>
      <c r="L936" s="6" t="str">
        <f t="shared" si="98"/>
        <v>Carla Columna</v>
      </c>
      <c r="M936" s="6" t="str">
        <f t="shared" si="99"/>
        <v>Doctor Zhiwago (Sharif, Christie)</v>
      </c>
      <c r="N936" s="9">
        <f t="shared" si="100"/>
        <v>0</v>
      </c>
      <c r="P936" t="str">
        <f t="shared" si="101"/>
        <v>"Carla Columna";"Doctor Zhiwago";"0"</v>
      </c>
      <c r="U936" t="str">
        <f t="shared" si="102"/>
        <v>Carla Columna</v>
      </c>
      <c r="V936" t="str">
        <f t="shared" si="103"/>
        <v>Doctor Zhiwago</v>
      </c>
      <c r="W936">
        <f t="shared" si="104"/>
        <v>0</v>
      </c>
    </row>
    <row r="937" spans="1:23" x14ac:dyDescent="0.2">
      <c r="A937" s="6" t="s">
        <v>31</v>
      </c>
      <c r="B937" s="6">
        <v>1964</v>
      </c>
      <c r="C937" s="6"/>
      <c r="D937" s="6" t="s">
        <v>81</v>
      </c>
      <c r="E937" s="6" t="s">
        <v>3</v>
      </c>
      <c r="F937" s="6">
        <v>0</v>
      </c>
      <c r="G937" s="6"/>
      <c r="H937" s="6">
        <v>0</v>
      </c>
      <c r="I937" s="6"/>
      <c r="J937" s="6"/>
      <c r="K937" s="6"/>
      <c r="L937" s="6" t="str">
        <f t="shared" si="98"/>
        <v>Carla Columna</v>
      </c>
      <c r="M937" s="6" t="str">
        <f t="shared" si="99"/>
        <v>Dr. Strangelove… (Sellers, Scott)</v>
      </c>
      <c r="N937" s="9">
        <f t="shared" si="100"/>
        <v>0</v>
      </c>
      <c r="P937" t="str">
        <f t="shared" si="101"/>
        <v>"Carla Columna";"Dr. Strangelove…";"0"</v>
      </c>
      <c r="U937" t="str">
        <f t="shared" si="102"/>
        <v>Carla Columna</v>
      </c>
      <c r="V937" t="str">
        <f t="shared" si="103"/>
        <v>Dr. Strangelove…</v>
      </c>
      <c r="W937">
        <f t="shared" si="104"/>
        <v>0</v>
      </c>
    </row>
    <row r="938" spans="1:23" x14ac:dyDescent="0.2">
      <c r="A938" s="6" t="s">
        <v>32</v>
      </c>
      <c r="B938" s="6">
        <v>2000</v>
      </c>
      <c r="C938" s="6"/>
      <c r="D938" s="6" t="s">
        <v>81</v>
      </c>
      <c r="E938" s="6" t="s">
        <v>3</v>
      </c>
      <c r="F938" s="6">
        <v>0</v>
      </c>
      <c r="G938" s="6"/>
      <c r="H938" s="6">
        <v>0</v>
      </c>
      <c r="I938" s="6"/>
      <c r="J938" s="6"/>
      <c r="K938" s="6"/>
      <c r="L938" s="6" t="str">
        <f t="shared" si="98"/>
        <v>Carla Columna</v>
      </c>
      <c r="M938" s="6" t="str">
        <f t="shared" si="99"/>
        <v>Dr. T and the women (Gere, Hunt)</v>
      </c>
      <c r="N938" s="9">
        <f t="shared" si="100"/>
        <v>0</v>
      </c>
      <c r="P938" t="str">
        <f t="shared" si="101"/>
        <v>"Carla Columna";"Dr. T and the women";"0"</v>
      </c>
      <c r="U938" t="str">
        <f t="shared" si="102"/>
        <v>Carla Columna</v>
      </c>
      <c r="V938" t="str">
        <f t="shared" si="103"/>
        <v>Dr. T and the women</v>
      </c>
      <c r="W938">
        <f t="shared" si="104"/>
        <v>0</v>
      </c>
    </row>
    <row r="939" spans="1:23" x14ac:dyDescent="0.2">
      <c r="A939" s="6" t="s">
        <v>33</v>
      </c>
      <c r="B939" s="6">
        <v>1953</v>
      </c>
      <c r="C939" s="6"/>
      <c r="D939" s="6" t="s">
        <v>81</v>
      </c>
      <c r="E939" s="6" t="s">
        <v>3</v>
      </c>
      <c r="F939" s="6">
        <v>0</v>
      </c>
      <c r="G939" s="6"/>
      <c r="H939" s="6">
        <v>0</v>
      </c>
      <c r="I939" s="6"/>
      <c r="J939" s="6"/>
      <c r="K939" s="6"/>
      <c r="L939" s="6" t="str">
        <f t="shared" si="98"/>
        <v>Carla Columna</v>
      </c>
      <c r="M939" s="6" t="str">
        <f t="shared" si="99"/>
        <v>Gentlemen Prefer Blondes (Monroe, Russell)</v>
      </c>
      <c r="N939" s="9">
        <f t="shared" si="100"/>
        <v>0</v>
      </c>
      <c r="P939" t="str">
        <f t="shared" si="101"/>
        <v>"Carla Columna";"Gentlemen Prefer Blondes";"0"</v>
      </c>
      <c r="U939" t="str">
        <f t="shared" si="102"/>
        <v>Carla Columna</v>
      </c>
      <c r="V939" t="str">
        <f t="shared" si="103"/>
        <v>Gentlemen Prefer Blondes</v>
      </c>
      <c r="W939">
        <f t="shared" si="104"/>
        <v>0</v>
      </c>
    </row>
    <row r="940" spans="1:23" x14ac:dyDescent="0.2">
      <c r="A940" s="6" t="s">
        <v>34</v>
      </c>
      <c r="B940" s="6">
        <v>2014</v>
      </c>
      <c r="C940" s="6"/>
      <c r="D940" s="6" t="s">
        <v>81</v>
      </c>
      <c r="E940" s="6" t="s">
        <v>3</v>
      </c>
      <c r="F940" s="6">
        <v>0</v>
      </c>
      <c r="G940" s="6"/>
      <c r="H940" s="6">
        <v>0</v>
      </c>
      <c r="I940" s="6"/>
      <c r="J940" s="6"/>
      <c r="K940" s="6"/>
      <c r="L940" s="6" t="str">
        <f t="shared" si="98"/>
        <v>Carla Columna</v>
      </c>
      <c r="M940" s="6" t="str">
        <f t="shared" si="99"/>
        <v>Grand Budapest Hotel (Fiennes, Abraham)</v>
      </c>
      <c r="N940" s="9">
        <f t="shared" si="100"/>
        <v>0</v>
      </c>
      <c r="P940" t="str">
        <f t="shared" si="101"/>
        <v>"Carla Columna";"Grand Budapest Hotel";"0"</v>
      </c>
      <c r="U940" t="str">
        <f t="shared" si="102"/>
        <v>Carla Columna</v>
      </c>
      <c r="V940" t="str">
        <f t="shared" si="103"/>
        <v>Grand Budapest Hotel</v>
      </c>
      <c r="W940">
        <f t="shared" si="104"/>
        <v>0</v>
      </c>
    </row>
    <row r="941" spans="1:23" x14ac:dyDescent="0.2">
      <c r="A941" s="6" t="s">
        <v>35</v>
      </c>
      <c r="B941" s="6">
        <v>2001</v>
      </c>
      <c r="C941" s="6"/>
      <c r="D941" s="6" t="s">
        <v>81</v>
      </c>
      <c r="E941" s="6" t="s">
        <v>2</v>
      </c>
      <c r="F941" s="6">
        <v>1</v>
      </c>
      <c r="G941" s="6">
        <v>4</v>
      </c>
      <c r="H941" s="6">
        <v>4</v>
      </c>
      <c r="I941" s="6"/>
      <c r="J941" s="6"/>
      <c r="K941" s="6"/>
      <c r="L941" s="6" t="str">
        <f t="shared" si="98"/>
        <v>Carla Columna</v>
      </c>
      <c r="M941" s="6" t="str">
        <f t="shared" si="99"/>
        <v>Harry Potter and the Philosopher's Stone (Radcliff, Harris)</v>
      </c>
      <c r="N941" s="9">
        <f t="shared" si="100"/>
        <v>4</v>
      </c>
      <c r="P941" t="str">
        <f t="shared" si="101"/>
        <v>"Carla Columna";"Harry Potter and the Philosopher's Stone";"4"</v>
      </c>
      <c r="U941" t="str">
        <f t="shared" si="102"/>
        <v>Carla Columna</v>
      </c>
      <c r="V941" t="str">
        <f t="shared" si="103"/>
        <v>Harry Potter and the Philosopher's Stone</v>
      </c>
      <c r="W941">
        <f t="shared" si="104"/>
        <v>1</v>
      </c>
    </row>
    <row r="942" spans="1:23" x14ac:dyDescent="0.2">
      <c r="A942" s="6" t="s">
        <v>36</v>
      </c>
      <c r="B942" s="6">
        <v>1950</v>
      </c>
      <c r="C942" s="6"/>
      <c r="D942" s="6" t="s">
        <v>81</v>
      </c>
      <c r="E942" s="6" t="s">
        <v>3</v>
      </c>
      <c r="F942" s="6">
        <v>0</v>
      </c>
      <c r="G942" s="6"/>
      <c r="H942" s="6">
        <v>0</v>
      </c>
      <c r="I942" s="6"/>
      <c r="J942" s="6"/>
      <c r="K942" s="6"/>
      <c r="L942" s="6" t="str">
        <f t="shared" si="98"/>
        <v>Carla Columna</v>
      </c>
      <c r="M942" s="6" t="str">
        <f t="shared" si="99"/>
        <v>Harvey (Stewart, Hull)</v>
      </c>
      <c r="N942" s="9">
        <f t="shared" si="100"/>
        <v>0</v>
      </c>
      <c r="P942" t="str">
        <f t="shared" si="101"/>
        <v>"Carla Columna";"Harvey";"0"</v>
      </c>
      <c r="U942" t="str">
        <f t="shared" si="102"/>
        <v>Carla Columna</v>
      </c>
      <c r="V942" t="str">
        <f t="shared" si="103"/>
        <v>Harvey</v>
      </c>
      <c r="W942">
        <f t="shared" si="104"/>
        <v>0</v>
      </c>
    </row>
    <row r="943" spans="1:23" x14ac:dyDescent="0.2">
      <c r="A943" s="6" t="s">
        <v>37</v>
      </c>
      <c r="B943" s="6">
        <v>1962</v>
      </c>
      <c r="C943" s="6"/>
      <c r="D943" s="6" t="s">
        <v>81</v>
      </c>
      <c r="E943" s="6" t="s">
        <v>3</v>
      </c>
      <c r="F943" s="6">
        <v>0</v>
      </c>
      <c r="G943" s="6"/>
      <c r="H943" s="6">
        <v>0</v>
      </c>
      <c r="I943" s="6"/>
      <c r="J943" s="6"/>
      <c r="K943" s="6"/>
      <c r="L943" s="6" t="str">
        <f t="shared" si="98"/>
        <v>Carla Columna</v>
      </c>
      <c r="M943" s="6" t="str">
        <f t="shared" si="99"/>
        <v>Hatari! (Wayne, Martinelli)</v>
      </c>
      <c r="N943" s="9">
        <f t="shared" si="100"/>
        <v>0</v>
      </c>
      <c r="P943" t="str">
        <f t="shared" si="101"/>
        <v>"Carla Columna";"Hatari!";"0"</v>
      </c>
      <c r="U943" t="str">
        <f t="shared" si="102"/>
        <v>Carla Columna</v>
      </c>
      <c r="V943" t="str">
        <f t="shared" si="103"/>
        <v>Hatari!</v>
      </c>
      <c r="W943">
        <f t="shared" si="104"/>
        <v>0</v>
      </c>
    </row>
    <row r="944" spans="1:23" x14ac:dyDescent="0.2">
      <c r="A944" s="6" t="s">
        <v>38</v>
      </c>
      <c r="B944" s="6">
        <v>1990</v>
      </c>
      <c r="C944" s="6"/>
      <c r="D944" s="6" t="s">
        <v>81</v>
      </c>
      <c r="E944" s="6" t="s">
        <v>2</v>
      </c>
      <c r="F944" s="6">
        <v>1</v>
      </c>
      <c r="G944" s="6">
        <v>5</v>
      </c>
      <c r="H944" s="6">
        <v>5</v>
      </c>
      <c r="I944" s="6"/>
      <c r="J944" s="6"/>
      <c r="K944" s="6"/>
      <c r="L944" s="6" t="str">
        <f t="shared" si="98"/>
        <v>Carla Columna</v>
      </c>
      <c r="M944" s="6" t="str">
        <f t="shared" si="99"/>
        <v>Home alone (Culkin, Pesci)</v>
      </c>
      <c r="N944" s="9">
        <f t="shared" si="100"/>
        <v>5</v>
      </c>
      <c r="P944" t="str">
        <f t="shared" si="101"/>
        <v>"Carla Columna";"Home alone";"5"</v>
      </c>
      <c r="U944" t="str">
        <f t="shared" si="102"/>
        <v>Carla Columna</v>
      </c>
      <c r="V944" t="str">
        <f t="shared" si="103"/>
        <v>Home alone</v>
      </c>
      <c r="W944">
        <f t="shared" si="104"/>
        <v>1</v>
      </c>
    </row>
    <row r="945" spans="1:23" x14ac:dyDescent="0.2">
      <c r="A945" s="6" t="s">
        <v>39</v>
      </c>
      <c r="B945" s="6">
        <v>2004</v>
      </c>
      <c r="C945" s="6"/>
      <c r="D945" s="6" t="s">
        <v>81</v>
      </c>
      <c r="E945" s="6" t="s">
        <v>3</v>
      </c>
      <c r="F945" s="6">
        <v>0</v>
      </c>
      <c r="G945" s="6"/>
      <c r="H945" s="6">
        <v>0</v>
      </c>
      <c r="I945" s="6"/>
      <c r="J945" s="6"/>
      <c r="K945" s="6"/>
      <c r="L945" s="6" t="str">
        <f t="shared" si="98"/>
        <v>Carla Columna</v>
      </c>
      <c r="M945" s="6" t="str">
        <f t="shared" si="99"/>
        <v>I, Robot (Smith, Moynahan)</v>
      </c>
      <c r="N945" s="9">
        <f t="shared" si="100"/>
        <v>0</v>
      </c>
      <c r="P945" t="str">
        <f t="shared" si="101"/>
        <v>"Carla Columna";"I, Robot";"0"</v>
      </c>
      <c r="U945" t="str">
        <f t="shared" si="102"/>
        <v>Carla Columna</v>
      </c>
      <c r="V945" t="str">
        <f t="shared" si="103"/>
        <v>I, Robot</v>
      </c>
      <c r="W945">
        <f t="shared" si="104"/>
        <v>0</v>
      </c>
    </row>
    <row r="946" spans="1:23" x14ac:dyDescent="0.2">
      <c r="A946" s="6" t="s">
        <v>40</v>
      </c>
      <c r="B946" s="6">
        <v>1967</v>
      </c>
      <c r="C946" s="6"/>
      <c r="D946" s="6" t="s">
        <v>81</v>
      </c>
      <c r="E946" s="6" t="s">
        <v>3</v>
      </c>
      <c r="F946" s="6">
        <v>0</v>
      </c>
      <c r="G946" s="6"/>
      <c r="H946" s="6">
        <v>0</v>
      </c>
      <c r="I946" s="6"/>
      <c r="J946" s="6"/>
      <c r="K946" s="6"/>
      <c r="L946" s="6" t="str">
        <f t="shared" si="98"/>
        <v>Carla Columna</v>
      </c>
      <c r="M946" s="6" t="str">
        <f t="shared" si="99"/>
        <v>In The Heat Of The Night (Poitier, Steiger)</v>
      </c>
      <c r="N946" s="9">
        <f t="shared" si="100"/>
        <v>0</v>
      </c>
      <c r="P946" t="str">
        <f t="shared" si="101"/>
        <v>"Carla Columna";"In The Heat Of The Night";"0"</v>
      </c>
      <c r="U946" t="str">
        <f t="shared" si="102"/>
        <v>Carla Columna</v>
      </c>
      <c r="V946" t="str">
        <f t="shared" si="103"/>
        <v>In The Heat Of The Night</v>
      </c>
      <c r="W946">
        <f t="shared" si="104"/>
        <v>0</v>
      </c>
    </row>
    <row r="947" spans="1:23" x14ac:dyDescent="0.2">
      <c r="A947" s="6" t="s">
        <v>41</v>
      </c>
      <c r="B947" s="6">
        <v>2014</v>
      </c>
      <c r="C947" s="6"/>
      <c r="D947" s="6" t="s">
        <v>81</v>
      </c>
      <c r="E947" s="6" t="s">
        <v>3</v>
      </c>
      <c r="F947" s="6">
        <v>0</v>
      </c>
      <c r="G947" s="6"/>
      <c r="H947" s="6">
        <v>0</v>
      </c>
      <c r="I947" s="6"/>
      <c r="J947" s="6"/>
      <c r="K947" s="6"/>
      <c r="L947" s="6" t="str">
        <f t="shared" si="98"/>
        <v>Carla Columna</v>
      </c>
      <c r="M947" s="6" t="str">
        <f t="shared" si="99"/>
        <v>Jack Ryan: Shadow Recruite (Pine, Costner)</v>
      </c>
      <c r="N947" s="9">
        <f t="shared" si="100"/>
        <v>0</v>
      </c>
      <c r="P947" t="str">
        <f t="shared" si="101"/>
        <v>"Carla Columna";"Jack Ryan: Shadow Recruite";"0"</v>
      </c>
      <c r="U947" t="str">
        <f t="shared" si="102"/>
        <v>Carla Columna</v>
      </c>
      <c r="V947" t="str">
        <f t="shared" si="103"/>
        <v>Jack Ryan: Shadow Recruite</v>
      </c>
      <c r="W947">
        <f t="shared" si="104"/>
        <v>0</v>
      </c>
    </row>
    <row r="948" spans="1:23" x14ac:dyDescent="0.2">
      <c r="A948" s="6" t="s">
        <v>42</v>
      </c>
      <c r="B948" s="6">
        <v>1995</v>
      </c>
      <c r="C948" s="6"/>
      <c r="D948" s="6" t="s">
        <v>81</v>
      </c>
      <c r="E948" s="6" t="s">
        <v>3</v>
      </c>
      <c r="F948" s="6">
        <v>0</v>
      </c>
      <c r="G948" s="6"/>
      <c r="H948" s="6">
        <v>0</v>
      </c>
      <c r="I948" s="6"/>
      <c r="J948" s="6"/>
      <c r="K948" s="6"/>
      <c r="L948" s="6" t="str">
        <f t="shared" si="98"/>
        <v>Carla Columna</v>
      </c>
      <c r="M948" s="6" t="str">
        <f t="shared" si="99"/>
        <v>Jumanji (Williams, Dunst)</v>
      </c>
      <c r="N948" s="9">
        <f t="shared" si="100"/>
        <v>0</v>
      </c>
      <c r="P948" t="str">
        <f t="shared" si="101"/>
        <v>"Carla Columna";"Jumanji";"0"</v>
      </c>
      <c r="U948" t="str">
        <f t="shared" si="102"/>
        <v>Carla Columna</v>
      </c>
      <c r="V948" t="str">
        <f t="shared" si="103"/>
        <v>Jumanji</v>
      </c>
      <c r="W948">
        <f t="shared" si="104"/>
        <v>0</v>
      </c>
    </row>
    <row r="949" spans="1:23" x14ac:dyDescent="0.2">
      <c r="A949" s="6" t="s">
        <v>43</v>
      </c>
      <c r="B949" s="6">
        <v>2005</v>
      </c>
      <c r="C949" s="6"/>
      <c r="D949" s="6" t="s">
        <v>81</v>
      </c>
      <c r="E949" s="6" t="s">
        <v>3</v>
      </c>
      <c r="F949" s="6">
        <v>0</v>
      </c>
      <c r="G949" s="6"/>
      <c r="H949" s="6">
        <v>0</v>
      </c>
      <c r="I949" s="6"/>
      <c r="J949" s="6"/>
      <c r="K949" s="6"/>
      <c r="L949" s="6" t="str">
        <f t="shared" si="98"/>
        <v>Carla Columna</v>
      </c>
      <c r="M949" s="6" t="str">
        <f t="shared" si="99"/>
        <v>King Kong (Watts, Black)</v>
      </c>
      <c r="N949" s="9">
        <f t="shared" si="100"/>
        <v>0</v>
      </c>
      <c r="P949" t="str">
        <f t="shared" si="101"/>
        <v>"Carla Columna";"King Kong";"0"</v>
      </c>
      <c r="U949" t="str">
        <f t="shared" si="102"/>
        <v>Carla Columna</v>
      </c>
      <c r="V949" t="str">
        <f t="shared" si="103"/>
        <v>King Kong</v>
      </c>
      <c r="W949">
        <f t="shared" si="104"/>
        <v>0</v>
      </c>
    </row>
    <row r="950" spans="1:23" x14ac:dyDescent="0.2">
      <c r="A950" s="6" t="s">
        <v>44</v>
      </c>
      <c r="B950" s="6">
        <v>2016</v>
      </c>
      <c r="C950" s="6"/>
      <c r="D950" s="6" t="s">
        <v>81</v>
      </c>
      <c r="E950" s="6" t="s">
        <v>3</v>
      </c>
      <c r="F950" s="6">
        <v>0</v>
      </c>
      <c r="G950" s="6"/>
      <c r="H950" s="6">
        <v>0</v>
      </c>
      <c r="I950" s="6"/>
      <c r="J950" s="6"/>
      <c r="K950" s="6"/>
      <c r="L950" s="6" t="str">
        <f t="shared" si="98"/>
        <v>Carla Columna</v>
      </c>
      <c r="M950" s="6" t="str">
        <f t="shared" si="99"/>
        <v>La La Land (Gosling, Stone)</v>
      </c>
      <c r="N950" s="9">
        <f t="shared" si="100"/>
        <v>0</v>
      </c>
      <c r="P950" t="str">
        <f t="shared" si="101"/>
        <v>"Carla Columna";"La La Land";"0"</v>
      </c>
      <c r="U950" t="str">
        <f t="shared" si="102"/>
        <v>Carla Columna</v>
      </c>
      <c r="V950" t="str">
        <f t="shared" si="103"/>
        <v>La La Land</v>
      </c>
      <c r="W950">
        <f t="shared" si="104"/>
        <v>0</v>
      </c>
    </row>
    <row r="951" spans="1:23" x14ac:dyDescent="0.2">
      <c r="A951" s="6" t="s">
        <v>45</v>
      </c>
      <c r="B951" s="6">
        <v>2001</v>
      </c>
      <c r="C951" s="6"/>
      <c r="D951" s="6" t="s">
        <v>81</v>
      </c>
      <c r="E951" s="6" t="s">
        <v>3</v>
      </c>
      <c r="F951" s="6">
        <v>0</v>
      </c>
      <c r="G951" s="6"/>
      <c r="H951" s="6">
        <v>0</v>
      </c>
      <c r="I951" s="6"/>
      <c r="J951" s="6"/>
      <c r="K951" s="6"/>
      <c r="L951" s="6" t="str">
        <f t="shared" si="98"/>
        <v>Carla Columna</v>
      </c>
      <c r="M951" s="6" t="str">
        <f t="shared" si="99"/>
        <v>Lord of the Rings (Woods, McKellen)</v>
      </c>
      <c r="N951" s="9">
        <f t="shared" si="100"/>
        <v>0</v>
      </c>
      <c r="P951" t="str">
        <f t="shared" si="101"/>
        <v>"Carla Columna";"Lord of the Rings";"0"</v>
      </c>
      <c r="U951" t="str">
        <f t="shared" si="102"/>
        <v>Carla Columna</v>
      </c>
      <c r="V951" t="str">
        <f t="shared" si="103"/>
        <v>Lord of the Rings</v>
      </c>
      <c r="W951">
        <f t="shared" si="104"/>
        <v>0</v>
      </c>
    </row>
    <row r="952" spans="1:23" x14ac:dyDescent="0.2">
      <c r="A952" s="6" t="s">
        <v>46</v>
      </c>
      <c r="B952" s="6">
        <v>1964</v>
      </c>
      <c r="C952" s="6"/>
      <c r="D952" s="6" t="s">
        <v>81</v>
      </c>
      <c r="E952" s="6" t="s">
        <v>3</v>
      </c>
      <c r="F952" s="6">
        <v>0</v>
      </c>
      <c r="G952" s="6"/>
      <c r="H952" s="6">
        <v>0</v>
      </c>
      <c r="I952" s="6"/>
      <c r="J952" s="6"/>
      <c r="K952" s="6"/>
      <c r="L952" s="6" t="str">
        <f t="shared" si="98"/>
        <v>Carla Columna</v>
      </c>
      <c r="M952" s="6" t="str">
        <f t="shared" si="99"/>
        <v>Per Un Pugno Di Dollari (Eastwood, Koch)</v>
      </c>
      <c r="N952" s="9">
        <f t="shared" si="100"/>
        <v>0</v>
      </c>
      <c r="P952" t="str">
        <f t="shared" si="101"/>
        <v>"Carla Columna";"Per Un Pugno Di Dollari";"0"</v>
      </c>
      <c r="U952" t="str">
        <f t="shared" si="102"/>
        <v>Carla Columna</v>
      </c>
      <c r="V952" t="str">
        <f t="shared" si="103"/>
        <v>Per Un Pugno Di Dollari</v>
      </c>
      <c r="W952">
        <f t="shared" si="104"/>
        <v>0</v>
      </c>
    </row>
    <row r="953" spans="1:23" x14ac:dyDescent="0.2">
      <c r="A953" s="6" t="s">
        <v>47</v>
      </c>
      <c r="B953" s="6">
        <v>1954</v>
      </c>
      <c r="C953" s="6"/>
      <c r="D953" s="6" t="s">
        <v>81</v>
      </c>
      <c r="E953" s="6" t="s">
        <v>3</v>
      </c>
      <c r="F953" s="6">
        <v>0</v>
      </c>
      <c r="G953" s="6"/>
      <c r="H953" s="6">
        <v>0</v>
      </c>
      <c r="I953" s="6"/>
      <c r="J953" s="6"/>
      <c r="K953" s="6"/>
      <c r="L953" s="6" t="str">
        <f t="shared" si="98"/>
        <v>Carla Columna</v>
      </c>
      <c r="M953" s="6" t="str">
        <f t="shared" si="99"/>
        <v>Rear Window (Stewart, Kelly)</v>
      </c>
      <c r="N953" s="9">
        <f t="shared" si="100"/>
        <v>0</v>
      </c>
      <c r="P953" t="str">
        <f t="shared" si="101"/>
        <v>"Carla Columna";"Rear Window";"0"</v>
      </c>
      <c r="U953" t="str">
        <f t="shared" si="102"/>
        <v>Carla Columna</v>
      </c>
      <c r="V953" t="str">
        <f t="shared" si="103"/>
        <v>Rear Window</v>
      </c>
      <c r="W953">
        <f t="shared" si="104"/>
        <v>0</v>
      </c>
    </row>
    <row r="954" spans="1:23" x14ac:dyDescent="0.2">
      <c r="A954" s="6" t="s">
        <v>48</v>
      </c>
      <c r="B954" s="6">
        <v>1955</v>
      </c>
      <c r="C954" s="6"/>
      <c r="D954" s="6" t="s">
        <v>81</v>
      </c>
      <c r="E954" s="6" t="s">
        <v>3</v>
      </c>
      <c r="F954" s="6">
        <v>0</v>
      </c>
      <c r="G954" s="6"/>
      <c r="H954" s="6">
        <v>0</v>
      </c>
      <c r="I954" s="6"/>
      <c r="J954" s="6"/>
      <c r="K954" s="6"/>
      <c r="L954" s="6" t="str">
        <f t="shared" si="98"/>
        <v>Carla Columna</v>
      </c>
      <c r="M954" s="6" t="str">
        <f t="shared" si="99"/>
        <v>Rebel Without A Cause (Dean, Wood)</v>
      </c>
      <c r="N954" s="9">
        <f t="shared" si="100"/>
        <v>0</v>
      </c>
      <c r="P954" t="str">
        <f t="shared" si="101"/>
        <v>"Carla Columna";"Rebel Without A Cause";"0"</v>
      </c>
      <c r="U954" t="str">
        <f t="shared" si="102"/>
        <v>Carla Columna</v>
      </c>
      <c r="V954" t="str">
        <f t="shared" si="103"/>
        <v>Rebel Without A Cause</v>
      </c>
      <c r="W954">
        <f t="shared" si="104"/>
        <v>0</v>
      </c>
    </row>
    <row r="955" spans="1:23" x14ac:dyDescent="0.2">
      <c r="A955" s="6" t="s">
        <v>66</v>
      </c>
      <c r="B955" s="6">
        <v>2005</v>
      </c>
      <c r="C955" s="6"/>
      <c r="D955" s="6" t="s">
        <v>81</v>
      </c>
      <c r="E955" s="6" t="s">
        <v>3</v>
      </c>
      <c r="F955" s="6">
        <v>0</v>
      </c>
      <c r="G955" s="6"/>
      <c r="H955" s="6">
        <v>0</v>
      </c>
      <c r="I955" s="6"/>
      <c r="J955" s="6"/>
      <c r="K955" s="6"/>
      <c r="L955" s="6" t="str">
        <f t="shared" si="98"/>
        <v>Carla Columna</v>
      </c>
      <c r="M955" s="6" t="str">
        <f t="shared" si="99"/>
        <v>Rumor has it (Aniston, Costner)</v>
      </c>
      <c r="N955" s="9">
        <f t="shared" si="100"/>
        <v>0</v>
      </c>
      <c r="P955" t="str">
        <f t="shared" si="101"/>
        <v>"Carla Columna";"Rumor has it";"0"</v>
      </c>
      <c r="U955" t="str">
        <f t="shared" si="102"/>
        <v>Carla Columna</v>
      </c>
      <c r="V955" t="str">
        <f t="shared" si="103"/>
        <v>Rumor has it</v>
      </c>
      <c r="W955">
        <f t="shared" si="104"/>
        <v>0</v>
      </c>
    </row>
    <row r="956" spans="1:23" x14ac:dyDescent="0.2">
      <c r="A956" s="6" t="s">
        <v>49</v>
      </c>
      <c r="B956" s="6">
        <v>1998</v>
      </c>
      <c r="C956" s="6"/>
      <c r="D956" s="6" t="s">
        <v>81</v>
      </c>
      <c r="E956" s="6" t="s">
        <v>3</v>
      </c>
      <c r="F956" s="6">
        <v>0</v>
      </c>
      <c r="G956" s="6"/>
      <c r="H956" s="6">
        <v>0</v>
      </c>
      <c r="I956" s="6"/>
      <c r="J956" s="6"/>
      <c r="K956" s="6"/>
      <c r="L956" s="6" t="str">
        <f t="shared" si="98"/>
        <v>Carla Columna</v>
      </c>
      <c r="M956" s="6" t="str">
        <f t="shared" si="99"/>
        <v>Saving private Ryan (Hanks, Damon)</v>
      </c>
      <c r="N956" s="9">
        <f t="shared" si="100"/>
        <v>0</v>
      </c>
      <c r="P956" t="str">
        <f t="shared" si="101"/>
        <v>"Carla Columna";"Saving private Ryan";"0"</v>
      </c>
      <c r="U956" t="str">
        <f t="shared" si="102"/>
        <v>Carla Columna</v>
      </c>
      <c r="V956" t="str">
        <f t="shared" si="103"/>
        <v>Saving private Ryan</v>
      </c>
      <c r="W956">
        <f t="shared" si="104"/>
        <v>0</v>
      </c>
    </row>
    <row r="957" spans="1:23" x14ac:dyDescent="0.2">
      <c r="A957" s="6" t="s">
        <v>50</v>
      </c>
      <c r="B957" s="6">
        <v>1993</v>
      </c>
      <c r="C957" s="6"/>
      <c r="D957" s="6" t="s">
        <v>81</v>
      </c>
      <c r="E957" s="6" t="s">
        <v>2</v>
      </c>
      <c r="F957" s="6">
        <v>1</v>
      </c>
      <c r="G957" s="6">
        <v>5</v>
      </c>
      <c r="H957" s="6">
        <v>5</v>
      </c>
      <c r="I957" s="6"/>
      <c r="J957" s="6"/>
      <c r="K957" s="6"/>
      <c r="L957" s="6" t="str">
        <f t="shared" si="98"/>
        <v>Carla Columna</v>
      </c>
      <c r="M957" s="6" t="str">
        <f t="shared" si="99"/>
        <v>Schindlers List (Neeson, Fiennes)</v>
      </c>
      <c r="N957" s="9">
        <f t="shared" si="100"/>
        <v>5</v>
      </c>
      <c r="P957" t="str">
        <f t="shared" si="101"/>
        <v>"Carla Columna";"Schindlers List";"5"</v>
      </c>
      <c r="U957" t="str">
        <f t="shared" si="102"/>
        <v>Carla Columna</v>
      </c>
      <c r="V957" t="str">
        <f t="shared" si="103"/>
        <v>Schindlers List</v>
      </c>
      <c r="W957">
        <f t="shared" si="104"/>
        <v>1</v>
      </c>
    </row>
    <row r="958" spans="1:23" x14ac:dyDescent="0.2">
      <c r="A958" s="6" t="s">
        <v>51</v>
      </c>
      <c r="B958" s="6">
        <v>1996</v>
      </c>
      <c r="C958" s="6"/>
      <c r="D958" s="6" t="s">
        <v>81</v>
      </c>
      <c r="E958" s="6" t="s">
        <v>3</v>
      </c>
      <c r="F958" s="6">
        <v>0</v>
      </c>
      <c r="G958" s="6"/>
      <c r="H958" s="6">
        <v>0</v>
      </c>
      <c r="I958" s="6"/>
      <c r="J958" s="6"/>
      <c r="K958" s="6"/>
      <c r="L958" s="6" t="str">
        <f t="shared" si="98"/>
        <v>Carla Columna</v>
      </c>
      <c r="M958" s="6" t="str">
        <f t="shared" si="99"/>
        <v>Scream (Arquette, Campell)</v>
      </c>
      <c r="N958" s="9">
        <f t="shared" si="100"/>
        <v>0</v>
      </c>
      <c r="P958" t="str">
        <f t="shared" si="101"/>
        <v>"Carla Columna";"Scream";"0"</v>
      </c>
      <c r="U958" t="str">
        <f t="shared" si="102"/>
        <v>Carla Columna</v>
      </c>
      <c r="V958" t="str">
        <f t="shared" si="103"/>
        <v>Scream</v>
      </c>
      <c r="W958">
        <f t="shared" si="104"/>
        <v>0</v>
      </c>
    </row>
    <row r="959" spans="1:23" x14ac:dyDescent="0.2">
      <c r="A959" s="6" t="s">
        <v>52</v>
      </c>
      <c r="B959" s="6">
        <v>1977</v>
      </c>
      <c r="C959" s="6"/>
      <c r="D959" s="6" t="s">
        <v>81</v>
      </c>
      <c r="E959" s="6" t="s">
        <v>3</v>
      </c>
      <c r="F959" s="6">
        <v>0</v>
      </c>
      <c r="G959" s="6"/>
      <c r="H959" s="6">
        <v>0</v>
      </c>
      <c r="I959" s="6"/>
      <c r="J959" s="6"/>
      <c r="K959" s="6"/>
      <c r="L959" s="6" t="str">
        <f t="shared" si="98"/>
        <v>Carla Columna</v>
      </c>
      <c r="M959" s="6" t="str">
        <f t="shared" si="99"/>
        <v>Star Wars IV: A new hope (Hamill, Ford)</v>
      </c>
      <c r="N959" s="9">
        <f t="shared" si="100"/>
        <v>0</v>
      </c>
      <c r="P959" t="str">
        <f t="shared" si="101"/>
        <v>"Carla Columna";"Star Wars IV: A new hope";"0"</v>
      </c>
      <c r="U959" t="str">
        <f t="shared" si="102"/>
        <v>Carla Columna</v>
      </c>
      <c r="V959" t="str">
        <f t="shared" si="103"/>
        <v>Star Wars IV: A new hope</v>
      </c>
      <c r="W959">
        <f t="shared" si="104"/>
        <v>0</v>
      </c>
    </row>
    <row r="960" spans="1:23" x14ac:dyDescent="0.2">
      <c r="A960" s="6" t="s">
        <v>53</v>
      </c>
      <c r="B960" s="6">
        <v>2016</v>
      </c>
      <c r="C960" s="6"/>
      <c r="D960" s="6" t="s">
        <v>81</v>
      </c>
      <c r="E960" s="6" t="s">
        <v>2</v>
      </c>
      <c r="F960" s="6">
        <v>1</v>
      </c>
      <c r="G960" s="6">
        <v>3</v>
      </c>
      <c r="H960" s="6">
        <v>3</v>
      </c>
      <c r="I960" s="6"/>
      <c r="J960" s="6"/>
      <c r="K960" s="6"/>
      <c r="L960" s="6" t="str">
        <f t="shared" si="98"/>
        <v>Carla Columna</v>
      </c>
      <c r="M960" s="6" t="str">
        <f t="shared" si="99"/>
        <v>Suicide Squad (Smith, Robbie)</v>
      </c>
      <c r="N960" s="9">
        <f t="shared" si="100"/>
        <v>3</v>
      </c>
      <c r="P960" t="str">
        <f t="shared" si="101"/>
        <v>"Carla Columna";"Suicide Squad";"3"</v>
      </c>
      <c r="U960" t="str">
        <f t="shared" si="102"/>
        <v>Carla Columna</v>
      </c>
      <c r="V960" t="str">
        <f t="shared" si="103"/>
        <v>Suicide Squad</v>
      </c>
      <c r="W960">
        <f t="shared" si="104"/>
        <v>1</v>
      </c>
    </row>
    <row r="961" spans="1:23" x14ac:dyDescent="0.2">
      <c r="A961" s="6" t="s">
        <v>54</v>
      </c>
      <c r="B961" s="6">
        <v>2010</v>
      </c>
      <c r="C961" s="6"/>
      <c r="D961" s="6" t="s">
        <v>81</v>
      </c>
      <c r="E961" s="6" t="s">
        <v>3</v>
      </c>
      <c r="F961" s="6">
        <v>0</v>
      </c>
      <c r="G961" s="6"/>
      <c r="H961" s="6">
        <v>0</v>
      </c>
      <c r="I961" s="6"/>
      <c r="J961" s="6"/>
      <c r="K961" s="6"/>
      <c r="L961" s="6" t="str">
        <f t="shared" si="98"/>
        <v>Carla Columna</v>
      </c>
      <c r="M961" s="6" t="str">
        <f t="shared" si="99"/>
        <v>Tangled (Disney)</v>
      </c>
      <c r="N961" s="9">
        <f t="shared" si="100"/>
        <v>0</v>
      </c>
      <c r="P961" t="str">
        <f t="shared" si="101"/>
        <v>"Carla Columna";"Tangled";"0"</v>
      </c>
      <c r="U961" t="str">
        <f t="shared" si="102"/>
        <v>Carla Columna</v>
      </c>
      <c r="V961" t="str">
        <f t="shared" si="103"/>
        <v>Tangled</v>
      </c>
      <c r="W961">
        <f t="shared" si="104"/>
        <v>0</v>
      </c>
    </row>
    <row r="962" spans="1:23" x14ac:dyDescent="0.2">
      <c r="A962" s="6" t="s">
        <v>55</v>
      </c>
      <c r="B962" s="6">
        <v>2012</v>
      </c>
      <c r="C962" s="6"/>
      <c r="D962" s="6" t="s">
        <v>81</v>
      </c>
      <c r="E962" s="6" t="s">
        <v>3</v>
      </c>
      <c r="F962" s="6">
        <v>0</v>
      </c>
      <c r="G962" s="6"/>
      <c r="H962" s="6">
        <v>0</v>
      </c>
      <c r="I962" s="6"/>
      <c r="J962" s="6"/>
      <c r="K962" s="6"/>
      <c r="L962" s="6" t="str">
        <f t="shared" si="98"/>
        <v>Carla Columna</v>
      </c>
      <c r="M962" s="6" t="str">
        <f t="shared" si="99"/>
        <v>The Avengers (Downey Jr. Evans)</v>
      </c>
      <c r="N962" s="9">
        <f t="shared" si="100"/>
        <v>0</v>
      </c>
      <c r="P962" t="str">
        <f t="shared" si="101"/>
        <v>"Carla Columna";"The Avengers";"0"</v>
      </c>
      <c r="U962" t="str">
        <f t="shared" si="102"/>
        <v>Carla Columna</v>
      </c>
      <c r="V962" t="str">
        <f t="shared" si="103"/>
        <v>The Avengers</v>
      </c>
      <c r="W962">
        <f t="shared" si="104"/>
        <v>0</v>
      </c>
    </row>
    <row r="963" spans="1:23" x14ac:dyDescent="0.2">
      <c r="A963" s="6" t="s">
        <v>56</v>
      </c>
      <c r="B963" s="6">
        <v>1973</v>
      </c>
      <c r="C963" s="6"/>
      <c r="D963" s="6" t="s">
        <v>81</v>
      </c>
      <c r="E963" s="6" t="s">
        <v>2</v>
      </c>
      <c r="F963" s="6">
        <v>1</v>
      </c>
      <c r="G963" s="6">
        <v>2</v>
      </c>
      <c r="H963" s="6">
        <v>2</v>
      </c>
      <c r="I963" s="6"/>
      <c r="J963" s="6"/>
      <c r="K963" s="6"/>
      <c r="L963" s="6" t="str">
        <f t="shared" ref="L963:L1026" si="105">D963</f>
        <v>Carla Columna</v>
      </c>
      <c r="M963" s="6" t="str">
        <f t="shared" ref="M963:M1026" si="106">A963</f>
        <v>The Exorcist (von Sydow, Blair)</v>
      </c>
      <c r="N963" s="9">
        <f t="shared" ref="N963:N1026" si="107">H963</f>
        <v>2</v>
      </c>
      <c r="P963" t="str">
        <f t="shared" ref="P963:P1026" si="108">""""&amp;L963&amp;""";"""&amp;LEFT(M963,FIND("(",M963)-2)&amp;""";"""&amp;SUBSTITUTE(N963,",",".")&amp;""""</f>
        <v>"Carla Columna";"The Exorcist";"2"</v>
      </c>
      <c r="U963" t="str">
        <f t="shared" ref="U963:U1026" si="109">D963</f>
        <v>Carla Columna</v>
      </c>
      <c r="V963" t="str">
        <f t="shared" ref="V963:V1026" si="110">LEFT(A963,FIND("(",A963)-2)</f>
        <v>The Exorcist</v>
      </c>
      <c r="W963">
        <f t="shared" ref="W963:W1026" si="111">F963</f>
        <v>1</v>
      </c>
    </row>
    <row r="964" spans="1:23" x14ac:dyDescent="0.2">
      <c r="A964" s="6" t="s">
        <v>57</v>
      </c>
      <c r="B964" s="6">
        <v>1972</v>
      </c>
      <c r="C964" s="6"/>
      <c r="D964" s="6" t="s">
        <v>81</v>
      </c>
      <c r="E964" s="6" t="s">
        <v>3</v>
      </c>
      <c r="F964" s="6">
        <v>0</v>
      </c>
      <c r="G964" s="6"/>
      <c r="H964" s="6">
        <v>0</v>
      </c>
      <c r="I964" s="6"/>
      <c r="J964" s="6"/>
      <c r="K964" s="6"/>
      <c r="L964" s="6" t="str">
        <f t="shared" si="105"/>
        <v>Carla Columna</v>
      </c>
      <c r="M964" s="6" t="str">
        <f t="shared" si="106"/>
        <v>The Godfather (Brando, Pacino)</v>
      </c>
      <c r="N964" s="9">
        <f t="shared" si="107"/>
        <v>0</v>
      </c>
      <c r="P964" t="str">
        <f t="shared" si="108"/>
        <v>"Carla Columna";"The Godfather";"0"</v>
      </c>
      <c r="U964" t="str">
        <f t="shared" si="109"/>
        <v>Carla Columna</v>
      </c>
      <c r="V964" t="str">
        <f t="shared" si="110"/>
        <v>The Godfather</v>
      </c>
      <c r="W964">
        <f t="shared" si="111"/>
        <v>0</v>
      </c>
    </row>
    <row r="965" spans="1:23" x14ac:dyDescent="0.2">
      <c r="A965" s="6" t="s">
        <v>58</v>
      </c>
      <c r="B965" s="6">
        <v>1994</v>
      </c>
      <c r="C965" s="6"/>
      <c r="D965" s="6" t="s">
        <v>81</v>
      </c>
      <c r="E965" s="6" t="s">
        <v>2</v>
      </c>
      <c r="F965" s="6">
        <v>1</v>
      </c>
      <c r="G965" s="6">
        <v>5</v>
      </c>
      <c r="H965" s="6">
        <v>5</v>
      </c>
      <c r="I965" s="6"/>
      <c r="J965" s="6"/>
      <c r="K965" s="6"/>
      <c r="L965" s="6" t="str">
        <f t="shared" si="105"/>
        <v>Carla Columna</v>
      </c>
      <c r="M965" s="6" t="str">
        <f t="shared" si="106"/>
        <v>The Lion King (Disney)</v>
      </c>
      <c r="N965" s="9">
        <f t="shared" si="107"/>
        <v>5</v>
      </c>
      <c r="P965" t="str">
        <f t="shared" si="108"/>
        <v>"Carla Columna";"The Lion King";"5"</v>
      </c>
      <c r="U965" t="str">
        <f t="shared" si="109"/>
        <v>Carla Columna</v>
      </c>
      <c r="V965" t="str">
        <f t="shared" si="110"/>
        <v>The Lion King</v>
      </c>
      <c r="W965">
        <f t="shared" si="111"/>
        <v>1</v>
      </c>
    </row>
    <row r="966" spans="1:23" x14ac:dyDescent="0.2">
      <c r="A966" s="6" t="s">
        <v>59</v>
      </c>
      <c r="B966" s="6">
        <v>1999</v>
      </c>
      <c r="C966" s="6"/>
      <c r="D966" s="6" t="s">
        <v>81</v>
      </c>
      <c r="E966" s="6" t="s">
        <v>3</v>
      </c>
      <c r="F966" s="6">
        <v>0</v>
      </c>
      <c r="G966" s="6"/>
      <c r="H966" s="6">
        <v>0</v>
      </c>
      <c r="I966" s="6"/>
      <c r="J966" s="6"/>
      <c r="K966" s="6"/>
      <c r="L966" s="6" t="str">
        <f t="shared" si="105"/>
        <v>Carla Columna</v>
      </c>
      <c r="M966" s="6" t="str">
        <f t="shared" si="106"/>
        <v>The Matrix (Reeves, Fishburn)</v>
      </c>
      <c r="N966" s="9">
        <f t="shared" si="107"/>
        <v>0</v>
      </c>
      <c r="P966" t="str">
        <f t="shared" si="108"/>
        <v>"Carla Columna";"The Matrix";"0"</v>
      </c>
      <c r="U966" t="str">
        <f t="shared" si="109"/>
        <v>Carla Columna</v>
      </c>
      <c r="V966" t="str">
        <f t="shared" si="110"/>
        <v>The Matrix</v>
      </c>
      <c r="W966">
        <f t="shared" si="111"/>
        <v>0</v>
      </c>
    </row>
    <row r="967" spans="1:23" x14ac:dyDescent="0.2">
      <c r="A967" s="6" t="s">
        <v>60</v>
      </c>
      <c r="B967" s="6">
        <v>1980</v>
      </c>
      <c r="C967" s="6"/>
      <c r="D967" s="6" t="s">
        <v>81</v>
      </c>
      <c r="E967" s="6" t="s">
        <v>3</v>
      </c>
      <c r="F967" s="6">
        <v>0</v>
      </c>
      <c r="G967" s="6"/>
      <c r="H967" s="6">
        <v>0</v>
      </c>
      <c r="I967" s="6"/>
      <c r="J967" s="6"/>
      <c r="K967" s="6"/>
      <c r="L967" s="6" t="str">
        <f t="shared" si="105"/>
        <v>Carla Columna</v>
      </c>
      <c r="M967" s="6" t="str">
        <f t="shared" si="106"/>
        <v>The Shining (Nicholson, Duvall)</v>
      </c>
      <c r="N967" s="9">
        <f t="shared" si="107"/>
        <v>0</v>
      </c>
      <c r="P967" t="str">
        <f t="shared" si="108"/>
        <v>"Carla Columna";"The Shining";"0"</v>
      </c>
      <c r="U967" t="str">
        <f t="shared" si="109"/>
        <v>Carla Columna</v>
      </c>
      <c r="V967" t="str">
        <f t="shared" si="110"/>
        <v>The Shining</v>
      </c>
      <c r="W967">
        <f t="shared" si="111"/>
        <v>0</v>
      </c>
    </row>
    <row r="968" spans="1:23" x14ac:dyDescent="0.2">
      <c r="A968" s="6" t="s">
        <v>61</v>
      </c>
      <c r="B968" s="6">
        <v>1984</v>
      </c>
      <c r="C968" s="6"/>
      <c r="D968" s="6" t="s">
        <v>81</v>
      </c>
      <c r="E968" s="6" t="s">
        <v>3</v>
      </c>
      <c r="F968" s="6">
        <v>0</v>
      </c>
      <c r="G968" s="6"/>
      <c r="H968" s="6">
        <v>0</v>
      </c>
      <c r="I968" s="6"/>
      <c r="J968" s="6"/>
      <c r="K968" s="6"/>
      <c r="L968" s="6" t="str">
        <f t="shared" si="105"/>
        <v>Carla Columna</v>
      </c>
      <c r="M968" s="6" t="str">
        <f t="shared" si="106"/>
        <v>The Terminator (Schwarzenegger, Hamilton)</v>
      </c>
      <c r="N968" s="9">
        <f t="shared" si="107"/>
        <v>0</v>
      </c>
      <c r="P968" t="str">
        <f t="shared" si="108"/>
        <v>"Carla Columna";"The Terminator";"0"</v>
      </c>
      <c r="U968" t="str">
        <f t="shared" si="109"/>
        <v>Carla Columna</v>
      </c>
      <c r="V968" t="str">
        <f t="shared" si="110"/>
        <v>The Terminator</v>
      </c>
      <c r="W968">
        <f t="shared" si="111"/>
        <v>0</v>
      </c>
    </row>
    <row r="969" spans="1:23" x14ac:dyDescent="0.2">
      <c r="A969" s="6" t="s">
        <v>62</v>
      </c>
      <c r="B969" s="6">
        <v>1986</v>
      </c>
      <c r="C969" s="6"/>
      <c r="D969" s="6" t="s">
        <v>81</v>
      </c>
      <c r="E969" s="6" t="s">
        <v>3</v>
      </c>
      <c r="F969" s="6">
        <v>0</v>
      </c>
      <c r="G969" s="6"/>
      <c r="H969" s="6">
        <v>0</v>
      </c>
      <c r="I969" s="6"/>
      <c r="J969" s="6"/>
      <c r="K969" s="6"/>
      <c r="L969" s="6" t="str">
        <f t="shared" si="105"/>
        <v>Carla Columna</v>
      </c>
      <c r="M969" s="6" t="str">
        <f t="shared" si="106"/>
        <v>Top Gun (Cruise, McGillis)</v>
      </c>
      <c r="N969" s="9">
        <f t="shared" si="107"/>
        <v>0</v>
      </c>
      <c r="P969" t="str">
        <f t="shared" si="108"/>
        <v>"Carla Columna";"Top Gun";"0"</v>
      </c>
      <c r="U969" t="str">
        <f t="shared" si="109"/>
        <v>Carla Columna</v>
      </c>
      <c r="V969" t="str">
        <f t="shared" si="110"/>
        <v>Top Gun</v>
      </c>
      <c r="W969">
        <f t="shared" si="111"/>
        <v>0</v>
      </c>
    </row>
    <row r="970" spans="1:23" x14ac:dyDescent="0.2">
      <c r="A970" s="6" t="s">
        <v>63</v>
      </c>
      <c r="B970" s="6">
        <v>1995</v>
      </c>
      <c r="C970" s="6"/>
      <c r="D970" s="6" t="s">
        <v>81</v>
      </c>
      <c r="E970" s="6" t="s">
        <v>3</v>
      </c>
      <c r="F970" s="6">
        <v>0</v>
      </c>
      <c r="G970" s="6"/>
      <c r="H970" s="6">
        <v>0</v>
      </c>
      <c r="I970" s="6"/>
      <c r="J970" s="6"/>
      <c r="K970" s="6"/>
      <c r="L970" s="6" t="str">
        <f t="shared" si="105"/>
        <v>Carla Columna</v>
      </c>
      <c r="M970" s="6" t="str">
        <f t="shared" si="106"/>
        <v>Toy Story (Pixar)</v>
      </c>
      <c r="N970" s="9">
        <f t="shared" si="107"/>
        <v>0</v>
      </c>
      <c r="P970" t="str">
        <f t="shared" si="108"/>
        <v>"Carla Columna";"Toy Story";"0"</v>
      </c>
      <c r="U970" t="str">
        <f t="shared" si="109"/>
        <v>Carla Columna</v>
      </c>
      <c r="V970" t="str">
        <f t="shared" si="110"/>
        <v>Toy Story</v>
      </c>
      <c r="W970">
        <f t="shared" si="111"/>
        <v>0</v>
      </c>
    </row>
    <row r="971" spans="1:23" x14ac:dyDescent="0.2">
      <c r="A971" s="6" t="s">
        <v>8</v>
      </c>
      <c r="B971" s="6">
        <v>1968</v>
      </c>
      <c r="C971" s="6"/>
      <c r="D971" s="6" t="s">
        <v>82</v>
      </c>
      <c r="E971" s="6" t="s">
        <v>2</v>
      </c>
      <c r="F971" s="6">
        <v>1</v>
      </c>
      <c r="G971" s="6">
        <v>5</v>
      </c>
      <c r="H971" s="6">
        <v>5</v>
      </c>
      <c r="I971" s="6"/>
      <c r="J971" s="6"/>
      <c r="K971" s="6"/>
      <c r="L971" s="6" t="str">
        <f t="shared" si="105"/>
        <v>Ale</v>
      </c>
      <c r="M971" s="6" t="str">
        <f t="shared" si="106"/>
        <v>2001: A Space Odyssey (Duella, Lockwood)</v>
      </c>
      <c r="N971" s="9">
        <f t="shared" si="107"/>
        <v>5</v>
      </c>
      <c r="P971" t="str">
        <f t="shared" si="108"/>
        <v>"Ale";"2001: A Space Odyssey";"5"</v>
      </c>
      <c r="U971" t="str">
        <f t="shared" si="109"/>
        <v>Ale</v>
      </c>
      <c r="V971" t="str">
        <f t="shared" si="110"/>
        <v>2001: A Space Odyssey</v>
      </c>
      <c r="W971">
        <f t="shared" si="111"/>
        <v>1</v>
      </c>
    </row>
    <row r="972" spans="1:23" x14ac:dyDescent="0.2">
      <c r="A972" s="6" t="s">
        <v>9</v>
      </c>
      <c r="B972" s="6">
        <v>1971</v>
      </c>
      <c r="C972" s="6"/>
      <c r="D972" s="6" t="s">
        <v>82</v>
      </c>
      <c r="E972" s="6" t="s">
        <v>2</v>
      </c>
      <c r="F972" s="6">
        <v>1</v>
      </c>
      <c r="G972" s="6">
        <v>5</v>
      </c>
      <c r="H972" s="6">
        <v>5</v>
      </c>
      <c r="I972" s="6"/>
      <c r="J972" s="6"/>
      <c r="K972" s="6"/>
      <c r="L972" s="6" t="str">
        <f t="shared" si="105"/>
        <v>Ale</v>
      </c>
      <c r="M972" s="6" t="str">
        <f t="shared" si="106"/>
        <v>A Clockwork Orange (McDowell, Magee)</v>
      </c>
      <c r="N972" s="9">
        <f t="shared" si="107"/>
        <v>5</v>
      </c>
      <c r="P972" t="str">
        <f t="shared" si="108"/>
        <v>"Ale";"A Clockwork Orange";"5"</v>
      </c>
      <c r="U972" t="str">
        <f t="shared" si="109"/>
        <v>Ale</v>
      </c>
      <c r="V972" t="str">
        <f t="shared" si="110"/>
        <v>A Clockwork Orange</v>
      </c>
      <c r="W972">
        <f t="shared" si="111"/>
        <v>1</v>
      </c>
    </row>
    <row r="973" spans="1:23" x14ac:dyDescent="0.2">
      <c r="A973" s="6" t="s">
        <v>10</v>
      </c>
      <c r="B973" s="6">
        <v>2018</v>
      </c>
      <c r="C973" s="6"/>
      <c r="D973" s="6" t="s">
        <v>82</v>
      </c>
      <c r="E973" s="6" t="s">
        <v>2</v>
      </c>
      <c r="F973" s="6">
        <v>1</v>
      </c>
      <c r="G973" s="6">
        <v>4.5</v>
      </c>
      <c r="H973" s="6">
        <v>4.5</v>
      </c>
      <c r="I973" s="6"/>
      <c r="J973" s="6"/>
      <c r="K973" s="6"/>
      <c r="L973" s="6" t="str">
        <f t="shared" si="105"/>
        <v>Ale</v>
      </c>
      <c r="M973" s="6" t="str">
        <f t="shared" si="106"/>
        <v>A star is born (Gaga, Cooper)</v>
      </c>
      <c r="N973" s="9">
        <f t="shared" si="107"/>
        <v>4.5</v>
      </c>
      <c r="P973" t="str">
        <f t="shared" si="108"/>
        <v>"Ale";"A star is born";"4.5"</v>
      </c>
      <c r="U973" t="str">
        <f t="shared" si="109"/>
        <v>Ale</v>
      </c>
      <c r="V973" t="str">
        <f t="shared" si="110"/>
        <v>A star is born</v>
      </c>
      <c r="W973">
        <f t="shared" si="111"/>
        <v>1</v>
      </c>
    </row>
    <row r="974" spans="1:23" x14ac:dyDescent="0.2">
      <c r="A974" s="6" t="s">
        <v>11</v>
      </c>
      <c r="B974" s="6">
        <v>2005</v>
      </c>
      <c r="C974" s="6"/>
      <c r="D974" s="6" t="s">
        <v>82</v>
      </c>
      <c r="E974" s="6" t="s">
        <v>3</v>
      </c>
      <c r="F974" s="6">
        <v>0</v>
      </c>
      <c r="G974" s="6"/>
      <c r="H974" s="6">
        <v>0</v>
      </c>
      <c r="I974" s="6"/>
      <c r="J974" s="6"/>
      <c r="K974" s="6"/>
      <c r="L974" s="6" t="str">
        <f t="shared" si="105"/>
        <v>Ale</v>
      </c>
      <c r="M974" s="6" t="str">
        <f t="shared" si="106"/>
        <v>Aeon Flux (Theron, Csokas)</v>
      </c>
      <c r="N974" s="9">
        <f t="shared" si="107"/>
        <v>0</v>
      </c>
      <c r="P974" t="str">
        <f t="shared" si="108"/>
        <v>"Ale";"Aeon Flux";"0"</v>
      </c>
      <c r="U974" t="str">
        <f t="shared" si="109"/>
        <v>Ale</v>
      </c>
      <c r="V974" t="str">
        <f t="shared" si="110"/>
        <v>Aeon Flux</v>
      </c>
      <c r="W974">
        <f t="shared" si="111"/>
        <v>0</v>
      </c>
    </row>
    <row r="975" spans="1:23" x14ac:dyDescent="0.2">
      <c r="A975" s="6" t="s">
        <v>12</v>
      </c>
      <c r="B975" s="6">
        <v>1951</v>
      </c>
      <c r="C975" s="6"/>
      <c r="D975" s="6" t="s">
        <v>82</v>
      </c>
      <c r="E975" s="6" t="s">
        <v>3</v>
      </c>
      <c r="F975" s="6">
        <v>0</v>
      </c>
      <c r="G975" s="6"/>
      <c r="H975" s="6">
        <v>0</v>
      </c>
      <c r="I975" s="6"/>
      <c r="J975" s="6"/>
      <c r="K975" s="6"/>
      <c r="L975" s="6" t="str">
        <f t="shared" si="105"/>
        <v>Ale</v>
      </c>
      <c r="M975" s="6" t="str">
        <f t="shared" si="106"/>
        <v>African Queen (Bogart, Hepburn)</v>
      </c>
      <c r="N975" s="9">
        <f t="shared" si="107"/>
        <v>0</v>
      </c>
      <c r="P975" t="str">
        <f t="shared" si="108"/>
        <v>"Ale";"African Queen";"0"</v>
      </c>
      <c r="U975" t="str">
        <f t="shared" si="109"/>
        <v>Ale</v>
      </c>
      <c r="V975" t="str">
        <f t="shared" si="110"/>
        <v>African Queen</v>
      </c>
      <c r="W975">
        <f t="shared" si="111"/>
        <v>0</v>
      </c>
    </row>
    <row r="976" spans="1:23" x14ac:dyDescent="0.2">
      <c r="A976" s="6" t="s">
        <v>13</v>
      </c>
      <c r="B976" s="6">
        <v>1979</v>
      </c>
      <c r="C976" s="6"/>
      <c r="D976" s="6" t="s">
        <v>82</v>
      </c>
      <c r="E976" s="6" t="s">
        <v>2</v>
      </c>
      <c r="F976" s="6">
        <v>1</v>
      </c>
      <c r="G976" s="6">
        <v>4</v>
      </c>
      <c r="H976" s="6">
        <v>4</v>
      </c>
      <c r="I976" s="6"/>
      <c r="J976" s="6"/>
      <c r="K976" s="6"/>
      <c r="L976" s="6" t="str">
        <f t="shared" si="105"/>
        <v>Ale</v>
      </c>
      <c r="M976" s="6" t="str">
        <f t="shared" si="106"/>
        <v>Alien (Weaver, Skerritt)</v>
      </c>
      <c r="N976" s="9">
        <f t="shared" si="107"/>
        <v>4</v>
      </c>
      <c r="P976" t="str">
        <f t="shared" si="108"/>
        <v>"Ale";"Alien";"4"</v>
      </c>
      <c r="U976" t="str">
        <f t="shared" si="109"/>
        <v>Ale</v>
      </c>
      <c r="V976" t="str">
        <f t="shared" si="110"/>
        <v>Alien</v>
      </c>
      <c r="W976">
        <f t="shared" si="111"/>
        <v>1</v>
      </c>
    </row>
    <row r="977" spans="1:23" x14ac:dyDescent="0.2">
      <c r="A977" s="6" t="s">
        <v>14</v>
      </c>
      <c r="B977" s="6">
        <v>1960</v>
      </c>
      <c r="C977" s="6"/>
      <c r="D977" s="6" t="s">
        <v>82</v>
      </c>
      <c r="E977" s="6" t="s">
        <v>3</v>
      </c>
      <c r="F977" s="6">
        <v>0</v>
      </c>
      <c r="G977" s="6"/>
      <c r="H977" s="6">
        <v>0</v>
      </c>
      <c r="I977" s="6"/>
      <c r="J977" s="6"/>
      <c r="K977" s="6"/>
      <c r="L977" s="6" t="str">
        <f t="shared" si="105"/>
        <v>Ale</v>
      </c>
      <c r="M977" s="6" t="str">
        <f t="shared" si="106"/>
        <v>Apartment (Lemmon, MacLaine)</v>
      </c>
      <c r="N977" s="9">
        <f t="shared" si="107"/>
        <v>0</v>
      </c>
      <c r="P977" t="str">
        <f t="shared" si="108"/>
        <v>"Ale";"Apartment";"0"</v>
      </c>
      <c r="U977" t="str">
        <f t="shared" si="109"/>
        <v>Ale</v>
      </c>
      <c r="V977" t="str">
        <f t="shared" si="110"/>
        <v>Apartment</v>
      </c>
      <c r="W977">
        <f t="shared" si="111"/>
        <v>0</v>
      </c>
    </row>
    <row r="978" spans="1:23" x14ac:dyDescent="0.2">
      <c r="A978" s="6" t="s">
        <v>15</v>
      </c>
      <c r="B978" s="6">
        <v>1979</v>
      </c>
      <c r="C978" s="6"/>
      <c r="D978" s="6" t="s">
        <v>82</v>
      </c>
      <c r="E978" s="6" t="s">
        <v>2</v>
      </c>
      <c r="F978" s="6">
        <v>1</v>
      </c>
      <c r="G978" s="6">
        <v>3</v>
      </c>
      <c r="H978" s="6">
        <v>3</v>
      </c>
      <c r="I978" s="6"/>
      <c r="J978" s="6"/>
      <c r="K978" s="6"/>
      <c r="L978" s="6" t="str">
        <f t="shared" si="105"/>
        <v>Ale</v>
      </c>
      <c r="M978" s="6" t="str">
        <f t="shared" si="106"/>
        <v>Apocalypse Now (Sheen, Brando)</v>
      </c>
      <c r="N978" s="9">
        <f t="shared" si="107"/>
        <v>3</v>
      </c>
      <c r="P978" t="str">
        <f t="shared" si="108"/>
        <v>"Ale";"Apocalypse Now";"3"</v>
      </c>
      <c r="U978" t="str">
        <f t="shared" si="109"/>
        <v>Ale</v>
      </c>
      <c r="V978" t="str">
        <f t="shared" si="110"/>
        <v>Apocalypse Now</v>
      </c>
      <c r="W978">
        <f t="shared" si="111"/>
        <v>1</v>
      </c>
    </row>
    <row r="979" spans="1:23" x14ac:dyDescent="0.2">
      <c r="A979" s="6" t="s">
        <v>16</v>
      </c>
      <c r="B979" s="6">
        <v>1956</v>
      </c>
      <c r="C979" s="6"/>
      <c r="D979" s="6" t="s">
        <v>82</v>
      </c>
      <c r="E979" s="6" t="s">
        <v>3</v>
      </c>
      <c r="F979" s="6">
        <v>0</v>
      </c>
      <c r="G979" s="6"/>
      <c r="H979" s="6">
        <v>0</v>
      </c>
      <c r="I979" s="6"/>
      <c r="J979" s="6"/>
      <c r="K979" s="6"/>
      <c r="L979" s="6" t="str">
        <f t="shared" si="105"/>
        <v>Ale</v>
      </c>
      <c r="M979" s="6" t="str">
        <f t="shared" si="106"/>
        <v>Around The World In 80 Days (Niven, Cantinflas)</v>
      </c>
      <c r="N979" s="9">
        <f t="shared" si="107"/>
        <v>0</v>
      </c>
      <c r="P979" t="str">
        <f t="shared" si="108"/>
        <v>"Ale";"Around The World In 80 Days";"0"</v>
      </c>
      <c r="U979" t="str">
        <f t="shared" si="109"/>
        <v>Ale</v>
      </c>
      <c r="V979" t="str">
        <f t="shared" si="110"/>
        <v>Around The World In 80 Days</v>
      </c>
      <c r="W979">
        <f t="shared" si="111"/>
        <v>0</v>
      </c>
    </row>
    <row r="980" spans="1:23" x14ac:dyDescent="0.2">
      <c r="A980" s="6" t="s">
        <v>17</v>
      </c>
      <c r="B980" s="6">
        <v>2009</v>
      </c>
      <c r="C980" s="6"/>
      <c r="D980" s="6" t="s">
        <v>82</v>
      </c>
      <c r="E980" s="6" t="s">
        <v>2</v>
      </c>
      <c r="F980" s="6">
        <v>1</v>
      </c>
      <c r="G980" s="6">
        <v>2</v>
      </c>
      <c r="H980" s="6">
        <v>2</v>
      </c>
      <c r="I980" s="6"/>
      <c r="J980" s="6"/>
      <c r="K980" s="6"/>
      <c r="L980" s="6" t="str">
        <f t="shared" si="105"/>
        <v>Ale</v>
      </c>
      <c r="M980" s="6" t="str">
        <f t="shared" si="106"/>
        <v>Avatar (Worthington, Saldana)</v>
      </c>
      <c r="N980" s="9">
        <f t="shared" si="107"/>
        <v>2</v>
      </c>
      <c r="P980" t="str">
        <f t="shared" si="108"/>
        <v>"Ale";"Avatar";"2"</v>
      </c>
      <c r="U980" t="str">
        <f t="shared" si="109"/>
        <v>Ale</v>
      </c>
      <c r="V980" t="str">
        <f t="shared" si="110"/>
        <v>Avatar</v>
      </c>
      <c r="W980">
        <f t="shared" si="111"/>
        <v>1</v>
      </c>
    </row>
    <row r="981" spans="1:23" x14ac:dyDescent="0.2">
      <c r="A981" s="6" t="s">
        <v>18</v>
      </c>
      <c r="B981" s="6">
        <v>1989</v>
      </c>
      <c r="C981" s="6"/>
      <c r="D981" s="6" t="s">
        <v>82</v>
      </c>
      <c r="E981" s="6" t="s">
        <v>2</v>
      </c>
      <c r="F981" s="6">
        <v>1</v>
      </c>
      <c r="G981" s="6">
        <v>2</v>
      </c>
      <c r="H981" s="6">
        <v>2</v>
      </c>
      <c r="I981" s="6"/>
      <c r="J981" s="6"/>
      <c r="K981" s="6"/>
      <c r="L981" s="6" t="str">
        <f t="shared" si="105"/>
        <v>Ale</v>
      </c>
      <c r="M981" s="6" t="str">
        <f t="shared" si="106"/>
        <v>Batman (Keaton, Nicholson, Basinger)</v>
      </c>
      <c r="N981" s="9">
        <f t="shared" si="107"/>
        <v>2</v>
      </c>
      <c r="P981" t="str">
        <f t="shared" si="108"/>
        <v>"Ale";"Batman";"2"</v>
      </c>
      <c r="U981" t="str">
        <f t="shared" si="109"/>
        <v>Ale</v>
      </c>
      <c r="V981" t="str">
        <f t="shared" si="110"/>
        <v>Batman</v>
      </c>
      <c r="W981">
        <f t="shared" si="111"/>
        <v>1</v>
      </c>
    </row>
    <row r="982" spans="1:23" x14ac:dyDescent="0.2">
      <c r="A982" s="6" t="s">
        <v>19</v>
      </c>
      <c r="B982" s="6">
        <v>1982</v>
      </c>
      <c r="C982" s="6"/>
      <c r="D982" s="6" t="s">
        <v>82</v>
      </c>
      <c r="E982" s="6" t="s">
        <v>2</v>
      </c>
      <c r="F982" s="6">
        <v>1</v>
      </c>
      <c r="G982" s="6">
        <v>4.7</v>
      </c>
      <c r="H982" s="6">
        <v>4.7</v>
      </c>
      <c r="I982" s="6"/>
      <c r="J982" s="6"/>
      <c r="K982" s="6"/>
      <c r="L982" s="6" t="str">
        <f t="shared" si="105"/>
        <v>Ale</v>
      </c>
      <c r="M982" s="6" t="str">
        <f t="shared" si="106"/>
        <v>Blade Runner (Ford, Hauer)</v>
      </c>
      <c r="N982" s="9">
        <f t="shared" si="107"/>
        <v>4.7</v>
      </c>
      <c r="P982" t="str">
        <f t="shared" si="108"/>
        <v>"Ale";"Blade Runner";"4.7"</v>
      </c>
      <c r="U982" t="str">
        <f t="shared" si="109"/>
        <v>Ale</v>
      </c>
      <c r="V982" t="str">
        <f t="shared" si="110"/>
        <v>Blade Runner</v>
      </c>
      <c r="W982">
        <f t="shared" si="111"/>
        <v>1</v>
      </c>
    </row>
    <row r="983" spans="1:23" x14ac:dyDescent="0.2">
      <c r="A983" s="6" t="s">
        <v>20</v>
      </c>
      <c r="B983" s="6">
        <v>2018</v>
      </c>
      <c r="C983" s="6"/>
      <c r="D983" s="6" t="s">
        <v>82</v>
      </c>
      <c r="E983" s="6" t="s">
        <v>2</v>
      </c>
      <c r="F983" s="6">
        <v>1</v>
      </c>
      <c r="G983" s="6">
        <v>4.5</v>
      </c>
      <c r="H983" s="6">
        <v>4.5</v>
      </c>
      <c r="I983" s="6"/>
      <c r="J983" s="6"/>
      <c r="K983" s="6"/>
      <c r="L983" s="6" t="str">
        <f t="shared" si="105"/>
        <v>Ale</v>
      </c>
      <c r="M983" s="6" t="str">
        <f t="shared" si="106"/>
        <v>Bohemian Rhapsody (Malek, Boynton)</v>
      </c>
      <c r="N983" s="9">
        <f t="shared" si="107"/>
        <v>4.5</v>
      </c>
      <c r="P983" t="str">
        <f t="shared" si="108"/>
        <v>"Ale";"Bohemian Rhapsody";"4.5"</v>
      </c>
      <c r="U983" t="str">
        <f t="shared" si="109"/>
        <v>Ale</v>
      </c>
      <c r="V983" t="str">
        <f t="shared" si="110"/>
        <v>Bohemian Rhapsody</v>
      </c>
      <c r="W983">
        <f t="shared" si="111"/>
        <v>1</v>
      </c>
    </row>
    <row r="984" spans="1:23" x14ac:dyDescent="0.2">
      <c r="A984" s="6" t="s">
        <v>21</v>
      </c>
      <c r="B984" s="6">
        <v>2011</v>
      </c>
      <c r="C984" s="6"/>
      <c r="D984" s="6" t="s">
        <v>82</v>
      </c>
      <c r="E984" s="6" t="s">
        <v>3</v>
      </c>
      <c r="F984" s="6">
        <v>0</v>
      </c>
      <c r="G984" s="6"/>
      <c r="H984" s="6">
        <v>0</v>
      </c>
      <c r="I984" s="6"/>
      <c r="J984" s="6"/>
      <c r="K984" s="6"/>
      <c r="L984" s="6" t="str">
        <f t="shared" si="105"/>
        <v>Ale</v>
      </c>
      <c r="M984" s="6" t="str">
        <f t="shared" si="106"/>
        <v>Captain America (Evans, Waeving)</v>
      </c>
      <c r="N984" s="9">
        <f t="shared" si="107"/>
        <v>0</v>
      </c>
      <c r="P984" t="str">
        <f t="shared" si="108"/>
        <v>"Ale";"Captain America";"0"</v>
      </c>
      <c r="U984" t="str">
        <f t="shared" si="109"/>
        <v>Ale</v>
      </c>
      <c r="V984" t="str">
        <f t="shared" si="110"/>
        <v>Captain America</v>
      </c>
      <c r="W984">
        <f t="shared" si="111"/>
        <v>0</v>
      </c>
    </row>
    <row r="985" spans="1:23" x14ac:dyDescent="0.2">
      <c r="A985" s="6" t="s">
        <v>22</v>
      </c>
      <c r="B985" s="6">
        <v>2000</v>
      </c>
      <c r="C985" s="6"/>
      <c r="D985" s="6" t="s">
        <v>82</v>
      </c>
      <c r="E985" s="6" t="s">
        <v>2</v>
      </c>
      <c r="F985" s="6">
        <v>1</v>
      </c>
      <c r="G985" s="6">
        <v>1</v>
      </c>
      <c r="H985" s="6">
        <v>1</v>
      </c>
      <c r="I985" s="6"/>
      <c r="J985" s="6"/>
      <c r="K985" s="6"/>
      <c r="L985" s="6" t="str">
        <f t="shared" si="105"/>
        <v>Ale</v>
      </c>
      <c r="M985" s="6" t="str">
        <f t="shared" si="106"/>
        <v>Cast Away (Hanks, Hunt)</v>
      </c>
      <c r="N985" s="9">
        <f t="shared" si="107"/>
        <v>1</v>
      </c>
      <c r="P985" t="str">
        <f t="shared" si="108"/>
        <v>"Ale";"Cast Away";"1"</v>
      </c>
      <c r="U985" t="str">
        <f t="shared" si="109"/>
        <v>Ale</v>
      </c>
      <c r="V985" t="str">
        <f t="shared" si="110"/>
        <v>Cast Away</v>
      </c>
      <c r="W985">
        <f t="shared" si="111"/>
        <v>1</v>
      </c>
    </row>
    <row r="986" spans="1:23" x14ac:dyDescent="0.2">
      <c r="A986" s="6" t="s">
        <v>23</v>
      </c>
      <c r="B986" s="6">
        <v>1958</v>
      </c>
      <c r="C986" s="6"/>
      <c r="D986" s="6" t="s">
        <v>82</v>
      </c>
      <c r="E986" s="6" t="s">
        <v>3</v>
      </c>
      <c r="F986" s="6">
        <v>0</v>
      </c>
      <c r="G986" s="6"/>
      <c r="H986" s="6">
        <v>0</v>
      </c>
      <c r="I986" s="6"/>
      <c r="J986" s="6"/>
      <c r="K986" s="6"/>
      <c r="L986" s="6" t="str">
        <f t="shared" si="105"/>
        <v>Ale</v>
      </c>
      <c r="M986" s="6" t="str">
        <f t="shared" si="106"/>
        <v>Cat On Hot Tin Roof (Taylor, Newman)</v>
      </c>
      <c r="N986" s="9">
        <f t="shared" si="107"/>
        <v>0</v>
      </c>
      <c r="P986" t="str">
        <f t="shared" si="108"/>
        <v>"Ale";"Cat On Hot Tin Roof";"0"</v>
      </c>
      <c r="U986" t="str">
        <f t="shared" si="109"/>
        <v>Ale</v>
      </c>
      <c r="V986" t="str">
        <f t="shared" si="110"/>
        <v>Cat On Hot Tin Roof</v>
      </c>
      <c r="W986">
        <f t="shared" si="111"/>
        <v>0</v>
      </c>
    </row>
    <row r="987" spans="1:23" x14ac:dyDescent="0.2">
      <c r="A987" s="6" t="s">
        <v>24</v>
      </c>
      <c r="B987" s="6">
        <v>1963</v>
      </c>
      <c r="C987" s="6"/>
      <c r="D987" s="6" t="s">
        <v>82</v>
      </c>
      <c r="E987" s="6" t="s">
        <v>3</v>
      </c>
      <c r="F987" s="6">
        <v>0</v>
      </c>
      <c r="G987" s="6"/>
      <c r="H987" s="6">
        <v>0</v>
      </c>
      <c r="I987" s="6"/>
      <c r="J987" s="6"/>
      <c r="K987" s="6"/>
      <c r="L987" s="6" t="str">
        <f t="shared" si="105"/>
        <v>Ale</v>
      </c>
      <c r="M987" s="6" t="str">
        <f t="shared" si="106"/>
        <v>Charade (Grant, Hepburn)</v>
      </c>
      <c r="N987" s="9">
        <f t="shared" si="107"/>
        <v>0</v>
      </c>
      <c r="P987" t="str">
        <f t="shared" si="108"/>
        <v>"Ale";"Charade";"0"</v>
      </c>
      <c r="U987" t="str">
        <f t="shared" si="109"/>
        <v>Ale</v>
      </c>
      <c r="V987" t="str">
        <f t="shared" si="110"/>
        <v>Charade</v>
      </c>
      <c r="W987">
        <f t="shared" si="111"/>
        <v>0</v>
      </c>
    </row>
    <row r="988" spans="1:23" x14ac:dyDescent="0.2">
      <c r="A988" s="6" t="s">
        <v>25</v>
      </c>
      <c r="B988" s="6">
        <v>2000</v>
      </c>
      <c r="C988" s="6"/>
      <c r="D988" s="6" t="s">
        <v>82</v>
      </c>
      <c r="E988" s="6" t="s">
        <v>3</v>
      </c>
      <c r="F988" s="6">
        <v>0</v>
      </c>
      <c r="G988" s="6"/>
      <c r="H988" s="6">
        <v>0</v>
      </c>
      <c r="I988" s="6"/>
      <c r="J988" s="6"/>
      <c r="K988" s="6"/>
      <c r="L988" s="6" t="str">
        <f t="shared" si="105"/>
        <v>Ale</v>
      </c>
      <c r="M988" s="6" t="str">
        <f t="shared" si="106"/>
        <v>Charlies Angels (Diaz, Barrymore, Liu)</v>
      </c>
      <c r="N988" s="9">
        <f t="shared" si="107"/>
        <v>0</v>
      </c>
      <c r="P988" t="str">
        <f t="shared" si="108"/>
        <v>"Ale";"Charlies Angels";"0"</v>
      </c>
      <c r="U988" t="str">
        <f t="shared" si="109"/>
        <v>Ale</v>
      </c>
      <c r="V988" t="str">
        <f t="shared" si="110"/>
        <v>Charlies Angels</v>
      </c>
      <c r="W988">
        <f t="shared" si="111"/>
        <v>0</v>
      </c>
    </row>
    <row r="989" spans="1:23" x14ac:dyDescent="0.2">
      <c r="A989" s="6" t="s">
        <v>26</v>
      </c>
      <c r="B989" s="6">
        <v>1974</v>
      </c>
      <c r="C989" s="6"/>
      <c r="D989" s="6" t="s">
        <v>82</v>
      </c>
      <c r="E989" s="6" t="s">
        <v>2</v>
      </c>
      <c r="F989" s="6">
        <v>1</v>
      </c>
      <c r="G989" s="6">
        <v>4.5999999999999996</v>
      </c>
      <c r="H989" s="6">
        <v>4.5999999999999996</v>
      </c>
      <c r="I989" s="6"/>
      <c r="J989" s="6"/>
      <c r="K989" s="6"/>
      <c r="L989" s="6" t="str">
        <f t="shared" si="105"/>
        <v>Ale</v>
      </c>
      <c r="M989" s="6" t="str">
        <f t="shared" si="106"/>
        <v>Chinatown (Nicholson, Dunaway)</v>
      </c>
      <c r="N989" s="9">
        <f t="shared" si="107"/>
        <v>4.5999999999999996</v>
      </c>
      <c r="P989" t="str">
        <f t="shared" si="108"/>
        <v>"Ale";"Chinatown";"4.6"</v>
      </c>
      <c r="U989" t="str">
        <f t="shared" si="109"/>
        <v>Ale</v>
      </c>
      <c r="V989" t="str">
        <f t="shared" si="110"/>
        <v>Chinatown</v>
      </c>
      <c r="W989">
        <f t="shared" si="111"/>
        <v>1</v>
      </c>
    </row>
    <row r="990" spans="1:23" x14ac:dyDescent="0.2">
      <c r="A990" s="6" t="s">
        <v>27</v>
      </c>
      <c r="B990" s="6">
        <v>1986</v>
      </c>
      <c r="C990" s="6"/>
      <c r="D990" s="6" t="s">
        <v>82</v>
      </c>
      <c r="E990" s="6" t="s">
        <v>3</v>
      </c>
      <c r="F990" s="6">
        <v>0</v>
      </c>
      <c r="G990" s="6"/>
      <c r="H990" s="6">
        <v>0</v>
      </c>
      <c r="I990" s="6"/>
      <c r="J990" s="6"/>
      <c r="K990" s="6"/>
      <c r="L990" s="6" t="str">
        <f t="shared" si="105"/>
        <v>Ale</v>
      </c>
      <c r="M990" s="6" t="str">
        <f t="shared" si="106"/>
        <v>Clockwise (Gleese, Leatherbarrow)</v>
      </c>
      <c r="N990" s="9">
        <f t="shared" si="107"/>
        <v>0</v>
      </c>
      <c r="P990" t="str">
        <f t="shared" si="108"/>
        <v>"Ale";"Clockwise";"0"</v>
      </c>
      <c r="U990" t="str">
        <f t="shared" si="109"/>
        <v>Ale</v>
      </c>
      <c r="V990" t="str">
        <f t="shared" si="110"/>
        <v>Clockwise</v>
      </c>
      <c r="W990">
        <f t="shared" si="111"/>
        <v>0</v>
      </c>
    </row>
    <row r="991" spans="1:23" x14ac:dyDescent="0.2">
      <c r="A991" s="6" t="s">
        <v>28</v>
      </c>
      <c r="B991" s="6">
        <v>2011</v>
      </c>
      <c r="C991" s="6"/>
      <c r="D991" s="6" t="s">
        <v>82</v>
      </c>
      <c r="E991" s="6" t="s">
        <v>2</v>
      </c>
      <c r="F991" s="6">
        <v>1</v>
      </c>
      <c r="G991" s="6"/>
      <c r="H991" s="6">
        <v>0</v>
      </c>
      <c r="I991" s="6"/>
      <c r="J991" s="6"/>
      <c r="K991" s="6"/>
      <c r="L991" s="6" t="str">
        <f t="shared" si="105"/>
        <v>Ale</v>
      </c>
      <c r="M991" s="6" t="str">
        <f t="shared" si="106"/>
        <v>Colombiana (Saldana, Molla)</v>
      </c>
      <c r="N991" s="9">
        <f t="shared" si="107"/>
        <v>0</v>
      </c>
      <c r="P991" t="str">
        <f t="shared" si="108"/>
        <v>"Ale";"Colombiana";"0"</v>
      </c>
      <c r="U991" t="str">
        <f t="shared" si="109"/>
        <v>Ale</v>
      </c>
      <c r="V991" t="str">
        <f t="shared" si="110"/>
        <v>Colombiana</v>
      </c>
      <c r="W991">
        <f t="shared" si="111"/>
        <v>1</v>
      </c>
    </row>
    <row r="992" spans="1:23" x14ac:dyDescent="0.2">
      <c r="A992" s="6" t="s">
        <v>29</v>
      </c>
      <c r="B992" s="6">
        <v>1962</v>
      </c>
      <c r="C992" s="6"/>
      <c r="D992" s="6" t="s">
        <v>82</v>
      </c>
      <c r="E992" s="6" t="s">
        <v>3</v>
      </c>
      <c r="F992" s="6">
        <v>0</v>
      </c>
      <c r="G992" s="6"/>
      <c r="H992" s="6">
        <v>0</v>
      </c>
      <c r="I992" s="6"/>
      <c r="J992" s="6"/>
      <c r="K992" s="6"/>
      <c r="L992" s="6" t="str">
        <f t="shared" si="105"/>
        <v>Ale</v>
      </c>
      <c r="M992" s="6" t="str">
        <f t="shared" si="106"/>
        <v>Doctor No (Connery, Andress)</v>
      </c>
      <c r="N992" s="9">
        <f t="shared" si="107"/>
        <v>0</v>
      </c>
      <c r="P992" t="str">
        <f t="shared" si="108"/>
        <v>"Ale";"Doctor No";"0"</v>
      </c>
      <c r="U992" t="str">
        <f t="shared" si="109"/>
        <v>Ale</v>
      </c>
      <c r="V992" t="str">
        <f t="shared" si="110"/>
        <v>Doctor No</v>
      </c>
      <c r="W992">
        <f t="shared" si="111"/>
        <v>0</v>
      </c>
    </row>
    <row r="993" spans="1:23" x14ac:dyDescent="0.2">
      <c r="A993" s="6" t="s">
        <v>30</v>
      </c>
      <c r="B993" s="6">
        <v>1965</v>
      </c>
      <c r="C993" s="6"/>
      <c r="D993" s="6" t="s">
        <v>82</v>
      </c>
      <c r="E993" s="6" t="s">
        <v>2</v>
      </c>
      <c r="F993" s="6">
        <v>1</v>
      </c>
      <c r="G993" s="6">
        <v>4</v>
      </c>
      <c r="H993" s="6">
        <v>4</v>
      </c>
      <c r="I993" s="6"/>
      <c r="J993" s="6"/>
      <c r="K993" s="6"/>
      <c r="L993" s="6" t="str">
        <f t="shared" si="105"/>
        <v>Ale</v>
      </c>
      <c r="M993" s="6" t="str">
        <f t="shared" si="106"/>
        <v>Doctor Zhiwago (Sharif, Christie)</v>
      </c>
      <c r="N993" s="9">
        <f t="shared" si="107"/>
        <v>4</v>
      </c>
      <c r="P993" t="str">
        <f t="shared" si="108"/>
        <v>"Ale";"Doctor Zhiwago";"4"</v>
      </c>
      <c r="U993" t="str">
        <f t="shared" si="109"/>
        <v>Ale</v>
      </c>
      <c r="V993" t="str">
        <f t="shared" si="110"/>
        <v>Doctor Zhiwago</v>
      </c>
      <c r="W993">
        <f t="shared" si="111"/>
        <v>1</v>
      </c>
    </row>
    <row r="994" spans="1:23" x14ac:dyDescent="0.2">
      <c r="A994" s="6" t="s">
        <v>31</v>
      </c>
      <c r="B994" s="6">
        <v>1964</v>
      </c>
      <c r="C994" s="6"/>
      <c r="D994" s="6" t="s">
        <v>82</v>
      </c>
      <c r="E994" s="6" t="s">
        <v>2</v>
      </c>
      <c r="F994" s="6">
        <v>1</v>
      </c>
      <c r="G994" s="6">
        <v>4</v>
      </c>
      <c r="H994" s="6">
        <v>4</v>
      </c>
      <c r="I994" s="6"/>
      <c r="J994" s="6"/>
      <c r="K994" s="6"/>
      <c r="L994" s="6" t="str">
        <f t="shared" si="105"/>
        <v>Ale</v>
      </c>
      <c r="M994" s="6" t="str">
        <f t="shared" si="106"/>
        <v>Dr. Strangelove… (Sellers, Scott)</v>
      </c>
      <c r="N994" s="9">
        <f t="shared" si="107"/>
        <v>4</v>
      </c>
      <c r="P994" t="str">
        <f t="shared" si="108"/>
        <v>"Ale";"Dr. Strangelove…";"4"</v>
      </c>
      <c r="U994" t="str">
        <f t="shared" si="109"/>
        <v>Ale</v>
      </c>
      <c r="V994" t="str">
        <f t="shared" si="110"/>
        <v>Dr. Strangelove…</v>
      </c>
      <c r="W994">
        <f t="shared" si="111"/>
        <v>1</v>
      </c>
    </row>
    <row r="995" spans="1:23" x14ac:dyDescent="0.2">
      <c r="A995" s="6" t="s">
        <v>32</v>
      </c>
      <c r="B995" s="6">
        <v>2000</v>
      </c>
      <c r="C995" s="6"/>
      <c r="D995" s="6" t="s">
        <v>82</v>
      </c>
      <c r="E995" s="6" t="s">
        <v>3</v>
      </c>
      <c r="F995" s="6">
        <v>0</v>
      </c>
      <c r="G995" s="6"/>
      <c r="H995" s="6">
        <v>0</v>
      </c>
      <c r="I995" s="6"/>
      <c r="J995" s="6"/>
      <c r="K995" s="6"/>
      <c r="L995" s="6" t="str">
        <f t="shared" si="105"/>
        <v>Ale</v>
      </c>
      <c r="M995" s="6" t="str">
        <f t="shared" si="106"/>
        <v>Dr. T and the women (Gere, Hunt)</v>
      </c>
      <c r="N995" s="9">
        <f t="shared" si="107"/>
        <v>0</v>
      </c>
      <c r="P995" t="str">
        <f t="shared" si="108"/>
        <v>"Ale";"Dr. T and the women";"0"</v>
      </c>
      <c r="U995" t="str">
        <f t="shared" si="109"/>
        <v>Ale</v>
      </c>
      <c r="V995" t="str">
        <f t="shared" si="110"/>
        <v>Dr. T and the women</v>
      </c>
      <c r="W995">
        <f t="shared" si="111"/>
        <v>0</v>
      </c>
    </row>
    <row r="996" spans="1:23" x14ac:dyDescent="0.2">
      <c r="A996" s="6" t="s">
        <v>33</v>
      </c>
      <c r="B996" s="6">
        <v>1953</v>
      </c>
      <c r="C996" s="6"/>
      <c r="D996" s="6" t="s">
        <v>82</v>
      </c>
      <c r="E996" s="6" t="s">
        <v>3</v>
      </c>
      <c r="F996" s="6">
        <v>0</v>
      </c>
      <c r="G996" s="6"/>
      <c r="H996" s="6">
        <v>0</v>
      </c>
      <c r="I996" s="6"/>
      <c r="J996" s="6"/>
      <c r="K996" s="6"/>
      <c r="L996" s="6" t="str">
        <f t="shared" si="105"/>
        <v>Ale</v>
      </c>
      <c r="M996" s="6" t="str">
        <f t="shared" si="106"/>
        <v>Gentlemen Prefer Blondes (Monroe, Russell)</v>
      </c>
      <c r="N996" s="9">
        <f t="shared" si="107"/>
        <v>0</v>
      </c>
      <c r="P996" t="str">
        <f t="shared" si="108"/>
        <v>"Ale";"Gentlemen Prefer Blondes";"0"</v>
      </c>
      <c r="U996" t="str">
        <f t="shared" si="109"/>
        <v>Ale</v>
      </c>
      <c r="V996" t="str">
        <f t="shared" si="110"/>
        <v>Gentlemen Prefer Blondes</v>
      </c>
      <c r="W996">
        <f t="shared" si="111"/>
        <v>0</v>
      </c>
    </row>
    <row r="997" spans="1:23" x14ac:dyDescent="0.2">
      <c r="A997" s="6" t="s">
        <v>34</v>
      </c>
      <c r="B997" s="6">
        <v>2014</v>
      </c>
      <c r="C997" s="6"/>
      <c r="D997" s="6" t="s">
        <v>82</v>
      </c>
      <c r="E997" s="6" t="s">
        <v>2</v>
      </c>
      <c r="F997" s="6">
        <v>1</v>
      </c>
      <c r="G997" s="6">
        <v>3.8</v>
      </c>
      <c r="H997" s="6">
        <v>3.8</v>
      </c>
      <c r="I997" s="6"/>
      <c r="J997" s="6"/>
      <c r="K997" s="6"/>
      <c r="L997" s="6" t="str">
        <f t="shared" si="105"/>
        <v>Ale</v>
      </c>
      <c r="M997" s="6" t="str">
        <f t="shared" si="106"/>
        <v>Grand Budapest Hotel (Fiennes, Abraham)</v>
      </c>
      <c r="N997" s="9">
        <f t="shared" si="107"/>
        <v>3.8</v>
      </c>
      <c r="P997" t="str">
        <f t="shared" si="108"/>
        <v>"Ale";"Grand Budapest Hotel";"3.8"</v>
      </c>
      <c r="U997" t="str">
        <f t="shared" si="109"/>
        <v>Ale</v>
      </c>
      <c r="V997" t="str">
        <f t="shared" si="110"/>
        <v>Grand Budapest Hotel</v>
      </c>
      <c r="W997">
        <f t="shared" si="111"/>
        <v>1</v>
      </c>
    </row>
    <row r="998" spans="1:23" x14ac:dyDescent="0.2">
      <c r="A998" s="6" t="s">
        <v>35</v>
      </c>
      <c r="B998" s="6">
        <v>2001</v>
      </c>
      <c r="C998" s="6"/>
      <c r="D998" s="6" t="s">
        <v>82</v>
      </c>
      <c r="E998" s="6" t="s">
        <v>2</v>
      </c>
      <c r="F998" s="6">
        <v>1</v>
      </c>
      <c r="G998" s="6">
        <v>3</v>
      </c>
      <c r="H998" s="6">
        <v>3</v>
      </c>
      <c r="I998" s="6"/>
      <c r="J998" s="6"/>
      <c r="K998" s="6"/>
      <c r="L998" s="6" t="str">
        <f t="shared" si="105"/>
        <v>Ale</v>
      </c>
      <c r="M998" s="6" t="str">
        <f t="shared" si="106"/>
        <v>Harry Potter and the Philosopher's Stone (Radcliff, Harris)</v>
      </c>
      <c r="N998" s="9">
        <f t="shared" si="107"/>
        <v>3</v>
      </c>
      <c r="P998" t="str">
        <f t="shared" si="108"/>
        <v>"Ale";"Harry Potter and the Philosopher's Stone";"3"</v>
      </c>
      <c r="U998" t="str">
        <f t="shared" si="109"/>
        <v>Ale</v>
      </c>
      <c r="V998" t="str">
        <f t="shared" si="110"/>
        <v>Harry Potter and the Philosopher's Stone</v>
      </c>
      <c r="W998">
        <f t="shared" si="111"/>
        <v>1</v>
      </c>
    </row>
    <row r="999" spans="1:23" x14ac:dyDescent="0.2">
      <c r="A999" s="6" t="s">
        <v>36</v>
      </c>
      <c r="B999" s="6">
        <v>1950</v>
      </c>
      <c r="C999" s="6"/>
      <c r="D999" s="6" t="s">
        <v>82</v>
      </c>
      <c r="E999" s="6" t="s">
        <v>3</v>
      </c>
      <c r="F999" s="6">
        <v>0</v>
      </c>
      <c r="G999" s="6"/>
      <c r="H999" s="6">
        <v>0</v>
      </c>
      <c r="I999" s="6"/>
      <c r="J999" s="6"/>
      <c r="K999" s="6"/>
      <c r="L999" s="6" t="str">
        <f t="shared" si="105"/>
        <v>Ale</v>
      </c>
      <c r="M999" s="6" t="str">
        <f t="shared" si="106"/>
        <v>Harvey (Stewart, Hull)</v>
      </c>
      <c r="N999" s="9">
        <f t="shared" si="107"/>
        <v>0</v>
      </c>
      <c r="P999" t="str">
        <f t="shared" si="108"/>
        <v>"Ale";"Harvey";"0"</v>
      </c>
      <c r="U999" t="str">
        <f t="shared" si="109"/>
        <v>Ale</v>
      </c>
      <c r="V999" t="str">
        <f t="shared" si="110"/>
        <v>Harvey</v>
      </c>
      <c r="W999">
        <f t="shared" si="111"/>
        <v>0</v>
      </c>
    </row>
    <row r="1000" spans="1:23" x14ac:dyDescent="0.2">
      <c r="A1000" s="6" t="s">
        <v>37</v>
      </c>
      <c r="B1000" s="6">
        <v>1962</v>
      </c>
      <c r="C1000" s="6"/>
      <c r="D1000" s="6" t="s">
        <v>82</v>
      </c>
      <c r="E1000" s="6" t="s">
        <v>3</v>
      </c>
      <c r="F1000" s="6">
        <v>0</v>
      </c>
      <c r="G1000" s="6"/>
      <c r="H1000" s="6">
        <v>0</v>
      </c>
      <c r="I1000" s="6"/>
      <c r="J1000" s="6"/>
      <c r="K1000" s="6"/>
      <c r="L1000" s="6" t="str">
        <f t="shared" si="105"/>
        <v>Ale</v>
      </c>
      <c r="M1000" s="6" t="str">
        <f t="shared" si="106"/>
        <v>Hatari! (Wayne, Martinelli)</v>
      </c>
      <c r="N1000" s="9">
        <f t="shared" si="107"/>
        <v>0</v>
      </c>
      <c r="P1000" t="str">
        <f t="shared" si="108"/>
        <v>"Ale";"Hatari!";"0"</v>
      </c>
      <c r="U1000" t="str">
        <f t="shared" si="109"/>
        <v>Ale</v>
      </c>
      <c r="V1000" t="str">
        <f t="shared" si="110"/>
        <v>Hatari!</v>
      </c>
      <c r="W1000">
        <f t="shared" si="111"/>
        <v>0</v>
      </c>
    </row>
    <row r="1001" spans="1:23" x14ac:dyDescent="0.2">
      <c r="A1001" s="6" t="s">
        <v>38</v>
      </c>
      <c r="B1001" s="6">
        <v>1990</v>
      </c>
      <c r="C1001" s="6"/>
      <c r="D1001" s="6" t="s">
        <v>82</v>
      </c>
      <c r="E1001" s="6" t="s">
        <v>2</v>
      </c>
      <c r="F1001" s="6">
        <v>1</v>
      </c>
      <c r="G1001" s="6">
        <v>1.8</v>
      </c>
      <c r="H1001" s="6">
        <v>1.8</v>
      </c>
      <c r="I1001" s="6"/>
      <c r="J1001" s="6"/>
      <c r="K1001" s="6"/>
      <c r="L1001" s="6" t="str">
        <f t="shared" si="105"/>
        <v>Ale</v>
      </c>
      <c r="M1001" s="6" t="str">
        <f t="shared" si="106"/>
        <v>Home alone (Culkin, Pesci)</v>
      </c>
      <c r="N1001" s="9">
        <f t="shared" si="107"/>
        <v>1.8</v>
      </c>
      <c r="P1001" t="str">
        <f t="shared" si="108"/>
        <v>"Ale";"Home alone";"1.8"</v>
      </c>
      <c r="U1001" t="str">
        <f t="shared" si="109"/>
        <v>Ale</v>
      </c>
      <c r="V1001" t="str">
        <f t="shared" si="110"/>
        <v>Home alone</v>
      </c>
      <c r="W1001">
        <f t="shared" si="111"/>
        <v>1</v>
      </c>
    </row>
    <row r="1002" spans="1:23" x14ac:dyDescent="0.2">
      <c r="A1002" s="6" t="s">
        <v>39</v>
      </c>
      <c r="B1002" s="6">
        <v>2004</v>
      </c>
      <c r="C1002" s="6"/>
      <c r="D1002" s="6" t="s">
        <v>82</v>
      </c>
      <c r="E1002" s="6" t="s">
        <v>3</v>
      </c>
      <c r="F1002" s="6">
        <v>0</v>
      </c>
      <c r="G1002" s="6"/>
      <c r="H1002" s="6">
        <v>0</v>
      </c>
      <c r="I1002" s="6"/>
      <c r="J1002" s="6"/>
      <c r="K1002" s="6"/>
      <c r="L1002" s="6" t="str">
        <f t="shared" si="105"/>
        <v>Ale</v>
      </c>
      <c r="M1002" s="6" t="str">
        <f t="shared" si="106"/>
        <v>I, Robot (Smith, Moynahan)</v>
      </c>
      <c r="N1002" s="9">
        <f t="shared" si="107"/>
        <v>0</v>
      </c>
      <c r="P1002" t="str">
        <f t="shared" si="108"/>
        <v>"Ale";"I, Robot";"0"</v>
      </c>
      <c r="U1002" t="str">
        <f t="shared" si="109"/>
        <v>Ale</v>
      </c>
      <c r="V1002" t="str">
        <f t="shared" si="110"/>
        <v>I, Robot</v>
      </c>
      <c r="W1002">
        <f t="shared" si="111"/>
        <v>0</v>
      </c>
    </row>
    <row r="1003" spans="1:23" x14ac:dyDescent="0.2">
      <c r="A1003" s="6" t="s">
        <v>40</v>
      </c>
      <c r="B1003" s="6">
        <v>1967</v>
      </c>
      <c r="C1003" s="6"/>
      <c r="D1003" s="6" t="s">
        <v>82</v>
      </c>
      <c r="E1003" s="6" t="s">
        <v>3</v>
      </c>
      <c r="F1003" s="6">
        <v>0</v>
      </c>
      <c r="G1003" s="6"/>
      <c r="H1003" s="6">
        <v>0</v>
      </c>
      <c r="I1003" s="6"/>
      <c r="J1003" s="6"/>
      <c r="K1003" s="6"/>
      <c r="L1003" s="6" t="str">
        <f t="shared" si="105"/>
        <v>Ale</v>
      </c>
      <c r="M1003" s="6" t="str">
        <f t="shared" si="106"/>
        <v>In The Heat Of The Night (Poitier, Steiger)</v>
      </c>
      <c r="N1003" s="9">
        <f t="shared" si="107"/>
        <v>0</v>
      </c>
      <c r="P1003" t="str">
        <f t="shared" si="108"/>
        <v>"Ale";"In The Heat Of The Night";"0"</v>
      </c>
      <c r="U1003" t="str">
        <f t="shared" si="109"/>
        <v>Ale</v>
      </c>
      <c r="V1003" t="str">
        <f t="shared" si="110"/>
        <v>In The Heat Of The Night</v>
      </c>
      <c r="W1003">
        <f t="shared" si="111"/>
        <v>0</v>
      </c>
    </row>
    <row r="1004" spans="1:23" x14ac:dyDescent="0.2">
      <c r="A1004" s="6" t="s">
        <v>41</v>
      </c>
      <c r="B1004" s="6">
        <v>2014</v>
      </c>
      <c r="C1004" s="6"/>
      <c r="D1004" s="6" t="s">
        <v>82</v>
      </c>
      <c r="E1004" s="6" t="s">
        <v>3</v>
      </c>
      <c r="F1004" s="6">
        <v>0</v>
      </c>
      <c r="G1004" s="6"/>
      <c r="H1004" s="6">
        <v>0</v>
      </c>
      <c r="I1004" s="6"/>
      <c r="J1004" s="6"/>
      <c r="K1004" s="6"/>
      <c r="L1004" s="6" t="str">
        <f t="shared" si="105"/>
        <v>Ale</v>
      </c>
      <c r="M1004" s="6" t="str">
        <f t="shared" si="106"/>
        <v>Jack Ryan: Shadow Recruite (Pine, Costner)</v>
      </c>
      <c r="N1004" s="9">
        <f t="shared" si="107"/>
        <v>0</v>
      </c>
      <c r="P1004" t="str">
        <f t="shared" si="108"/>
        <v>"Ale";"Jack Ryan: Shadow Recruite";"0"</v>
      </c>
      <c r="U1004" t="str">
        <f t="shared" si="109"/>
        <v>Ale</v>
      </c>
      <c r="V1004" t="str">
        <f t="shared" si="110"/>
        <v>Jack Ryan: Shadow Recruite</v>
      </c>
      <c r="W1004">
        <f t="shared" si="111"/>
        <v>0</v>
      </c>
    </row>
    <row r="1005" spans="1:23" x14ac:dyDescent="0.2">
      <c r="A1005" s="6" t="s">
        <v>42</v>
      </c>
      <c r="B1005" s="6">
        <v>1995</v>
      </c>
      <c r="C1005" s="6"/>
      <c r="D1005" s="6" t="s">
        <v>82</v>
      </c>
      <c r="E1005" s="6" t="s">
        <v>2</v>
      </c>
      <c r="F1005" s="6">
        <v>1</v>
      </c>
      <c r="G1005" s="6">
        <v>1</v>
      </c>
      <c r="H1005" s="6">
        <v>1</v>
      </c>
      <c r="I1005" s="6"/>
      <c r="J1005" s="6"/>
      <c r="K1005" s="6"/>
      <c r="L1005" s="6" t="str">
        <f t="shared" si="105"/>
        <v>Ale</v>
      </c>
      <c r="M1005" s="6" t="str">
        <f t="shared" si="106"/>
        <v>Jumanji (Williams, Dunst)</v>
      </c>
      <c r="N1005" s="9">
        <f t="shared" si="107"/>
        <v>1</v>
      </c>
      <c r="P1005" t="str">
        <f t="shared" si="108"/>
        <v>"Ale";"Jumanji";"1"</v>
      </c>
      <c r="U1005" t="str">
        <f t="shared" si="109"/>
        <v>Ale</v>
      </c>
      <c r="V1005" t="str">
        <f t="shared" si="110"/>
        <v>Jumanji</v>
      </c>
      <c r="W1005">
        <f t="shared" si="111"/>
        <v>1</v>
      </c>
    </row>
    <row r="1006" spans="1:23" x14ac:dyDescent="0.2">
      <c r="A1006" s="6" t="s">
        <v>43</v>
      </c>
      <c r="B1006" s="6">
        <v>2005</v>
      </c>
      <c r="C1006" s="6"/>
      <c r="D1006" s="6" t="s">
        <v>82</v>
      </c>
      <c r="E1006" s="6" t="s">
        <v>2</v>
      </c>
      <c r="F1006" s="6">
        <v>1</v>
      </c>
      <c r="G1006" s="6">
        <v>3.5</v>
      </c>
      <c r="H1006" s="6">
        <v>3.5</v>
      </c>
      <c r="I1006" s="6"/>
      <c r="J1006" s="6"/>
      <c r="K1006" s="6"/>
      <c r="L1006" s="6" t="str">
        <f t="shared" si="105"/>
        <v>Ale</v>
      </c>
      <c r="M1006" s="6" t="str">
        <f t="shared" si="106"/>
        <v>King Kong (Watts, Black)</v>
      </c>
      <c r="N1006" s="9">
        <f t="shared" si="107"/>
        <v>3.5</v>
      </c>
      <c r="P1006" t="str">
        <f t="shared" si="108"/>
        <v>"Ale";"King Kong";"3.5"</v>
      </c>
      <c r="U1006" t="str">
        <f t="shared" si="109"/>
        <v>Ale</v>
      </c>
      <c r="V1006" t="str">
        <f t="shared" si="110"/>
        <v>King Kong</v>
      </c>
      <c r="W1006">
        <f t="shared" si="111"/>
        <v>1</v>
      </c>
    </row>
    <row r="1007" spans="1:23" x14ac:dyDescent="0.2">
      <c r="A1007" s="6" t="s">
        <v>44</v>
      </c>
      <c r="B1007" s="6">
        <v>2016</v>
      </c>
      <c r="C1007" s="6"/>
      <c r="D1007" s="6" t="s">
        <v>82</v>
      </c>
      <c r="E1007" s="6" t="s">
        <v>3</v>
      </c>
      <c r="F1007" s="6">
        <v>0</v>
      </c>
      <c r="G1007" s="6"/>
      <c r="H1007" s="6">
        <v>0</v>
      </c>
      <c r="I1007" s="6"/>
      <c r="J1007" s="6"/>
      <c r="K1007" s="6"/>
      <c r="L1007" s="6" t="str">
        <f t="shared" si="105"/>
        <v>Ale</v>
      </c>
      <c r="M1007" s="6" t="str">
        <f t="shared" si="106"/>
        <v>La La Land (Gosling, Stone)</v>
      </c>
      <c r="N1007" s="9">
        <f t="shared" si="107"/>
        <v>0</v>
      </c>
      <c r="P1007" t="str">
        <f t="shared" si="108"/>
        <v>"Ale";"La La Land";"0"</v>
      </c>
      <c r="U1007" t="str">
        <f t="shared" si="109"/>
        <v>Ale</v>
      </c>
      <c r="V1007" t="str">
        <f t="shared" si="110"/>
        <v>La La Land</v>
      </c>
      <c r="W1007">
        <f t="shared" si="111"/>
        <v>0</v>
      </c>
    </row>
    <row r="1008" spans="1:23" x14ac:dyDescent="0.2">
      <c r="A1008" s="6" t="s">
        <v>45</v>
      </c>
      <c r="B1008" s="6">
        <v>2001</v>
      </c>
      <c r="C1008" s="6"/>
      <c r="D1008" s="6" t="s">
        <v>82</v>
      </c>
      <c r="E1008" s="6" t="s">
        <v>2</v>
      </c>
      <c r="F1008" s="6">
        <v>1</v>
      </c>
      <c r="G1008" s="6">
        <v>3.5</v>
      </c>
      <c r="H1008" s="6">
        <v>3.5</v>
      </c>
      <c r="I1008" s="6"/>
      <c r="J1008" s="6"/>
      <c r="K1008" s="6"/>
      <c r="L1008" s="6" t="str">
        <f t="shared" si="105"/>
        <v>Ale</v>
      </c>
      <c r="M1008" s="6" t="str">
        <f t="shared" si="106"/>
        <v>Lord of the Rings (Woods, McKellen)</v>
      </c>
      <c r="N1008" s="9">
        <f t="shared" si="107"/>
        <v>3.5</v>
      </c>
      <c r="P1008" t="str">
        <f t="shared" si="108"/>
        <v>"Ale";"Lord of the Rings";"3.5"</v>
      </c>
      <c r="U1008" t="str">
        <f t="shared" si="109"/>
        <v>Ale</v>
      </c>
      <c r="V1008" t="str">
        <f t="shared" si="110"/>
        <v>Lord of the Rings</v>
      </c>
      <c r="W1008">
        <f t="shared" si="111"/>
        <v>1</v>
      </c>
    </row>
    <row r="1009" spans="1:23" x14ac:dyDescent="0.2">
      <c r="A1009" s="6" t="s">
        <v>46</v>
      </c>
      <c r="B1009" s="6">
        <v>1964</v>
      </c>
      <c r="C1009" s="6"/>
      <c r="D1009" s="6" t="s">
        <v>82</v>
      </c>
      <c r="E1009" s="6" t="s">
        <v>2</v>
      </c>
      <c r="F1009" s="6">
        <v>1</v>
      </c>
      <c r="G1009" s="6">
        <v>4</v>
      </c>
      <c r="H1009" s="6">
        <v>4</v>
      </c>
      <c r="I1009" s="6"/>
      <c r="J1009" s="6"/>
      <c r="K1009" s="6"/>
      <c r="L1009" s="6" t="str">
        <f t="shared" si="105"/>
        <v>Ale</v>
      </c>
      <c r="M1009" s="6" t="str">
        <f t="shared" si="106"/>
        <v>Per Un Pugno Di Dollari (Eastwood, Koch)</v>
      </c>
      <c r="N1009" s="9">
        <f t="shared" si="107"/>
        <v>4</v>
      </c>
      <c r="P1009" t="str">
        <f t="shared" si="108"/>
        <v>"Ale";"Per Un Pugno Di Dollari";"4"</v>
      </c>
      <c r="U1009" t="str">
        <f t="shared" si="109"/>
        <v>Ale</v>
      </c>
      <c r="V1009" t="str">
        <f t="shared" si="110"/>
        <v>Per Un Pugno Di Dollari</v>
      </c>
      <c r="W1009">
        <f t="shared" si="111"/>
        <v>1</v>
      </c>
    </row>
    <row r="1010" spans="1:23" x14ac:dyDescent="0.2">
      <c r="A1010" s="6" t="s">
        <v>47</v>
      </c>
      <c r="B1010" s="6">
        <v>1954</v>
      </c>
      <c r="C1010" s="6"/>
      <c r="D1010" s="6" t="s">
        <v>82</v>
      </c>
      <c r="E1010" s="6" t="s">
        <v>2</v>
      </c>
      <c r="F1010" s="6">
        <v>1</v>
      </c>
      <c r="G1010" s="6">
        <v>4</v>
      </c>
      <c r="H1010" s="6">
        <v>4</v>
      </c>
      <c r="I1010" s="6"/>
      <c r="J1010" s="6"/>
      <c r="K1010" s="6"/>
      <c r="L1010" s="6" t="str">
        <f t="shared" si="105"/>
        <v>Ale</v>
      </c>
      <c r="M1010" s="6" t="str">
        <f t="shared" si="106"/>
        <v>Rear Window (Stewart, Kelly)</v>
      </c>
      <c r="N1010" s="9">
        <f t="shared" si="107"/>
        <v>4</v>
      </c>
      <c r="P1010" t="str">
        <f t="shared" si="108"/>
        <v>"Ale";"Rear Window";"4"</v>
      </c>
      <c r="U1010" t="str">
        <f t="shared" si="109"/>
        <v>Ale</v>
      </c>
      <c r="V1010" t="str">
        <f t="shared" si="110"/>
        <v>Rear Window</v>
      </c>
      <c r="W1010">
        <f t="shared" si="111"/>
        <v>1</v>
      </c>
    </row>
    <row r="1011" spans="1:23" x14ac:dyDescent="0.2">
      <c r="A1011" s="6" t="s">
        <v>48</v>
      </c>
      <c r="B1011" s="6">
        <v>1955</v>
      </c>
      <c r="C1011" s="6"/>
      <c r="D1011" s="6" t="s">
        <v>82</v>
      </c>
      <c r="E1011" s="6" t="s">
        <v>3</v>
      </c>
      <c r="F1011" s="6">
        <v>0</v>
      </c>
      <c r="G1011" s="6"/>
      <c r="H1011" s="6">
        <v>0</v>
      </c>
      <c r="I1011" s="6"/>
      <c r="J1011" s="6"/>
      <c r="K1011" s="6"/>
      <c r="L1011" s="6" t="str">
        <f t="shared" si="105"/>
        <v>Ale</v>
      </c>
      <c r="M1011" s="6" t="str">
        <f t="shared" si="106"/>
        <v>Rebel Without A Cause (Dean, Wood)</v>
      </c>
      <c r="N1011" s="9">
        <f t="shared" si="107"/>
        <v>0</v>
      </c>
      <c r="P1011" t="str">
        <f t="shared" si="108"/>
        <v>"Ale";"Rebel Without A Cause";"0"</v>
      </c>
      <c r="U1011" t="str">
        <f t="shared" si="109"/>
        <v>Ale</v>
      </c>
      <c r="V1011" t="str">
        <f t="shared" si="110"/>
        <v>Rebel Without A Cause</v>
      </c>
      <c r="W1011">
        <f t="shared" si="111"/>
        <v>0</v>
      </c>
    </row>
    <row r="1012" spans="1:23" x14ac:dyDescent="0.2">
      <c r="A1012" s="6" t="s">
        <v>66</v>
      </c>
      <c r="B1012" s="6">
        <v>2005</v>
      </c>
      <c r="C1012" s="6"/>
      <c r="D1012" s="6" t="s">
        <v>82</v>
      </c>
      <c r="E1012" s="6" t="s">
        <v>3</v>
      </c>
      <c r="F1012" s="6">
        <v>0</v>
      </c>
      <c r="G1012" s="6"/>
      <c r="H1012" s="6">
        <v>0</v>
      </c>
      <c r="I1012" s="6"/>
      <c r="J1012" s="6"/>
      <c r="K1012" s="6"/>
      <c r="L1012" s="6" t="str">
        <f t="shared" si="105"/>
        <v>Ale</v>
      </c>
      <c r="M1012" s="6" t="str">
        <f t="shared" si="106"/>
        <v>Rumor has it (Aniston, Costner)</v>
      </c>
      <c r="N1012" s="9">
        <f t="shared" si="107"/>
        <v>0</v>
      </c>
      <c r="P1012" t="str">
        <f t="shared" si="108"/>
        <v>"Ale";"Rumor has it";"0"</v>
      </c>
      <c r="U1012" t="str">
        <f t="shared" si="109"/>
        <v>Ale</v>
      </c>
      <c r="V1012" t="str">
        <f t="shared" si="110"/>
        <v>Rumor has it</v>
      </c>
      <c r="W1012">
        <f t="shared" si="111"/>
        <v>0</v>
      </c>
    </row>
    <row r="1013" spans="1:23" x14ac:dyDescent="0.2">
      <c r="A1013" s="6" t="s">
        <v>49</v>
      </c>
      <c r="B1013" s="6">
        <v>1998</v>
      </c>
      <c r="C1013" s="6"/>
      <c r="D1013" s="6" t="s">
        <v>82</v>
      </c>
      <c r="E1013" s="6" t="s">
        <v>2</v>
      </c>
      <c r="F1013" s="6">
        <v>1</v>
      </c>
      <c r="G1013" s="6">
        <v>1</v>
      </c>
      <c r="H1013" s="6">
        <v>1</v>
      </c>
      <c r="I1013" s="6"/>
      <c r="J1013" s="6"/>
      <c r="K1013" s="6"/>
      <c r="L1013" s="6" t="str">
        <f t="shared" si="105"/>
        <v>Ale</v>
      </c>
      <c r="M1013" s="6" t="str">
        <f t="shared" si="106"/>
        <v>Saving private Ryan (Hanks, Damon)</v>
      </c>
      <c r="N1013" s="9">
        <f t="shared" si="107"/>
        <v>1</v>
      </c>
      <c r="P1013" t="str">
        <f t="shared" si="108"/>
        <v>"Ale";"Saving private Ryan";"1"</v>
      </c>
      <c r="U1013" t="str">
        <f t="shared" si="109"/>
        <v>Ale</v>
      </c>
      <c r="V1013" t="str">
        <f t="shared" si="110"/>
        <v>Saving private Ryan</v>
      </c>
      <c r="W1013">
        <f t="shared" si="111"/>
        <v>1</v>
      </c>
    </row>
    <row r="1014" spans="1:23" x14ac:dyDescent="0.2">
      <c r="A1014" s="6" t="s">
        <v>50</v>
      </c>
      <c r="B1014" s="6">
        <v>1993</v>
      </c>
      <c r="C1014" s="6"/>
      <c r="D1014" s="6" t="s">
        <v>82</v>
      </c>
      <c r="E1014" s="6" t="s">
        <v>2</v>
      </c>
      <c r="F1014" s="6">
        <v>1</v>
      </c>
      <c r="G1014" s="6">
        <v>1</v>
      </c>
      <c r="H1014" s="6">
        <v>1</v>
      </c>
      <c r="I1014" s="6"/>
      <c r="J1014" s="6"/>
      <c r="K1014" s="6"/>
      <c r="L1014" s="6" t="str">
        <f t="shared" si="105"/>
        <v>Ale</v>
      </c>
      <c r="M1014" s="6" t="str">
        <f t="shared" si="106"/>
        <v>Schindlers List (Neeson, Fiennes)</v>
      </c>
      <c r="N1014" s="9">
        <f t="shared" si="107"/>
        <v>1</v>
      </c>
      <c r="P1014" t="str">
        <f t="shared" si="108"/>
        <v>"Ale";"Schindlers List";"1"</v>
      </c>
      <c r="U1014" t="str">
        <f t="shared" si="109"/>
        <v>Ale</v>
      </c>
      <c r="V1014" t="str">
        <f t="shared" si="110"/>
        <v>Schindlers List</v>
      </c>
      <c r="W1014">
        <f t="shared" si="111"/>
        <v>1</v>
      </c>
    </row>
    <row r="1015" spans="1:23" x14ac:dyDescent="0.2">
      <c r="A1015" s="6" t="s">
        <v>51</v>
      </c>
      <c r="B1015" s="6">
        <v>1996</v>
      </c>
      <c r="C1015" s="6"/>
      <c r="D1015" s="6" t="s">
        <v>82</v>
      </c>
      <c r="E1015" s="6" t="s">
        <v>2</v>
      </c>
      <c r="F1015" s="6">
        <v>1</v>
      </c>
      <c r="G1015" s="6">
        <v>1.5</v>
      </c>
      <c r="H1015" s="6">
        <v>1.5</v>
      </c>
      <c r="I1015" s="6"/>
      <c r="J1015" s="6"/>
      <c r="K1015" s="6"/>
      <c r="L1015" s="6" t="str">
        <f t="shared" si="105"/>
        <v>Ale</v>
      </c>
      <c r="M1015" s="6" t="str">
        <f t="shared" si="106"/>
        <v>Scream (Arquette, Campell)</v>
      </c>
      <c r="N1015" s="9">
        <f t="shared" si="107"/>
        <v>1.5</v>
      </c>
      <c r="P1015" t="str">
        <f t="shared" si="108"/>
        <v>"Ale";"Scream";"1.5"</v>
      </c>
      <c r="U1015" t="str">
        <f t="shared" si="109"/>
        <v>Ale</v>
      </c>
      <c r="V1015" t="str">
        <f t="shared" si="110"/>
        <v>Scream</v>
      </c>
      <c r="W1015">
        <f t="shared" si="111"/>
        <v>1</v>
      </c>
    </row>
    <row r="1016" spans="1:23" x14ac:dyDescent="0.2">
      <c r="A1016" s="6" t="s">
        <v>52</v>
      </c>
      <c r="B1016" s="6">
        <v>1977</v>
      </c>
      <c r="C1016" s="6"/>
      <c r="D1016" s="6" t="s">
        <v>82</v>
      </c>
      <c r="E1016" s="6" t="s">
        <v>2</v>
      </c>
      <c r="F1016" s="6">
        <v>1</v>
      </c>
      <c r="G1016" s="6">
        <v>3.5</v>
      </c>
      <c r="H1016" s="6">
        <v>3.5</v>
      </c>
      <c r="I1016" s="6"/>
      <c r="J1016" s="6"/>
      <c r="K1016" s="6"/>
      <c r="L1016" s="6" t="str">
        <f t="shared" si="105"/>
        <v>Ale</v>
      </c>
      <c r="M1016" s="6" t="str">
        <f t="shared" si="106"/>
        <v>Star Wars IV: A new hope (Hamill, Ford)</v>
      </c>
      <c r="N1016" s="9">
        <f t="shared" si="107"/>
        <v>3.5</v>
      </c>
      <c r="P1016" t="str">
        <f t="shared" si="108"/>
        <v>"Ale";"Star Wars IV: A new hope";"3.5"</v>
      </c>
      <c r="U1016" t="str">
        <f t="shared" si="109"/>
        <v>Ale</v>
      </c>
      <c r="V1016" t="str">
        <f t="shared" si="110"/>
        <v>Star Wars IV: A new hope</v>
      </c>
      <c r="W1016">
        <f t="shared" si="111"/>
        <v>1</v>
      </c>
    </row>
    <row r="1017" spans="1:23" x14ac:dyDescent="0.2">
      <c r="A1017" s="6" t="s">
        <v>53</v>
      </c>
      <c r="B1017" s="6">
        <v>2016</v>
      </c>
      <c r="C1017" s="6"/>
      <c r="D1017" s="6" t="s">
        <v>82</v>
      </c>
      <c r="E1017" s="6" t="s">
        <v>3</v>
      </c>
      <c r="F1017" s="6">
        <v>0</v>
      </c>
      <c r="G1017" s="6"/>
      <c r="H1017" s="6">
        <v>0</v>
      </c>
      <c r="I1017" s="6"/>
      <c r="J1017" s="6"/>
      <c r="K1017" s="6"/>
      <c r="L1017" s="6" t="str">
        <f t="shared" si="105"/>
        <v>Ale</v>
      </c>
      <c r="M1017" s="6" t="str">
        <f t="shared" si="106"/>
        <v>Suicide Squad (Smith, Robbie)</v>
      </c>
      <c r="N1017" s="9">
        <f t="shared" si="107"/>
        <v>0</v>
      </c>
      <c r="P1017" t="str">
        <f t="shared" si="108"/>
        <v>"Ale";"Suicide Squad";"0"</v>
      </c>
      <c r="U1017" t="str">
        <f t="shared" si="109"/>
        <v>Ale</v>
      </c>
      <c r="V1017" t="str">
        <f t="shared" si="110"/>
        <v>Suicide Squad</v>
      </c>
      <c r="W1017">
        <f t="shared" si="111"/>
        <v>0</v>
      </c>
    </row>
    <row r="1018" spans="1:23" x14ac:dyDescent="0.2">
      <c r="A1018" s="6" t="s">
        <v>54</v>
      </c>
      <c r="B1018" s="6">
        <v>2010</v>
      </c>
      <c r="C1018" s="6"/>
      <c r="D1018" s="6" t="s">
        <v>82</v>
      </c>
      <c r="E1018" s="6" t="s">
        <v>3</v>
      </c>
      <c r="F1018" s="6">
        <v>0</v>
      </c>
      <c r="G1018" s="6"/>
      <c r="H1018" s="6">
        <v>0</v>
      </c>
      <c r="I1018" s="6"/>
      <c r="J1018" s="6"/>
      <c r="K1018" s="6"/>
      <c r="L1018" s="6" t="str">
        <f t="shared" si="105"/>
        <v>Ale</v>
      </c>
      <c r="M1018" s="6" t="str">
        <f t="shared" si="106"/>
        <v>Tangled (Disney)</v>
      </c>
      <c r="N1018" s="9">
        <f t="shared" si="107"/>
        <v>0</v>
      </c>
      <c r="P1018" t="str">
        <f t="shared" si="108"/>
        <v>"Ale";"Tangled";"0"</v>
      </c>
      <c r="U1018" t="str">
        <f t="shared" si="109"/>
        <v>Ale</v>
      </c>
      <c r="V1018" t="str">
        <f t="shared" si="110"/>
        <v>Tangled</v>
      </c>
      <c r="W1018">
        <f t="shared" si="111"/>
        <v>0</v>
      </c>
    </row>
    <row r="1019" spans="1:23" x14ac:dyDescent="0.2">
      <c r="A1019" s="6" t="s">
        <v>55</v>
      </c>
      <c r="B1019" s="6">
        <v>2012</v>
      </c>
      <c r="C1019" s="6"/>
      <c r="D1019" s="6" t="s">
        <v>82</v>
      </c>
      <c r="E1019" s="6" t="s">
        <v>3</v>
      </c>
      <c r="F1019" s="6">
        <v>0</v>
      </c>
      <c r="G1019" s="6"/>
      <c r="H1019" s="6">
        <v>0</v>
      </c>
      <c r="I1019" s="6"/>
      <c r="J1019" s="6"/>
      <c r="K1019" s="6"/>
      <c r="L1019" s="6" t="str">
        <f t="shared" si="105"/>
        <v>Ale</v>
      </c>
      <c r="M1019" s="6" t="str">
        <f t="shared" si="106"/>
        <v>The Avengers (Downey Jr. Evans)</v>
      </c>
      <c r="N1019" s="9">
        <f t="shared" si="107"/>
        <v>0</v>
      </c>
      <c r="P1019" t="str">
        <f t="shared" si="108"/>
        <v>"Ale";"The Avengers";"0"</v>
      </c>
      <c r="U1019" t="str">
        <f t="shared" si="109"/>
        <v>Ale</v>
      </c>
      <c r="V1019" t="str">
        <f t="shared" si="110"/>
        <v>The Avengers</v>
      </c>
      <c r="W1019">
        <f t="shared" si="111"/>
        <v>0</v>
      </c>
    </row>
    <row r="1020" spans="1:23" x14ac:dyDescent="0.2">
      <c r="A1020" s="6" t="s">
        <v>56</v>
      </c>
      <c r="B1020" s="6">
        <v>1973</v>
      </c>
      <c r="C1020" s="6"/>
      <c r="D1020" s="6" t="s">
        <v>82</v>
      </c>
      <c r="E1020" s="6" t="s">
        <v>2</v>
      </c>
      <c r="F1020" s="6">
        <v>1</v>
      </c>
      <c r="G1020" s="6">
        <v>3.5</v>
      </c>
      <c r="H1020" s="6">
        <v>3.5</v>
      </c>
      <c r="I1020" s="6"/>
      <c r="J1020" s="6"/>
      <c r="K1020" s="6"/>
      <c r="L1020" s="6" t="str">
        <f t="shared" si="105"/>
        <v>Ale</v>
      </c>
      <c r="M1020" s="6" t="str">
        <f t="shared" si="106"/>
        <v>The Exorcist (von Sydow, Blair)</v>
      </c>
      <c r="N1020" s="9">
        <f t="shared" si="107"/>
        <v>3.5</v>
      </c>
      <c r="P1020" t="str">
        <f t="shared" si="108"/>
        <v>"Ale";"The Exorcist";"3.5"</v>
      </c>
      <c r="U1020" t="str">
        <f t="shared" si="109"/>
        <v>Ale</v>
      </c>
      <c r="V1020" t="str">
        <f t="shared" si="110"/>
        <v>The Exorcist</v>
      </c>
      <c r="W1020">
        <f t="shared" si="111"/>
        <v>1</v>
      </c>
    </row>
    <row r="1021" spans="1:23" x14ac:dyDescent="0.2">
      <c r="A1021" s="6" t="s">
        <v>57</v>
      </c>
      <c r="B1021" s="6">
        <v>1972</v>
      </c>
      <c r="C1021" s="6"/>
      <c r="D1021" s="6" t="s">
        <v>82</v>
      </c>
      <c r="E1021" s="6" t="s">
        <v>2</v>
      </c>
      <c r="F1021" s="6">
        <v>1</v>
      </c>
      <c r="G1021" s="6">
        <v>3</v>
      </c>
      <c r="H1021" s="6">
        <v>3</v>
      </c>
      <c r="I1021" s="6"/>
      <c r="J1021" s="6"/>
      <c r="K1021" s="6"/>
      <c r="L1021" s="6" t="str">
        <f t="shared" si="105"/>
        <v>Ale</v>
      </c>
      <c r="M1021" s="6" t="str">
        <f t="shared" si="106"/>
        <v>The Godfather (Brando, Pacino)</v>
      </c>
      <c r="N1021" s="9">
        <f t="shared" si="107"/>
        <v>3</v>
      </c>
      <c r="P1021" t="str">
        <f t="shared" si="108"/>
        <v>"Ale";"The Godfather";"3"</v>
      </c>
      <c r="U1021" t="str">
        <f t="shared" si="109"/>
        <v>Ale</v>
      </c>
      <c r="V1021" t="str">
        <f t="shared" si="110"/>
        <v>The Godfather</v>
      </c>
      <c r="W1021">
        <f t="shared" si="111"/>
        <v>1</v>
      </c>
    </row>
    <row r="1022" spans="1:23" x14ac:dyDescent="0.2">
      <c r="A1022" s="6" t="s">
        <v>58</v>
      </c>
      <c r="B1022" s="6">
        <v>1994</v>
      </c>
      <c r="C1022" s="6"/>
      <c r="D1022" s="6" t="s">
        <v>82</v>
      </c>
      <c r="E1022" s="6" t="s">
        <v>2</v>
      </c>
      <c r="F1022" s="6">
        <v>1</v>
      </c>
      <c r="G1022" s="6">
        <v>2</v>
      </c>
      <c r="H1022" s="6">
        <v>2</v>
      </c>
      <c r="I1022" s="6"/>
      <c r="J1022" s="6"/>
      <c r="K1022" s="6"/>
      <c r="L1022" s="6" t="str">
        <f t="shared" si="105"/>
        <v>Ale</v>
      </c>
      <c r="M1022" s="6" t="str">
        <f t="shared" si="106"/>
        <v>The Lion King (Disney)</v>
      </c>
      <c r="N1022" s="9">
        <f t="shared" si="107"/>
        <v>2</v>
      </c>
      <c r="P1022" t="str">
        <f t="shared" si="108"/>
        <v>"Ale";"The Lion King";"2"</v>
      </c>
      <c r="U1022" t="str">
        <f t="shared" si="109"/>
        <v>Ale</v>
      </c>
      <c r="V1022" t="str">
        <f t="shared" si="110"/>
        <v>The Lion King</v>
      </c>
      <c r="W1022">
        <f t="shared" si="111"/>
        <v>1</v>
      </c>
    </row>
    <row r="1023" spans="1:23" x14ac:dyDescent="0.2">
      <c r="A1023" s="6" t="s">
        <v>59</v>
      </c>
      <c r="B1023" s="6">
        <v>1999</v>
      </c>
      <c r="C1023" s="6"/>
      <c r="D1023" s="6" t="s">
        <v>82</v>
      </c>
      <c r="E1023" s="6" t="s">
        <v>2</v>
      </c>
      <c r="F1023" s="6">
        <v>1</v>
      </c>
      <c r="G1023" s="6">
        <v>1.8</v>
      </c>
      <c r="H1023" s="6">
        <v>1.8</v>
      </c>
      <c r="I1023" s="6"/>
      <c r="J1023" s="6"/>
      <c r="K1023" s="6"/>
      <c r="L1023" s="6" t="str">
        <f t="shared" si="105"/>
        <v>Ale</v>
      </c>
      <c r="M1023" s="6" t="str">
        <f t="shared" si="106"/>
        <v>The Matrix (Reeves, Fishburn)</v>
      </c>
      <c r="N1023" s="9">
        <f t="shared" si="107"/>
        <v>1.8</v>
      </c>
      <c r="P1023" t="str">
        <f t="shared" si="108"/>
        <v>"Ale";"The Matrix";"1.8"</v>
      </c>
      <c r="U1023" t="str">
        <f t="shared" si="109"/>
        <v>Ale</v>
      </c>
      <c r="V1023" t="str">
        <f t="shared" si="110"/>
        <v>The Matrix</v>
      </c>
      <c r="W1023">
        <f t="shared" si="111"/>
        <v>1</v>
      </c>
    </row>
    <row r="1024" spans="1:23" x14ac:dyDescent="0.2">
      <c r="A1024" s="6" t="s">
        <v>60</v>
      </c>
      <c r="B1024" s="6">
        <v>1980</v>
      </c>
      <c r="C1024" s="6"/>
      <c r="D1024" s="6" t="s">
        <v>82</v>
      </c>
      <c r="E1024" s="6" t="s">
        <v>2</v>
      </c>
      <c r="F1024" s="6">
        <v>1</v>
      </c>
      <c r="G1024" s="6">
        <v>2</v>
      </c>
      <c r="H1024" s="6">
        <v>2</v>
      </c>
      <c r="I1024" s="6"/>
      <c r="J1024" s="6"/>
      <c r="K1024" s="6"/>
      <c r="L1024" s="6" t="str">
        <f t="shared" si="105"/>
        <v>Ale</v>
      </c>
      <c r="M1024" s="6" t="str">
        <f t="shared" si="106"/>
        <v>The Shining (Nicholson, Duvall)</v>
      </c>
      <c r="N1024" s="9">
        <f t="shared" si="107"/>
        <v>2</v>
      </c>
      <c r="P1024" t="str">
        <f t="shared" si="108"/>
        <v>"Ale";"The Shining";"2"</v>
      </c>
      <c r="U1024" t="str">
        <f t="shared" si="109"/>
        <v>Ale</v>
      </c>
      <c r="V1024" t="str">
        <f t="shared" si="110"/>
        <v>The Shining</v>
      </c>
      <c r="W1024">
        <f t="shared" si="111"/>
        <v>1</v>
      </c>
    </row>
    <row r="1025" spans="1:23" x14ac:dyDescent="0.2">
      <c r="A1025" s="6" t="s">
        <v>61</v>
      </c>
      <c r="B1025" s="6">
        <v>1984</v>
      </c>
      <c r="C1025" s="6"/>
      <c r="D1025" s="6" t="s">
        <v>82</v>
      </c>
      <c r="E1025" s="6" t="s">
        <v>2</v>
      </c>
      <c r="F1025" s="6">
        <v>1</v>
      </c>
      <c r="G1025" s="6">
        <v>4</v>
      </c>
      <c r="H1025" s="6">
        <v>4</v>
      </c>
      <c r="I1025" s="6"/>
      <c r="J1025" s="6"/>
      <c r="K1025" s="6"/>
      <c r="L1025" s="6" t="str">
        <f t="shared" si="105"/>
        <v>Ale</v>
      </c>
      <c r="M1025" s="6" t="str">
        <f t="shared" si="106"/>
        <v>The Terminator (Schwarzenegger, Hamilton)</v>
      </c>
      <c r="N1025" s="9">
        <f t="shared" si="107"/>
        <v>4</v>
      </c>
      <c r="P1025" t="str">
        <f t="shared" si="108"/>
        <v>"Ale";"The Terminator";"4"</v>
      </c>
      <c r="U1025" t="str">
        <f t="shared" si="109"/>
        <v>Ale</v>
      </c>
      <c r="V1025" t="str">
        <f t="shared" si="110"/>
        <v>The Terminator</v>
      </c>
      <c r="W1025">
        <f t="shared" si="111"/>
        <v>1</v>
      </c>
    </row>
    <row r="1026" spans="1:23" x14ac:dyDescent="0.2">
      <c r="A1026" s="6" t="s">
        <v>62</v>
      </c>
      <c r="B1026" s="6">
        <v>1986</v>
      </c>
      <c r="C1026" s="6"/>
      <c r="D1026" s="6" t="s">
        <v>82</v>
      </c>
      <c r="E1026" s="6" t="s">
        <v>3</v>
      </c>
      <c r="F1026" s="6">
        <v>0</v>
      </c>
      <c r="G1026" s="6"/>
      <c r="H1026" s="6">
        <v>0</v>
      </c>
      <c r="I1026" s="6"/>
      <c r="J1026" s="6"/>
      <c r="K1026" s="6"/>
      <c r="L1026" s="6" t="str">
        <f t="shared" si="105"/>
        <v>Ale</v>
      </c>
      <c r="M1026" s="6" t="str">
        <f t="shared" si="106"/>
        <v>Top Gun (Cruise, McGillis)</v>
      </c>
      <c r="N1026" s="9">
        <f t="shared" si="107"/>
        <v>0</v>
      </c>
      <c r="P1026" t="str">
        <f t="shared" si="108"/>
        <v>"Ale";"Top Gun";"0"</v>
      </c>
      <c r="U1026" t="str">
        <f t="shared" si="109"/>
        <v>Ale</v>
      </c>
      <c r="V1026" t="str">
        <f t="shared" si="110"/>
        <v>Top Gun</v>
      </c>
      <c r="W1026">
        <f t="shared" si="111"/>
        <v>0</v>
      </c>
    </row>
    <row r="1027" spans="1:23" x14ac:dyDescent="0.2">
      <c r="A1027" s="6" t="s">
        <v>63</v>
      </c>
      <c r="B1027" s="6">
        <v>1995</v>
      </c>
      <c r="C1027" s="6"/>
      <c r="D1027" s="6" t="s">
        <v>82</v>
      </c>
      <c r="E1027" s="6" t="s">
        <v>2</v>
      </c>
      <c r="F1027" s="6">
        <v>1</v>
      </c>
      <c r="G1027" s="6">
        <v>2.5</v>
      </c>
      <c r="H1027" s="6">
        <v>2.5</v>
      </c>
      <c r="I1027" s="6"/>
      <c r="J1027" s="6"/>
      <c r="K1027" s="6"/>
      <c r="L1027" s="6" t="str">
        <f t="shared" ref="L1027" si="112">D1027</f>
        <v>Ale</v>
      </c>
      <c r="M1027" s="6" t="str">
        <f t="shared" ref="M1027" si="113">A1027</f>
        <v>Toy Story (Pixar)</v>
      </c>
      <c r="N1027" s="9">
        <f t="shared" ref="N1027" si="114">H1027</f>
        <v>2.5</v>
      </c>
      <c r="P1027" t="str">
        <f t="shared" ref="P1027:P1090" si="115">""""&amp;L1027&amp;""";"""&amp;LEFT(M1027,FIND("(",M1027)-2)&amp;""";"""&amp;SUBSTITUTE(N1027,",",".")&amp;""""</f>
        <v>"Ale";"Toy Story";"2.5"</v>
      </c>
      <c r="U1027" t="str">
        <f t="shared" ref="U1027:U1090" si="116">D1027</f>
        <v>Ale</v>
      </c>
      <c r="V1027" t="str">
        <f t="shared" ref="V1027:V1090" si="117">LEFT(A1027,FIND("(",A1027)-2)</f>
        <v>Toy Story</v>
      </c>
      <c r="W1027">
        <f t="shared" ref="W1027:W1090" si="118">F1027</f>
        <v>1</v>
      </c>
    </row>
    <row r="1028" spans="1:23" x14ac:dyDescent="0.2">
      <c r="A1028" s="6" t="s">
        <v>8</v>
      </c>
      <c r="B1028" s="6">
        <v>1968</v>
      </c>
      <c r="C1028" s="6"/>
      <c r="D1028" s="6" t="s">
        <v>85</v>
      </c>
      <c r="E1028" s="6" t="s">
        <v>2</v>
      </c>
      <c r="F1028" s="6">
        <v>1</v>
      </c>
      <c r="G1028" s="6">
        <v>4</v>
      </c>
      <c r="H1028" s="6">
        <v>4</v>
      </c>
      <c r="I1028" s="6"/>
      <c r="J1028" s="6"/>
      <c r="K1028" s="6"/>
      <c r="L1028" s="6" t="str">
        <f t="shared" ref="L1028:L1091" si="119">D1028</f>
        <v>Roman Bamesberger</v>
      </c>
      <c r="M1028" s="6" t="str">
        <f t="shared" ref="M1028:M1091" si="120">A1028</f>
        <v>2001: A Space Odyssey (Duella, Lockwood)</v>
      </c>
      <c r="N1028" s="9">
        <f t="shared" ref="N1028:N1091" si="121">H1028</f>
        <v>4</v>
      </c>
      <c r="P1028" t="str">
        <f t="shared" si="115"/>
        <v>"Roman Bamesberger";"2001: A Space Odyssey";"4"</v>
      </c>
      <c r="U1028" t="str">
        <f t="shared" si="116"/>
        <v>Roman Bamesberger</v>
      </c>
      <c r="V1028" t="str">
        <f t="shared" si="117"/>
        <v>2001: A Space Odyssey</v>
      </c>
      <c r="W1028">
        <f t="shared" si="118"/>
        <v>1</v>
      </c>
    </row>
    <row r="1029" spans="1:23" x14ac:dyDescent="0.2">
      <c r="A1029" s="6" t="s">
        <v>9</v>
      </c>
      <c r="B1029" s="6">
        <v>1971</v>
      </c>
      <c r="C1029" s="6"/>
      <c r="D1029" s="6" t="s">
        <v>85</v>
      </c>
      <c r="E1029" s="6" t="s">
        <v>3</v>
      </c>
      <c r="F1029" s="6">
        <v>0</v>
      </c>
      <c r="G1029" s="6"/>
      <c r="H1029" s="6">
        <v>0</v>
      </c>
      <c r="I1029" s="6"/>
      <c r="J1029" s="6"/>
      <c r="K1029" s="6"/>
      <c r="L1029" s="6" t="str">
        <f t="shared" si="119"/>
        <v>Roman Bamesberger</v>
      </c>
      <c r="M1029" s="6" t="str">
        <f t="shared" si="120"/>
        <v>A Clockwork Orange (McDowell, Magee)</v>
      </c>
      <c r="N1029" s="9">
        <f t="shared" si="121"/>
        <v>0</v>
      </c>
      <c r="P1029" t="str">
        <f t="shared" si="115"/>
        <v>"Roman Bamesberger";"A Clockwork Orange";"0"</v>
      </c>
      <c r="U1029" t="str">
        <f t="shared" si="116"/>
        <v>Roman Bamesberger</v>
      </c>
      <c r="V1029" t="str">
        <f t="shared" si="117"/>
        <v>A Clockwork Orange</v>
      </c>
      <c r="W1029">
        <f t="shared" si="118"/>
        <v>0</v>
      </c>
    </row>
    <row r="1030" spans="1:23" x14ac:dyDescent="0.2">
      <c r="A1030" s="6" t="s">
        <v>10</v>
      </c>
      <c r="B1030" s="6">
        <v>2018</v>
      </c>
      <c r="C1030" s="6"/>
      <c r="D1030" s="6" t="s">
        <v>85</v>
      </c>
      <c r="E1030" s="6" t="s">
        <v>2</v>
      </c>
      <c r="F1030" s="6">
        <v>1</v>
      </c>
      <c r="G1030" s="6">
        <v>4</v>
      </c>
      <c r="H1030" s="6">
        <v>4</v>
      </c>
      <c r="I1030" s="6"/>
      <c r="J1030" s="6"/>
      <c r="K1030" s="6"/>
      <c r="L1030" s="6" t="str">
        <f t="shared" si="119"/>
        <v>Roman Bamesberger</v>
      </c>
      <c r="M1030" s="6" t="str">
        <f t="shared" si="120"/>
        <v>A star is born (Gaga, Cooper)</v>
      </c>
      <c r="N1030" s="9">
        <f t="shared" si="121"/>
        <v>4</v>
      </c>
      <c r="P1030" t="str">
        <f t="shared" si="115"/>
        <v>"Roman Bamesberger";"A star is born";"4"</v>
      </c>
      <c r="U1030" t="str">
        <f t="shared" si="116"/>
        <v>Roman Bamesberger</v>
      </c>
      <c r="V1030" t="str">
        <f t="shared" si="117"/>
        <v>A star is born</v>
      </c>
      <c r="W1030">
        <f t="shared" si="118"/>
        <v>1</v>
      </c>
    </row>
    <row r="1031" spans="1:23" x14ac:dyDescent="0.2">
      <c r="A1031" s="6" t="s">
        <v>11</v>
      </c>
      <c r="B1031" s="6">
        <v>2005</v>
      </c>
      <c r="C1031" s="6"/>
      <c r="D1031" s="6" t="s">
        <v>85</v>
      </c>
      <c r="E1031" s="6" t="s">
        <v>3</v>
      </c>
      <c r="F1031" s="6">
        <v>0</v>
      </c>
      <c r="G1031" s="6"/>
      <c r="H1031" s="6">
        <v>0</v>
      </c>
      <c r="I1031" s="6"/>
      <c r="J1031" s="6"/>
      <c r="K1031" s="6"/>
      <c r="L1031" s="6" t="str">
        <f t="shared" si="119"/>
        <v>Roman Bamesberger</v>
      </c>
      <c r="M1031" s="6" t="str">
        <f t="shared" si="120"/>
        <v>Aeon Flux (Theron, Csokas)</v>
      </c>
      <c r="N1031" s="9">
        <f t="shared" si="121"/>
        <v>0</v>
      </c>
      <c r="P1031" t="str">
        <f t="shared" si="115"/>
        <v>"Roman Bamesberger";"Aeon Flux";"0"</v>
      </c>
      <c r="U1031" t="str">
        <f t="shared" si="116"/>
        <v>Roman Bamesberger</v>
      </c>
      <c r="V1031" t="str">
        <f t="shared" si="117"/>
        <v>Aeon Flux</v>
      </c>
      <c r="W1031">
        <f t="shared" si="118"/>
        <v>0</v>
      </c>
    </row>
    <row r="1032" spans="1:23" x14ac:dyDescent="0.2">
      <c r="A1032" s="6" t="s">
        <v>12</v>
      </c>
      <c r="B1032" s="6">
        <v>1951</v>
      </c>
      <c r="C1032" s="6"/>
      <c r="D1032" s="6" t="s">
        <v>85</v>
      </c>
      <c r="E1032" s="6" t="s">
        <v>2</v>
      </c>
      <c r="F1032" s="6">
        <v>1</v>
      </c>
      <c r="G1032" s="6">
        <v>3</v>
      </c>
      <c r="H1032" s="6">
        <v>3</v>
      </c>
      <c r="I1032" s="6"/>
      <c r="J1032" s="6"/>
      <c r="K1032" s="6"/>
      <c r="L1032" s="6" t="str">
        <f t="shared" si="119"/>
        <v>Roman Bamesberger</v>
      </c>
      <c r="M1032" s="6" t="str">
        <f t="shared" si="120"/>
        <v>African Queen (Bogart, Hepburn)</v>
      </c>
      <c r="N1032" s="9">
        <f t="shared" si="121"/>
        <v>3</v>
      </c>
      <c r="P1032" t="str">
        <f t="shared" si="115"/>
        <v>"Roman Bamesberger";"African Queen";"3"</v>
      </c>
      <c r="U1032" t="str">
        <f t="shared" si="116"/>
        <v>Roman Bamesberger</v>
      </c>
      <c r="V1032" t="str">
        <f t="shared" si="117"/>
        <v>African Queen</v>
      </c>
      <c r="W1032">
        <f t="shared" si="118"/>
        <v>1</v>
      </c>
    </row>
    <row r="1033" spans="1:23" x14ac:dyDescent="0.2">
      <c r="A1033" s="6" t="s">
        <v>13</v>
      </c>
      <c r="B1033" s="6">
        <v>1979</v>
      </c>
      <c r="C1033" s="6"/>
      <c r="D1033" s="6" t="s">
        <v>85</v>
      </c>
      <c r="E1033" s="6" t="s">
        <v>2</v>
      </c>
      <c r="F1033" s="6">
        <v>1</v>
      </c>
      <c r="G1033" s="6">
        <v>4</v>
      </c>
      <c r="H1033" s="6">
        <v>4</v>
      </c>
      <c r="I1033" s="6"/>
      <c r="J1033" s="6"/>
      <c r="K1033" s="6"/>
      <c r="L1033" s="6" t="str">
        <f t="shared" si="119"/>
        <v>Roman Bamesberger</v>
      </c>
      <c r="M1033" s="6" t="str">
        <f t="shared" si="120"/>
        <v>Alien (Weaver, Skerritt)</v>
      </c>
      <c r="N1033" s="9">
        <f t="shared" si="121"/>
        <v>4</v>
      </c>
      <c r="P1033" t="str">
        <f t="shared" si="115"/>
        <v>"Roman Bamesberger";"Alien";"4"</v>
      </c>
      <c r="U1033" t="str">
        <f t="shared" si="116"/>
        <v>Roman Bamesberger</v>
      </c>
      <c r="V1033" t="str">
        <f t="shared" si="117"/>
        <v>Alien</v>
      </c>
      <c r="W1033">
        <f t="shared" si="118"/>
        <v>1</v>
      </c>
    </row>
    <row r="1034" spans="1:23" x14ac:dyDescent="0.2">
      <c r="A1034" s="6" t="s">
        <v>14</v>
      </c>
      <c r="B1034" s="6">
        <v>1960</v>
      </c>
      <c r="C1034" s="6"/>
      <c r="D1034" s="6" t="s">
        <v>85</v>
      </c>
      <c r="E1034" s="6" t="s">
        <v>3</v>
      </c>
      <c r="F1034" s="6">
        <v>0</v>
      </c>
      <c r="G1034" s="6"/>
      <c r="H1034" s="6">
        <v>0</v>
      </c>
      <c r="I1034" s="6"/>
      <c r="J1034" s="6"/>
      <c r="K1034" s="6"/>
      <c r="L1034" s="6" t="str">
        <f t="shared" si="119"/>
        <v>Roman Bamesberger</v>
      </c>
      <c r="M1034" s="6" t="str">
        <f t="shared" si="120"/>
        <v>Apartment (Lemmon, MacLaine)</v>
      </c>
      <c r="N1034" s="9">
        <f t="shared" si="121"/>
        <v>0</v>
      </c>
      <c r="P1034" t="str">
        <f t="shared" si="115"/>
        <v>"Roman Bamesberger";"Apartment";"0"</v>
      </c>
      <c r="U1034" t="str">
        <f t="shared" si="116"/>
        <v>Roman Bamesberger</v>
      </c>
      <c r="V1034" t="str">
        <f t="shared" si="117"/>
        <v>Apartment</v>
      </c>
      <c r="W1034">
        <f t="shared" si="118"/>
        <v>0</v>
      </c>
    </row>
    <row r="1035" spans="1:23" x14ac:dyDescent="0.2">
      <c r="A1035" s="6" t="s">
        <v>15</v>
      </c>
      <c r="B1035" s="6">
        <v>1979</v>
      </c>
      <c r="C1035" s="6"/>
      <c r="D1035" s="6" t="s">
        <v>85</v>
      </c>
      <c r="E1035" s="6" t="s">
        <v>2</v>
      </c>
      <c r="F1035" s="6">
        <v>1</v>
      </c>
      <c r="G1035" s="6">
        <v>3</v>
      </c>
      <c r="H1035" s="6">
        <v>3</v>
      </c>
      <c r="I1035" s="6"/>
      <c r="J1035" s="6"/>
      <c r="K1035" s="6"/>
      <c r="L1035" s="6" t="str">
        <f t="shared" si="119"/>
        <v>Roman Bamesberger</v>
      </c>
      <c r="M1035" s="6" t="str">
        <f t="shared" si="120"/>
        <v>Apocalypse Now (Sheen, Brando)</v>
      </c>
      <c r="N1035" s="9">
        <f t="shared" si="121"/>
        <v>3</v>
      </c>
      <c r="P1035" t="str">
        <f t="shared" si="115"/>
        <v>"Roman Bamesberger";"Apocalypse Now";"3"</v>
      </c>
      <c r="U1035" t="str">
        <f t="shared" si="116"/>
        <v>Roman Bamesberger</v>
      </c>
      <c r="V1035" t="str">
        <f t="shared" si="117"/>
        <v>Apocalypse Now</v>
      </c>
      <c r="W1035">
        <f t="shared" si="118"/>
        <v>1</v>
      </c>
    </row>
    <row r="1036" spans="1:23" x14ac:dyDescent="0.2">
      <c r="A1036" s="6" t="s">
        <v>16</v>
      </c>
      <c r="B1036" s="6">
        <v>1956</v>
      </c>
      <c r="C1036" s="6"/>
      <c r="D1036" s="6" t="s">
        <v>85</v>
      </c>
      <c r="E1036" s="6" t="s">
        <v>2</v>
      </c>
      <c r="F1036" s="6">
        <v>1</v>
      </c>
      <c r="G1036" s="6">
        <v>5</v>
      </c>
      <c r="H1036" s="6">
        <v>5</v>
      </c>
      <c r="I1036" s="6"/>
      <c r="J1036" s="6"/>
      <c r="K1036" s="6"/>
      <c r="L1036" s="6" t="str">
        <f t="shared" si="119"/>
        <v>Roman Bamesberger</v>
      </c>
      <c r="M1036" s="6" t="str">
        <f t="shared" si="120"/>
        <v>Around The World In 80 Days (Niven, Cantinflas)</v>
      </c>
      <c r="N1036" s="9">
        <f t="shared" si="121"/>
        <v>5</v>
      </c>
      <c r="P1036" t="str">
        <f t="shared" si="115"/>
        <v>"Roman Bamesberger";"Around The World In 80 Days";"5"</v>
      </c>
      <c r="U1036" t="str">
        <f t="shared" si="116"/>
        <v>Roman Bamesberger</v>
      </c>
      <c r="V1036" t="str">
        <f t="shared" si="117"/>
        <v>Around The World In 80 Days</v>
      </c>
      <c r="W1036">
        <f t="shared" si="118"/>
        <v>1</v>
      </c>
    </row>
    <row r="1037" spans="1:23" x14ac:dyDescent="0.2">
      <c r="A1037" s="6" t="s">
        <v>17</v>
      </c>
      <c r="B1037" s="6">
        <v>2009</v>
      </c>
      <c r="C1037" s="6"/>
      <c r="D1037" s="6" t="s">
        <v>85</v>
      </c>
      <c r="E1037" s="6" t="s">
        <v>2</v>
      </c>
      <c r="F1037" s="6">
        <v>1</v>
      </c>
      <c r="G1037" s="6">
        <v>5</v>
      </c>
      <c r="H1037" s="6">
        <v>5</v>
      </c>
      <c r="I1037" s="6"/>
      <c r="J1037" s="6"/>
      <c r="K1037" s="6"/>
      <c r="L1037" s="6" t="str">
        <f t="shared" si="119"/>
        <v>Roman Bamesberger</v>
      </c>
      <c r="M1037" s="6" t="str">
        <f t="shared" si="120"/>
        <v>Avatar (Worthington, Saldana)</v>
      </c>
      <c r="N1037" s="9">
        <f t="shared" si="121"/>
        <v>5</v>
      </c>
      <c r="P1037" t="str">
        <f t="shared" si="115"/>
        <v>"Roman Bamesberger";"Avatar";"5"</v>
      </c>
      <c r="U1037" t="str">
        <f t="shared" si="116"/>
        <v>Roman Bamesberger</v>
      </c>
      <c r="V1037" t="str">
        <f t="shared" si="117"/>
        <v>Avatar</v>
      </c>
      <c r="W1037">
        <f t="shared" si="118"/>
        <v>1</v>
      </c>
    </row>
    <row r="1038" spans="1:23" x14ac:dyDescent="0.2">
      <c r="A1038" s="6" t="s">
        <v>18</v>
      </c>
      <c r="B1038" s="6">
        <v>1989</v>
      </c>
      <c r="C1038" s="6"/>
      <c r="D1038" s="6" t="s">
        <v>85</v>
      </c>
      <c r="E1038" s="6" t="s">
        <v>2</v>
      </c>
      <c r="F1038" s="6">
        <v>1</v>
      </c>
      <c r="G1038" s="6">
        <v>3</v>
      </c>
      <c r="H1038" s="6">
        <v>3</v>
      </c>
      <c r="I1038" s="6"/>
      <c r="J1038" s="6"/>
      <c r="K1038" s="6"/>
      <c r="L1038" s="6" t="str">
        <f t="shared" si="119"/>
        <v>Roman Bamesberger</v>
      </c>
      <c r="M1038" s="6" t="str">
        <f t="shared" si="120"/>
        <v>Batman (Keaton, Nicholson, Basinger)</v>
      </c>
      <c r="N1038" s="9">
        <f t="shared" si="121"/>
        <v>3</v>
      </c>
      <c r="P1038" t="str">
        <f t="shared" si="115"/>
        <v>"Roman Bamesberger";"Batman";"3"</v>
      </c>
      <c r="U1038" t="str">
        <f t="shared" si="116"/>
        <v>Roman Bamesberger</v>
      </c>
      <c r="V1038" t="str">
        <f t="shared" si="117"/>
        <v>Batman</v>
      </c>
      <c r="W1038">
        <f t="shared" si="118"/>
        <v>1</v>
      </c>
    </row>
    <row r="1039" spans="1:23" x14ac:dyDescent="0.2">
      <c r="A1039" s="6" t="s">
        <v>19</v>
      </c>
      <c r="B1039" s="6">
        <v>1982</v>
      </c>
      <c r="C1039" s="6"/>
      <c r="D1039" s="6" t="s">
        <v>85</v>
      </c>
      <c r="E1039" s="6" t="s">
        <v>2</v>
      </c>
      <c r="F1039" s="6">
        <v>1</v>
      </c>
      <c r="G1039" s="6">
        <v>4</v>
      </c>
      <c r="H1039" s="6">
        <v>4</v>
      </c>
      <c r="I1039" s="6"/>
      <c r="J1039" s="6"/>
      <c r="K1039" s="6"/>
      <c r="L1039" s="6" t="str">
        <f t="shared" si="119"/>
        <v>Roman Bamesberger</v>
      </c>
      <c r="M1039" s="6" t="str">
        <f t="shared" si="120"/>
        <v>Blade Runner (Ford, Hauer)</v>
      </c>
      <c r="N1039" s="9">
        <f t="shared" si="121"/>
        <v>4</v>
      </c>
      <c r="P1039" t="str">
        <f t="shared" si="115"/>
        <v>"Roman Bamesberger";"Blade Runner";"4"</v>
      </c>
      <c r="U1039" t="str">
        <f t="shared" si="116"/>
        <v>Roman Bamesberger</v>
      </c>
      <c r="V1039" t="str">
        <f t="shared" si="117"/>
        <v>Blade Runner</v>
      </c>
      <c r="W1039">
        <f t="shared" si="118"/>
        <v>1</v>
      </c>
    </row>
    <row r="1040" spans="1:23" x14ac:dyDescent="0.2">
      <c r="A1040" s="6" t="s">
        <v>20</v>
      </c>
      <c r="B1040" s="6">
        <v>2018</v>
      </c>
      <c r="C1040" s="6"/>
      <c r="D1040" s="6" t="s">
        <v>85</v>
      </c>
      <c r="E1040" s="6" t="s">
        <v>2</v>
      </c>
      <c r="F1040" s="6">
        <v>1</v>
      </c>
      <c r="G1040" s="6">
        <v>5</v>
      </c>
      <c r="H1040" s="6">
        <v>5</v>
      </c>
      <c r="I1040" s="6"/>
      <c r="J1040" s="6"/>
      <c r="K1040" s="6"/>
      <c r="L1040" s="6" t="str">
        <f t="shared" si="119"/>
        <v>Roman Bamesberger</v>
      </c>
      <c r="M1040" s="6" t="str">
        <f t="shared" si="120"/>
        <v>Bohemian Rhapsody (Malek, Boynton)</v>
      </c>
      <c r="N1040" s="9">
        <f t="shared" si="121"/>
        <v>5</v>
      </c>
      <c r="P1040" t="str">
        <f t="shared" si="115"/>
        <v>"Roman Bamesberger";"Bohemian Rhapsody";"5"</v>
      </c>
      <c r="U1040" t="str">
        <f t="shared" si="116"/>
        <v>Roman Bamesberger</v>
      </c>
      <c r="V1040" t="str">
        <f t="shared" si="117"/>
        <v>Bohemian Rhapsody</v>
      </c>
      <c r="W1040">
        <f t="shared" si="118"/>
        <v>1</v>
      </c>
    </row>
    <row r="1041" spans="1:23" x14ac:dyDescent="0.2">
      <c r="A1041" s="6" t="s">
        <v>21</v>
      </c>
      <c r="B1041" s="6">
        <v>2011</v>
      </c>
      <c r="C1041" s="6"/>
      <c r="D1041" s="6" t="s">
        <v>85</v>
      </c>
      <c r="E1041" s="6" t="s">
        <v>2</v>
      </c>
      <c r="F1041" s="6">
        <v>1</v>
      </c>
      <c r="G1041" s="6">
        <v>3</v>
      </c>
      <c r="H1041" s="6">
        <v>3</v>
      </c>
      <c r="I1041" s="6"/>
      <c r="J1041" s="6"/>
      <c r="K1041" s="6"/>
      <c r="L1041" s="6" t="str">
        <f t="shared" si="119"/>
        <v>Roman Bamesberger</v>
      </c>
      <c r="M1041" s="6" t="str">
        <f t="shared" si="120"/>
        <v>Captain America (Evans, Waeving)</v>
      </c>
      <c r="N1041" s="9">
        <f t="shared" si="121"/>
        <v>3</v>
      </c>
      <c r="P1041" t="str">
        <f t="shared" si="115"/>
        <v>"Roman Bamesberger";"Captain America";"3"</v>
      </c>
      <c r="U1041" t="str">
        <f t="shared" si="116"/>
        <v>Roman Bamesberger</v>
      </c>
      <c r="V1041" t="str">
        <f t="shared" si="117"/>
        <v>Captain America</v>
      </c>
      <c r="W1041">
        <f t="shared" si="118"/>
        <v>1</v>
      </c>
    </row>
    <row r="1042" spans="1:23" x14ac:dyDescent="0.2">
      <c r="A1042" s="6" t="s">
        <v>22</v>
      </c>
      <c r="B1042" s="6">
        <v>2000</v>
      </c>
      <c r="C1042" s="6"/>
      <c r="D1042" s="6" t="s">
        <v>85</v>
      </c>
      <c r="E1042" s="6" t="s">
        <v>2</v>
      </c>
      <c r="F1042" s="6">
        <v>1</v>
      </c>
      <c r="G1042" s="6">
        <v>5</v>
      </c>
      <c r="H1042" s="6">
        <v>5</v>
      </c>
      <c r="I1042" s="6"/>
      <c r="J1042" s="6"/>
      <c r="K1042" s="6"/>
      <c r="L1042" s="6" t="str">
        <f t="shared" si="119"/>
        <v>Roman Bamesberger</v>
      </c>
      <c r="M1042" s="6" t="str">
        <f t="shared" si="120"/>
        <v>Cast Away (Hanks, Hunt)</v>
      </c>
      <c r="N1042" s="9">
        <f t="shared" si="121"/>
        <v>5</v>
      </c>
      <c r="P1042" t="str">
        <f t="shared" si="115"/>
        <v>"Roman Bamesberger";"Cast Away";"5"</v>
      </c>
      <c r="U1042" t="str">
        <f t="shared" si="116"/>
        <v>Roman Bamesberger</v>
      </c>
      <c r="V1042" t="str">
        <f t="shared" si="117"/>
        <v>Cast Away</v>
      </c>
      <c r="W1042">
        <f t="shared" si="118"/>
        <v>1</v>
      </c>
    </row>
    <row r="1043" spans="1:23" x14ac:dyDescent="0.2">
      <c r="A1043" s="6" t="s">
        <v>23</v>
      </c>
      <c r="B1043" s="6">
        <v>1958</v>
      </c>
      <c r="C1043" s="6"/>
      <c r="D1043" s="6" t="s">
        <v>85</v>
      </c>
      <c r="E1043" s="6" t="s">
        <v>3</v>
      </c>
      <c r="F1043" s="6">
        <v>0</v>
      </c>
      <c r="G1043" s="6"/>
      <c r="H1043" s="6">
        <v>0</v>
      </c>
      <c r="I1043" s="6"/>
      <c r="J1043" s="6"/>
      <c r="K1043" s="6"/>
      <c r="L1043" s="6" t="str">
        <f t="shared" si="119"/>
        <v>Roman Bamesberger</v>
      </c>
      <c r="M1043" s="6" t="str">
        <f t="shared" si="120"/>
        <v>Cat On Hot Tin Roof (Taylor, Newman)</v>
      </c>
      <c r="N1043" s="9">
        <f t="shared" si="121"/>
        <v>0</v>
      </c>
      <c r="P1043" t="str">
        <f t="shared" si="115"/>
        <v>"Roman Bamesberger";"Cat On Hot Tin Roof";"0"</v>
      </c>
      <c r="U1043" t="str">
        <f t="shared" si="116"/>
        <v>Roman Bamesberger</v>
      </c>
      <c r="V1043" t="str">
        <f t="shared" si="117"/>
        <v>Cat On Hot Tin Roof</v>
      </c>
      <c r="W1043">
        <f t="shared" si="118"/>
        <v>0</v>
      </c>
    </row>
    <row r="1044" spans="1:23" x14ac:dyDescent="0.2">
      <c r="A1044" s="6" t="s">
        <v>24</v>
      </c>
      <c r="B1044" s="6">
        <v>1963</v>
      </c>
      <c r="C1044" s="6"/>
      <c r="D1044" s="6" t="s">
        <v>85</v>
      </c>
      <c r="E1044" s="6" t="s">
        <v>3</v>
      </c>
      <c r="F1044" s="6">
        <v>0</v>
      </c>
      <c r="G1044" s="6"/>
      <c r="H1044" s="6">
        <v>0</v>
      </c>
      <c r="I1044" s="6"/>
      <c r="J1044" s="6"/>
      <c r="K1044" s="6"/>
      <c r="L1044" s="6" t="str">
        <f t="shared" si="119"/>
        <v>Roman Bamesberger</v>
      </c>
      <c r="M1044" s="6" t="str">
        <f t="shared" si="120"/>
        <v>Charade (Grant, Hepburn)</v>
      </c>
      <c r="N1044" s="9">
        <f t="shared" si="121"/>
        <v>0</v>
      </c>
      <c r="P1044" t="str">
        <f t="shared" si="115"/>
        <v>"Roman Bamesberger";"Charade";"0"</v>
      </c>
      <c r="U1044" t="str">
        <f t="shared" si="116"/>
        <v>Roman Bamesberger</v>
      </c>
      <c r="V1044" t="str">
        <f t="shared" si="117"/>
        <v>Charade</v>
      </c>
      <c r="W1044">
        <f t="shared" si="118"/>
        <v>0</v>
      </c>
    </row>
    <row r="1045" spans="1:23" x14ac:dyDescent="0.2">
      <c r="A1045" s="6" t="s">
        <v>25</v>
      </c>
      <c r="B1045" s="6">
        <v>2000</v>
      </c>
      <c r="C1045" s="6"/>
      <c r="D1045" s="6" t="s">
        <v>85</v>
      </c>
      <c r="E1045" s="6" t="s">
        <v>2</v>
      </c>
      <c r="F1045" s="6">
        <v>1</v>
      </c>
      <c r="G1045" s="6">
        <v>2</v>
      </c>
      <c r="H1045" s="6">
        <v>2</v>
      </c>
      <c r="I1045" s="6"/>
      <c r="J1045" s="6"/>
      <c r="K1045" s="6"/>
      <c r="L1045" s="6" t="str">
        <f t="shared" si="119"/>
        <v>Roman Bamesberger</v>
      </c>
      <c r="M1045" s="6" t="str">
        <f t="shared" si="120"/>
        <v>Charlies Angels (Diaz, Barrymore, Liu)</v>
      </c>
      <c r="N1045" s="9">
        <f t="shared" si="121"/>
        <v>2</v>
      </c>
      <c r="P1045" t="str">
        <f t="shared" si="115"/>
        <v>"Roman Bamesberger";"Charlies Angels";"2"</v>
      </c>
      <c r="U1045" t="str">
        <f t="shared" si="116"/>
        <v>Roman Bamesberger</v>
      </c>
      <c r="V1045" t="str">
        <f t="shared" si="117"/>
        <v>Charlies Angels</v>
      </c>
      <c r="W1045">
        <f t="shared" si="118"/>
        <v>1</v>
      </c>
    </row>
    <row r="1046" spans="1:23" x14ac:dyDescent="0.2">
      <c r="A1046" s="6" t="s">
        <v>26</v>
      </c>
      <c r="B1046" s="6">
        <v>1974</v>
      </c>
      <c r="C1046" s="6"/>
      <c r="D1046" s="6" t="s">
        <v>85</v>
      </c>
      <c r="E1046" s="6" t="s">
        <v>3</v>
      </c>
      <c r="F1046" s="6">
        <v>0</v>
      </c>
      <c r="G1046" s="6"/>
      <c r="H1046" s="6">
        <v>0</v>
      </c>
      <c r="I1046" s="6"/>
      <c r="J1046" s="6"/>
      <c r="K1046" s="6"/>
      <c r="L1046" s="6" t="str">
        <f t="shared" si="119"/>
        <v>Roman Bamesberger</v>
      </c>
      <c r="M1046" s="6" t="str">
        <f t="shared" si="120"/>
        <v>Chinatown (Nicholson, Dunaway)</v>
      </c>
      <c r="N1046" s="9">
        <f t="shared" si="121"/>
        <v>0</v>
      </c>
      <c r="P1046" t="str">
        <f t="shared" si="115"/>
        <v>"Roman Bamesberger";"Chinatown";"0"</v>
      </c>
      <c r="U1046" t="str">
        <f t="shared" si="116"/>
        <v>Roman Bamesberger</v>
      </c>
      <c r="V1046" t="str">
        <f t="shared" si="117"/>
        <v>Chinatown</v>
      </c>
      <c r="W1046">
        <f t="shared" si="118"/>
        <v>0</v>
      </c>
    </row>
    <row r="1047" spans="1:23" x14ac:dyDescent="0.2">
      <c r="A1047" s="6" t="s">
        <v>27</v>
      </c>
      <c r="B1047" s="6">
        <v>1986</v>
      </c>
      <c r="C1047" s="6"/>
      <c r="D1047" s="6" t="s">
        <v>85</v>
      </c>
      <c r="E1047" s="6" t="s">
        <v>3</v>
      </c>
      <c r="F1047" s="6">
        <v>0</v>
      </c>
      <c r="G1047" s="6"/>
      <c r="H1047" s="6">
        <v>0</v>
      </c>
      <c r="I1047" s="6"/>
      <c r="J1047" s="6"/>
      <c r="K1047" s="6"/>
      <c r="L1047" s="6" t="str">
        <f t="shared" si="119"/>
        <v>Roman Bamesberger</v>
      </c>
      <c r="M1047" s="6" t="str">
        <f t="shared" si="120"/>
        <v>Clockwise (Gleese, Leatherbarrow)</v>
      </c>
      <c r="N1047" s="9">
        <f t="shared" si="121"/>
        <v>0</v>
      </c>
      <c r="P1047" t="str">
        <f t="shared" si="115"/>
        <v>"Roman Bamesberger";"Clockwise";"0"</v>
      </c>
      <c r="U1047" t="str">
        <f t="shared" si="116"/>
        <v>Roman Bamesberger</v>
      </c>
      <c r="V1047" t="str">
        <f t="shared" si="117"/>
        <v>Clockwise</v>
      </c>
      <c r="W1047">
        <f t="shared" si="118"/>
        <v>0</v>
      </c>
    </row>
    <row r="1048" spans="1:23" x14ac:dyDescent="0.2">
      <c r="A1048" s="6" t="s">
        <v>28</v>
      </c>
      <c r="B1048" s="6">
        <v>2011</v>
      </c>
      <c r="C1048" s="6"/>
      <c r="D1048" s="6" t="s">
        <v>85</v>
      </c>
      <c r="E1048" s="6" t="s">
        <v>3</v>
      </c>
      <c r="F1048" s="6">
        <v>0</v>
      </c>
      <c r="G1048" s="6"/>
      <c r="H1048" s="6">
        <v>0</v>
      </c>
      <c r="I1048" s="6"/>
      <c r="J1048" s="6"/>
      <c r="K1048" s="6"/>
      <c r="L1048" s="6" t="str">
        <f t="shared" si="119"/>
        <v>Roman Bamesberger</v>
      </c>
      <c r="M1048" s="6" t="str">
        <f t="shared" si="120"/>
        <v>Colombiana (Saldana, Molla)</v>
      </c>
      <c r="N1048" s="9">
        <f t="shared" si="121"/>
        <v>0</v>
      </c>
      <c r="P1048" t="str">
        <f t="shared" si="115"/>
        <v>"Roman Bamesberger";"Colombiana";"0"</v>
      </c>
      <c r="U1048" t="str">
        <f t="shared" si="116"/>
        <v>Roman Bamesberger</v>
      </c>
      <c r="V1048" t="str">
        <f t="shared" si="117"/>
        <v>Colombiana</v>
      </c>
      <c r="W1048">
        <f t="shared" si="118"/>
        <v>0</v>
      </c>
    </row>
    <row r="1049" spans="1:23" x14ac:dyDescent="0.2">
      <c r="A1049" s="6" t="s">
        <v>29</v>
      </c>
      <c r="B1049" s="6">
        <v>1962</v>
      </c>
      <c r="C1049" s="6"/>
      <c r="D1049" s="6" t="s">
        <v>85</v>
      </c>
      <c r="E1049" s="6" t="s">
        <v>2</v>
      </c>
      <c r="F1049" s="6">
        <v>1</v>
      </c>
      <c r="G1049" s="6">
        <v>4</v>
      </c>
      <c r="H1049" s="6">
        <v>4</v>
      </c>
      <c r="I1049" s="6"/>
      <c r="J1049" s="6"/>
      <c r="K1049" s="6"/>
      <c r="L1049" s="6" t="str">
        <f t="shared" si="119"/>
        <v>Roman Bamesberger</v>
      </c>
      <c r="M1049" s="6" t="str">
        <f t="shared" si="120"/>
        <v>Doctor No (Connery, Andress)</v>
      </c>
      <c r="N1049" s="9">
        <f t="shared" si="121"/>
        <v>4</v>
      </c>
      <c r="P1049" t="str">
        <f t="shared" si="115"/>
        <v>"Roman Bamesberger";"Doctor No";"4"</v>
      </c>
      <c r="U1049" t="str">
        <f t="shared" si="116"/>
        <v>Roman Bamesberger</v>
      </c>
      <c r="V1049" t="str">
        <f t="shared" si="117"/>
        <v>Doctor No</v>
      </c>
      <c r="W1049">
        <f t="shared" si="118"/>
        <v>1</v>
      </c>
    </row>
    <row r="1050" spans="1:23" x14ac:dyDescent="0.2">
      <c r="A1050" s="6" t="s">
        <v>30</v>
      </c>
      <c r="B1050" s="6">
        <v>1965</v>
      </c>
      <c r="C1050" s="6"/>
      <c r="D1050" s="6" t="s">
        <v>85</v>
      </c>
      <c r="E1050" s="6" t="s">
        <v>2</v>
      </c>
      <c r="F1050" s="6">
        <v>1</v>
      </c>
      <c r="G1050" s="6">
        <v>4</v>
      </c>
      <c r="H1050" s="6">
        <v>4</v>
      </c>
      <c r="I1050" s="6"/>
      <c r="J1050" s="6"/>
      <c r="K1050" s="6"/>
      <c r="L1050" s="6" t="str">
        <f t="shared" si="119"/>
        <v>Roman Bamesberger</v>
      </c>
      <c r="M1050" s="6" t="str">
        <f t="shared" si="120"/>
        <v>Doctor Zhiwago (Sharif, Christie)</v>
      </c>
      <c r="N1050" s="9">
        <f t="shared" si="121"/>
        <v>4</v>
      </c>
      <c r="P1050" t="str">
        <f t="shared" si="115"/>
        <v>"Roman Bamesberger";"Doctor Zhiwago";"4"</v>
      </c>
      <c r="U1050" t="str">
        <f t="shared" si="116"/>
        <v>Roman Bamesberger</v>
      </c>
      <c r="V1050" t="str">
        <f t="shared" si="117"/>
        <v>Doctor Zhiwago</v>
      </c>
      <c r="W1050">
        <f t="shared" si="118"/>
        <v>1</v>
      </c>
    </row>
    <row r="1051" spans="1:23" x14ac:dyDescent="0.2">
      <c r="A1051" s="6" t="s">
        <v>31</v>
      </c>
      <c r="B1051" s="6">
        <v>1964</v>
      </c>
      <c r="C1051" s="6"/>
      <c r="D1051" s="6" t="s">
        <v>85</v>
      </c>
      <c r="E1051" s="6" t="s">
        <v>3</v>
      </c>
      <c r="F1051" s="6">
        <v>0</v>
      </c>
      <c r="G1051" s="6"/>
      <c r="H1051" s="6">
        <v>0</v>
      </c>
      <c r="I1051" s="6"/>
      <c r="J1051" s="6"/>
      <c r="K1051" s="6"/>
      <c r="L1051" s="6" t="str">
        <f t="shared" si="119"/>
        <v>Roman Bamesberger</v>
      </c>
      <c r="M1051" s="6" t="str">
        <f t="shared" si="120"/>
        <v>Dr. Strangelove… (Sellers, Scott)</v>
      </c>
      <c r="N1051" s="9">
        <f t="shared" si="121"/>
        <v>0</v>
      </c>
      <c r="P1051" t="str">
        <f t="shared" si="115"/>
        <v>"Roman Bamesberger";"Dr. Strangelove…";"0"</v>
      </c>
      <c r="U1051" t="str">
        <f t="shared" si="116"/>
        <v>Roman Bamesberger</v>
      </c>
      <c r="V1051" t="str">
        <f t="shared" si="117"/>
        <v>Dr. Strangelove…</v>
      </c>
      <c r="W1051">
        <f t="shared" si="118"/>
        <v>0</v>
      </c>
    </row>
    <row r="1052" spans="1:23" x14ac:dyDescent="0.2">
      <c r="A1052" s="6" t="s">
        <v>32</v>
      </c>
      <c r="B1052" s="6">
        <v>2000</v>
      </c>
      <c r="C1052" s="6"/>
      <c r="D1052" s="6" t="s">
        <v>85</v>
      </c>
      <c r="E1052" s="6" t="s">
        <v>3</v>
      </c>
      <c r="F1052" s="6">
        <v>0</v>
      </c>
      <c r="G1052" s="6"/>
      <c r="H1052" s="6">
        <v>0</v>
      </c>
      <c r="I1052" s="6"/>
      <c r="J1052" s="6"/>
      <c r="K1052" s="6"/>
      <c r="L1052" s="6" t="str">
        <f t="shared" si="119"/>
        <v>Roman Bamesberger</v>
      </c>
      <c r="M1052" s="6" t="str">
        <f t="shared" si="120"/>
        <v>Dr. T and the women (Gere, Hunt)</v>
      </c>
      <c r="N1052" s="9">
        <f t="shared" si="121"/>
        <v>0</v>
      </c>
      <c r="P1052" t="str">
        <f t="shared" si="115"/>
        <v>"Roman Bamesberger";"Dr. T and the women";"0"</v>
      </c>
      <c r="U1052" t="str">
        <f t="shared" si="116"/>
        <v>Roman Bamesberger</v>
      </c>
      <c r="V1052" t="str">
        <f t="shared" si="117"/>
        <v>Dr. T and the women</v>
      </c>
      <c r="W1052">
        <f t="shared" si="118"/>
        <v>0</v>
      </c>
    </row>
    <row r="1053" spans="1:23" x14ac:dyDescent="0.2">
      <c r="A1053" s="6" t="s">
        <v>33</v>
      </c>
      <c r="B1053" s="6">
        <v>1953</v>
      </c>
      <c r="C1053" s="6"/>
      <c r="D1053" s="6" t="s">
        <v>85</v>
      </c>
      <c r="E1053" s="6" t="s">
        <v>3</v>
      </c>
      <c r="F1053" s="6">
        <v>0</v>
      </c>
      <c r="G1053" s="6"/>
      <c r="H1053" s="6">
        <v>0</v>
      </c>
      <c r="I1053" s="6"/>
      <c r="J1053" s="6"/>
      <c r="K1053" s="6"/>
      <c r="L1053" s="6" t="str">
        <f t="shared" si="119"/>
        <v>Roman Bamesberger</v>
      </c>
      <c r="M1053" s="6" t="str">
        <f t="shared" si="120"/>
        <v>Gentlemen Prefer Blondes (Monroe, Russell)</v>
      </c>
      <c r="N1053" s="9">
        <f t="shared" si="121"/>
        <v>0</v>
      </c>
      <c r="P1053" t="str">
        <f t="shared" si="115"/>
        <v>"Roman Bamesberger";"Gentlemen Prefer Blondes";"0"</v>
      </c>
      <c r="U1053" t="str">
        <f t="shared" si="116"/>
        <v>Roman Bamesberger</v>
      </c>
      <c r="V1053" t="str">
        <f t="shared" si="117"/>
        <v>Gentlemen Prefer Blondes</v>
      </c>
      <c r="W1053">
        <f t="shared" si="118"/>
        <v>0</v>
      </c>
    </row>
    <row r="1054" spans="1:23" x14ac:dyDescent="0.2">
      <c r="A1054" s="6" t="s">
        <v>34</v>
      </c>
      <c r="B1054" s="6">
        <v>2014</v>
      </c>
      <c r="C1054" s="6"/>
      <c r="D1054" s="6" t="s">
        <v>85</v>
      </c>
      <c r="E1054" s="6" t="s">
        <v>3</v>
      </c>
      <c r="F1054" s="6">
        <v>0</v>
      </c>
      <c r="G1054" s="6"/>
      <c r="H1054" s="6">
        <v>0</v>
      </c>
      <c r="I1054" s="6"/>
      <c r="J1054" s="6"/>
      <c r="K1054" s="6"/>
      <c r="L1054" s="6" t="str">
        <f t="shared" si="119"/>
        <v>Roman Bamesberger</v>
      </c>
      <c r="M1054" s="6" t="str">
        <f t="shared" si="120"/>
        <v>Grand Budapest Hotel (Fiennes, Abraham)</v>
      </c>
      <c r="N1054" s="9">
        <f t="shared" si="121"/>
        <v>0</v>
      </c>
      <c r="P1054" t="str">
        <f t="shared" si="115"/>
        <v>"Roman Bamesberger";"Grand Budapest Hotel";"0"</v>
      </c>
      <c r="U1054" t="str">
        <f t="shared" si="116"/>
        <v>Roman Bamesberger</v>
      </c>
      <c r="V1054" t="str">
        <f t="shared" si="117"/>
        <v>Grand Budapest Hotel</v>
      </c>
      <c r="W1054">
        <f t="shared" si="118"/>
        <v>0</v>
      </c>
    </row>
    <row r="1055" spans="1:23" x14ac:dyDescent="0.2">
      <c r="A1055" s="6" t="s">
        <v>35</v>
      </c>
      <c r="B1055" s="6">
        <v>2001</v>
      </c>
      <c r="C1055" s="6"/>
      <c r="D1055" s="6" t="s">
        <v>85</v>
      </c>
      <c r="E1055" s="6" t="s">
        <v>2</v>
      </c>
      <c r="F1055" s="6">
        <v>1</v>
      </c>
      <c r="G1055" s="6">
        <v>5</v>
      </c>
      <c r="H1055" s="6">
        <v>5</v>
      </c>
      <c r="I1055" s="6"/>
      <c r="J1055" s="6"/>
      <c r="K1055" s="6"/>
      <c r="L1055" s="6" t="str">
        <f t="shared" si="119"/>
        <v>Roman Bamesberger</v>
      </c>
      <c r="M1055" s="6" t="str">
        <f t="shared" si="120"/>
        <v>Harry Potter and the Philosopher's Stone (Radcliff, Harris)</v>
      </c>
      <c r="N1055" s="9">
        <f t="shared" si="121"/>
        <v>5</v>
      </c>
      <c r="P1055" t="str">
        <f t="shared" si="115"/>
        <v>"Roman Bamesberger";"Harry Potter and the Philosopher's Stone";"5"</v>
      </c>
      <c r="U1055" t="str">
        <f t="shared" si="116"/>
        <v>Roman Bamesberger</v>
      </c>
      <c r="V1055" t="str">
        <f t="shared" si="117"/>
        <v>Harry Potter and the Philosopher's Stone</v>
      </c>
      <c r="W1055">
        <f t="shared" si="118"/>
        <v>1</v>
      </c>
    </row>
    <row r="1056" spans="1:23" x14ac:dyDescent="0.2">
      <c r="A1056" s="6" t="s">
        <v>36</v>
      </c>
      <c r="B1056" s="6">
        <v>1950</v>
      </c>
      <c r="C1056" s="6"/>
      <c r="D1056" s="6" t="s">
        <v>85</v>
      </c>
      <c r="E1056" s="6" t="s">
        <v>3</v>
      </c>
      <c r="F1056" s="6">
        <v>0</v>
      </c>
      <c r="G1056" s="6"/>
      <c r="H1056" s="6">
        <v>0</v>
      </c>
      <c r="I1056" s="6"/>
      <c r="J1056" s="6"/>
      <c r="K1056" s="6"/>
      <c r="L1056" s="6" t="str">
        <f t="shared" si="119"/>
        <v>Roman Bamesberger</v>
      </c>
      <c r="M1056" s="6" t="str">
        <f t="shared" si="120"/>
        <v>Harvey (Stewart, Hull)</v>
      </c>
      <c r="N1056" s="9">
        <f t="shared" si="121"/>
        <v>0</v>
      </c>
      <c r="P1056" t="str">
        <f t="shared" si="115"/>
        <v>"Roman Bamesberger";"Harvey";"0"</v>
      </c>
      <c r="U1056" t="str">
        <f t="shared" si="116"/>
        <v>Roman Bamesberger</v>
      </c>
      <c r="V1056" t="str">
        <f t="shared" si="117"/>
        <v>Harvey</v>
      </c>
      <c r="W1056">
        <f t="shared" si="118"/>
        <v>0</v>
      </c>
    </row>
    <row r="1057" spans="1:23" x14ac:dyDescent="0.2">
      <c r="A1057" s="6" t="s">
        <v>37</v>
      </c>
      <c r="B1057" s="6">
        <v>1962</v>
      </c>
      <c r="C1057" s="6"/>
      <c r="D1057" s="6" t="s">
        <v>85</v>
      </c>
      <c r="E1057" s="6" t="s">
        <v>3</v>
      </c>
      <c r="F1057" s="6">
        <v>0</v>
      </c>
      <c r="G1057" s="6"/>
      <c r="H1057" s="6">
        <v>0</v>
      </c>
      <c r="I1057" s="6"/>
      <c r="J1057" s="6"/>
      <c r="K1057" s="6"/>
      <c r="L1057" s="6" t="str">
        <f t="shared" si="119"/>
        <v>Roman Bamesberger</v>
      </c>
      <c r="M1057" s="6" t="str">
        <f t="shared" si="120"/>
        <v>Hatari! (Wayne, Martinelli)</v>
      </c>
      <c r="N1057" s="9">
        <f t="shared" si="121"/>
        <v>0</v>
      </c>
      <c r="P1057" t="str">
        <f t="shared" si="115"/>
        <v>"Roman Bamesberger";"Hatari!";"0"</v>
      </c>
      <c r="U1057" t="str">
        <f t="shared" si="116"/>
        <v>Roman Bamesberger</v>
      </c>
      <c r="V1057" t="str">
        <f t="shared" si="117"/>
        <v>Hatari!</v>
      </c>
      <c r="W1057">
        <f t="shared" si="118"/>
        <v>0</v>
      </c>
    </row>
    <row r="1058" spans="1:23" x14ac:dyDescent="0.2">
      <c r="A1058" s="6" t="s">
        <v>38</v>
      </c>
      <c r="B1058" s="6">
        <v>1990</v>
      </c>
      <c r="C1058" s="6"/>
      <c r="D1058" s="6" t="s">
        <v>85</v>
      </c>
      <c r="E1058" s="6" t="s">
        <v>3</v>
      </c>
      <c r="F1058" s="6">
        <v>0</v>
      </c>
      <c r="G1058" s="6"/>
      <c r="H1058" s="6">
        <v>0</v>
      </c>
      <c r="I1058" s="6"/>
      <c r="J1058" s="6"/>
      <c r="K1058" s="6"/>
      <c r="L1058" s="6" t="str">
        <f t="shared" si="119"/>
        <v>Roman Bamesberger</v>
      </c>
      <c r="M1058" s="6" t="str">
        <f t="shared" si="120"/>
        <v>Home alone (Culkin, Pesci)</v>
      </c>
      <c r="N1058" s="9">
        <f t="shared" si="121"/>
        <v>0</v>
      </c>
      <c r="P1058" t="str">
        <f t="shared" si="115"/>
        <v>"Roman Bamesberger";"Home alone";"0"</v>
      </c>
      <c r="U1058" t="str">
        <f t="shared" si="116"/>
        <v>Roman Bamesberger</v>
      </c>
      <c r="V1058" t="str">
        <f t="shared" si="117"/>
        <v>Home alone</v>
      </c>
      <c r="W1058">
        <f t="shared" si="118"/>
        <v>0</v>
      </c>
    </row>
    <row r="1059" spans="1:23" x14ac:dyDescent="0.2">
      <c r="A1059" s="6" t="s">
        <v>39</v>
      </c>
      <c r="B1059" s="6">
        <v>2004</v>
      </c>
      <c r="C1059" s="6"/>
      <c r="D1059" s="6" t="s">
        <v>85</v>
      </c>
      <c r="E1059" s="6" t="s">
        <v>2</v>
      </c>
      <c r="F1059" s="6">
        <v>1</v>
      </c>
      <c r="G1059" s="6">
        <v>3</v>
      </c>
      <c r="H1059" s="6">
        <v>3</v>
      </c>
      <c r="I1059" s="6"/>
      <c r="J1059" s="6"/>
      <c r="K1059" s="6"/>
      <c r="L1059" s="6" t="str">
        <f t="shared" si="119"/>
        <v>Roman Bamesberger</v>
      </c>
      <c r="M1059" s="6" t="str">
        <f t="shared" si="120"/>
        <v>I, Robot (Smith, Moynahan)</v>
      </c>
      <c r="N1059" s="9">
        <f t="shared" si="121"/>
        <v>3</v>
      </c>
      <c r="P1059" t="str">
        <f t="shared" si="115"/>
        <v>"Roman Bamesberger";"I, Robot";"3"</v>
      </c>
      <c r="U1059" t="str">
        <f t="shared" si="116"/>
        <v>Roman Bamesberger</v>
      </c>
      <c r="V1059" t="str">
        <f t="shared" si="117"/>
        <v>I, Robot</v>
      </c>
      <c r="W1059">
        <f t="shared" si="118"/>
        <v>1</v>
      </c>
    </row>
    <row r="1060" spans="1:23" x14ac:dyDescent="0.2">
      <c r="A1060" s="6" t="s">
        <v>40</v>
      </c>
      <c r="B1060" s="6">
        <v>1967</v>
      </c>
      <c r="C1060" s="6"/>
      <c r="D1060" s="6" t="s">
        <v>85</v>
      </c>
      <c r="E1060" s="6" t="s">
        <v>3</v>
      </c>
      <c r="F1060" s="6">
        <v>0</v>
      </c>
      <c r="G1060" s="6"/>
      <c r="H1060" s="6">
        <v>0</v>
      </c>
      <c r="I1060" s="6"/>
      <c r="J1060" s="6"/>
      <c r="K1060" s="6"/>
      <c r="L1060" s="6" t="str">
        <f t="shared" si="119"/>
        <v>Roman Bamesberger</v>
      </c>
      <c r="M1060" s="6" t="str">
        <f t="shared" si="120"/>
        <v>In The Heat Of The Night (Poitier, Steiger)</v>
      </c>
      <c r="N1060" s="9">
        <f t="shared" si="121"/>
        <v>0</v>
      </c>
      <c r="P1060" t="str">
        <f t="shared" si="115"/>
        <v>"Roman Bamesberger";"In The Heat Of The Night";"0"</v>
      </c>
      <c r="U1060" t="str">
        <f t="shared" si="116"/>
        <v>Roman Bamesberger</v>
      </c>
      <c r="V1060" t="str">
        <f t="shared" si="117"/>
        <v>In The Heat Of The Night</v>
      </c>
      <c r="W1060">
        <f t="shared" si="118"/>
        <v>0</v>
      </c>
    </row>
    <row r="1061" spans="1:23" x14ac:dyDescent="0.2">
      <c r="A1061" s="6" t="s">
        <v>41</v>
      </c>
      <c r="B1061" s="6">
        <v>2014</v>
      </c>
      <c r="C1061" s="6"/>
      <c r="D1061" s="6" t="s">
        <v>85</v>
      </c>
      <c r="E1061" s="6" t="s">
        <v>3</v>
      </c>
      <c r="F1061" s="6">
        <v>0</v>
      </c>
      <c r="G1061" s="6"/>
      <c r="H1061" s="6">
        <v>0</v>
      </c>
      <c r="I1061" s="6"/>
      <c r="J1061" s="6"/>
      <c r="K1061" s="6"/>
      <c r="L1061" s="6" t="str">
        <f t="shared" si="119"/>
        <v>Roman Bamesberger</v>
      </c>
      <c r="M1061" s="6" t="str">
        <f t="shared" si="120"/>
        <v>Jack Ryan: Shadow Recruite (Pine, Costner)</v>
      </c>
      <c r="N1061" s="9">
        <f t="shared" si="121"/>
        <v>0</v>
      </c>
      <c r="P1061" t="str">
        <f t="shared" si="115"/>
        <v>"Roman Bamesberger";"Jack Ryan: Shadow Recruite";"0"</v>
      </c>
      <c r="U1061" t="str">
        <f t="shared" si="116"/>
        <v>Roman Bamesberger</v>
      </c>
      <c r="V1061" t="str">
        <f t="shared" si="117"/>
        <v>Jack Ryan: Shadow Recruite</v>
      </c>
      <c r="W1061">
        <f t="shared" si="118"/>
        <v>0</v>
      </c>
    </row>
    <row r="1062" spans="1:23" x14ac:dyDescent="0.2">
      <c r="A1062" s="6" t="s">
        <v>42</v>
      </c>
      <c r="B1062" s="6">
        <v>1995</v>
      </c>
      <c r="C1062" s="6"/>
      <c r="D1062" s="6" t="s">
        <v>85</v>
      </c>
      <c r="E1062" s="6" t="s">
        <v>2</v>
      </c>
      <c r="F1062" s="6">
        <v>1</v>
      </c>
      <c r="G1062" s="6">
        <v>4</v>
      </c>
      <c r="H1062" s="6">
        <v>4</v>
      </c>
      <c r="I1062" s="6"/>
      <c r="J1062" s="6"/>
      <c r="K1062" s="6"/>
      <c r="L1062" s="6" t="str">
        <f t="shared" si="119"/>
        <v>Roman Bamesberger</v>
      </c>
      <c r="M1062" s="6" t="str">
        <f t="shared" si="120"/>
        <v>Jumanji (Williams, Dunst)</v>
      </c>
      <c r="N1062" s="9">
        <f t="shared" si="121"/>
        <v>4</v>
      </c>
      <c r="P1062" t="str">
        <f t="shared" si="115"/>
        <v>"Roman Bamesberger";"Jumanji";"4"</v>
      </c>
      <c r="U1062" t="str">
        <f t="shared" si="116"/>
        <v>Roman Bamesberger</v>
      </c>
      <c r="V1062" t="str">
        <f t="shared" si="117"/>
        <v>Jumanji</v>
      </c>
      <c r="W1062">
        <f t="shared" si="118"/>
        <v>1</v>
      </c>
    </row>
    <row r="1063" spans="1:23" x14ac:dyDescent="0.2">
      <c r="A1063" s="6" t="s">
        <v>43</v>
      </c>
      <c r="B1063" s="6">
        <v>2005</v>
      </c>
      <c r="C1063" s="6"/>
      <c r="D1063" s="6" t="s">
        <v>85</v>
      </c>
      <c r="E1063" s="6" t="s">
        <v>2</v>
      </c>
      <c r="F1063" s="6">
        <v>1</v>
      </c>
      <c r="G1063" s="6">
        <v>3</v>
      </c>
      <c r="H1063" s="6">
        <v>3</v>
      </c>
      <c r="I1063" s="6"/>
      <c r="J1063" s="6"/>
      <c r="K1063" s="6"/>
      <c r="L1063" s="6" t="str">
        <f t="shared" si="119"/>
        <v>Roman Bamesberger</v>
      </c>
      <c r="M1063" s="6" t="str">
        <f t="shared" si="120"/>
        <v>King Kong (Watts, Black)</v>
      </c>
      <c r="N1063" s="9">
        <f t="shared" si="121"/>
        <v>3</v>
      </c>
      <c r="P1063" t="str">
        <f t="shared" si="115"/>
        <v>"Roman Bamesberger";"King Kong";"3"</v>
      </c>
      <c r="U1063" t="str">
        <f t="shared" si="116"/>
        <v>Roman Bamesberger</v>
      </c>
      <c r="V1063" t="str">
        <f t="shared" si="117"/>
        <v>King Kong</v>
      </c>
      <c r="W1063">
        <f t="shared" si="118"/>
        <v>1</v>
      </c>
    </row>
    <row r="1064" spans="1:23" x14ac:dyDescent="0.2">
      <c r="A1064" s="6" t="s">
        <v>44</v>
      </c>
      <c r="B1064" s="6">
        <v>2016</v>
      </c>
      <c r="C1064" s="6"/>
      <c r="D1064" s="6" t="s">
        <v>85</v>
      </c>
      <c r="E1064" s="6" t="s">
        <v>3</v>
      </c>
      <c r="F1064" s="6">
        <v>0</v>
      </c>
      <c r="G1064" s="6"/>
      <c r="H1064" s="6">
        <v>0</v>
      </c>
      <c r="I1064" s="6"/>
      <c r="J1064" s="6"/>
      <c r="K1064" s="6"/>
      <c r="L1064" s="6" t="str">
        <f t="shared" si="119"/>
        <v>Roman Bamesberger</v>
      </c>
      <c r="M1064" s="6" t="str">
        <f t="shared" si="120"/>
        <v>La La Land (Gosling, Stone)</v>
      </c>
      <c r="N1064" s="9">
        <f t="shared" si="121"/>
        <v>0</v>
      </c>
      <c r="P1064" t="str">
        <f t="shared" si="115"/>
        <v>"Roman Bamesberger";"La La Land";"0"</v>
      </c>
      <c r="U1064" t="str">
        <f t="shared" si="116"/>
        <v>Roman Bamesberger</v>
      </c>
      <c r="V1064" t="str">
        <f t="shared" si="117"/>
        <v>La La Land</v>
      </c>
      <c r="W1064">
        <f t="shared" si="118"/>
        <v>0</v>
      </c>
    </row>
    <row r="1065" spans="1:23" x14ac:dyDescent="0.2">
      <c r="A1065" s="6" t="s">
        <v>45</v>
      </c>
      <c r="B1065" s="6">
        <v>2001</v>
      </c>
      <c r="C1065" s="6"/>
      <c r="D1065" s="6" t="s">
        <v>85</v>
      </c>
      <c r="E1065" s="6" t="s">
        <v>2</v>
      </c>
      <c r="F1065" s="6">
        <v>1</v>
      </c>
      <c r="G1065" s="6">
        <v>5</v>
      </c>
      <c r="H1065" s="6">
        <v>5</v>
      </c>
      <c r="I1065" s="6"/>
      <c r="J1065" s="6"/>
      <c r="K1065" s="6"/>
      <c r="L1065" s="6" t="str">
        <f t="shared" si="119"/>
        <v>Roman Bamesberger</v>
      </c>
      <c r="M1065" s="6" t="str">
        <f t="shared" si="120"/>
        <v>Lord of the Rings (Woods, McKellen)</v>
      </c>
      <c r="N1065" s="9">
        <f t="shared" si="121"/>
        <v>5</v>
      </c>
      <c r="P1065" t="str">
        <f t="shared" si="115"/>
        <v>"Roman Bamesberger";"Lord of the Rings";"5"</v>
      </c>
      <c r="U1065" t="str">
        <f t="shared" si="116"/>
        <v>Roman Bamesberger</v>
      </c>
      <c r="V1065" t="str">
        <f t="shared" si="117"/>
        <v>Lord of the Rings</v>
      </c>
      <c r="W1065">
        <f t="shared" si="118"/>
        <v>1</v>
      </c>
    </row>
    <row r="1066" spans="1:23" x14ac:dyDescent="0.2">
      <c r="A1066" s="6" t="s">
        <v>46</v>
      </c>
      <c r="B1066" s="6">
        <v>1964</v>
      </c>
      <c r="C1066" s="6"/>
      <c r="D1066" s="6" t="s">
        <v>85</v>
      </c>
      <c r="E1066" s="6" t="s">
        <v>3</v>
      </c>
      <c r="F1066" s="6">
        <v>0</v>
      </c>
      <c r="G1066" s="6"/>
      <c r="H1066" s="6">
        <v>0</v>
      </c>
      <c r="I1066" s="6"/>
      <c r="J1066" s="6"/>
      <c r="K1066" s="6"/>
      <c r="L1066" s="6" t="str">
        <f t="shared" si="119"/>
        <v>Roman Bamesberger</v>
      </c>
      <c r="M1066" s="6" t="str">
        <f t="shared" si="120"/>
        <v>Per Un Pugno Di Dollari (Eastwood, Koch)</v>
      </c>
      <c r="N1066" s="9">
        <f t="shared" si="121"/>
        <v>0</v>
      </c>
      <c r="P1066" t="str">
        <f t="shared" si="115"/>
        <v>"Roman Bamesberger";"Per Un Pugno Di Dollari";"0"</v>
      </c>
      <c r="U1066" t="str">
        <f t="shared" si="116"/>
        <v>Roman Bamesberger</v>
      </c>
      <c r="V1066" t="str">
        <f t="shared" si="117"/>
        <v>Per Un Pugno Di Dollari</v>
      </c>
      <c r="W1066">
        <f t="shared" si="118"/>
        <v>0</v>
      </c>
    </row>
    <row r="1067" spans="1:23" x14ac:dyDescent="0.2">
      <c r="A1067" s="6" t="s">
        <v>47</v>
      </c>
      <c r="B1067" s="6">
        <v>1954</v>
      </c>
      <c r="C1067" s="6"/>
      <c r="D1067" s="6" t="s">
        <v>85</v>
      </c>
      <c r="E1067" s="6" t="s">
        <v>3</v>
      </c>
      <c r="F1067" s="6">
        <v>0</v>
      </c>
      <c r="G1067" s="6"/>
      <c r="H1067" s="6">
        <v>0</v>
      </c>
      <c r="I1067" s="6"/>
      <c r="J1067" s="6"/>
      <c r="K1067" s="6"/>
      <c r="L1067" s="6" t="str">
        <f t="shared" si="119"/>
        <v>Roman Bamesberger</v>
      </c>
      <c r="M1067" s="6" t="str">
        <f t="shared" si="120"/>
        <v>Rear Window (Stewart, Kelly)</v>
      </c>
      <c r="N1067" s="9">
        <f t="shared" si="121"/>
        <v>0</v>
      </c>
      <c r="P1067" t="str">
        <f t="shared" si="115"/>
        <v>"Roman Bamesberger";"Rear Window";"0"</v>
      </c>
      <c r="U1067" t="str">
        <f t="shared" si="116"/>
        <v>Roman Bamesberger</v>
      </c>
      <c r="V1067" t="str">
        <f t="shared" si="117"/>
        <v>Rear Window</v>
      </c>
      <c r="W1067">
        <f t="shared" si="118"/>
        <v>0</v>
      </c>
    </row>
    <row r="1068" spans="1:23" x14ac:dyDescent="0.2">
      <c r="A1068" s="6" t="s">
        <v>48</v>
      </c>
      <c r="B1068" s="6">
        <v>1955</v>
      </c>
      <c r="C1068" s="6"/>
      <c r="D1068" s="6" t="s">
        <v>85</v>
      </c>
      <c r="E1068" s="6" t="s">
        <v>3</v>
      </c>
      <c r="F1068" s="6">
        <v>0</v>
      </c>
      <c r="G1068" s="6"/>
      <c r="H1068" s="6">
        <v>0</v>
      </c>
      <c r="I1068" s="6"/>
      <c r="J1068" s="6"/>
      <c r="K1068" s="6"/>
      <c r="L1068" s="6" t="str">
        <f t="shared" si="119"/>
        <v>Roman Bamesberger</v>
      </c>
      <c r="M1068" s="6" t="str">
        <f t="shared" si="120"/>
        <v>Rebel Without A Cause (Dean, Wood)</v>
      </c>
      <c r="N1068" s="9">
        <f t="shared" si="121"/>
        <v>0</v>
      </c>
      <c r="P1068" t="str">
        <f t="shared" si="115"/>
        <v>"Roman Bamesberger";"Rebel Without A Cause";"0"</v>
      </c>
      <c r="U1068" t="str">
        <f t="shared" si="116"/>
        <v>Roman Bamesberger</v>
      </c>
      <c r="V1068" t="str">
        <f t="shared" si="117"/>
        <v>Rebel Without A Cause</v>
      </c>
      <c r="W1068">
        <f t="shared" si="118"/>
        <v>0</v>
      </c>
    </row>
    <row r="1069" spans="1:23" x14ac:dyDescent="0.2">
      <c r="A1069" s="6" t="s">
        <v>66</v>
      </c>
      <c r="B1069" s="6">
        <v>2005</v>
      </c>
      <c r="C1069" s="6"/>
      <c r="D1069" s="6" t="s">
        <v>85</v>
      </c>
      <c r="E1069" s="6" t="s">
        <v>3</v>
      </c>
      <c r="F1069" s="6">
        <v>0</v>
      </c>
      <c r="G1069" s="6"/>
      <c r="H1069" s="6">
        <v>0</v>
      </c>
      <c r="I1069" s="6"/>
      <c r="J1069" s="6"/>
      <c r="K1069" s="6"/>
      <c r="L1069" s="6" t="str">
        <f t="shared" si="119"/>
        <v>Roman Bamesberger</v>
      </c>
      <c r="M1069" s="6" t="str">
        <f t="shared" si="120"/>
        <v>Rumor has it (Aniston, Costner)</v>
      </c>
      <c r="N1069" s="9">
        <f t="shared" si="121"/>
        <v>0</v>
      </c>
      <c r="P1069" t="str">
        <f t="shared" si="115"/>
        <v>"Roman Bamesberger";"Rumor has it";"0"</v>
      </c>
      <c r="U1069" t="str">
        <f t="shared" si="116"/>
        <v>Roman Bamesberger</v>
      </c>
      <c r="V1069" t="str">
        <f t="shared" si="117"/>
        <v>Rumor has it</v>
      </c>
      <c r="W1069">
        <f t="shared" si="118"/>
        <v>0</v>
      </c>
    </row>
    <row r="1070" spans="1:23" x14ac:dyDescent="0.2">
      <c r="A1070" s="6" t="s">
        <v>49</v>
      </c>
      <c r="B1070" s="6">
        <v>1998</v>
      </c>
      <c r="C1070" s="6"/>
      <c r="D1070" s="6" t="s">
        <v>85</v>
      </c>
      <c r="E1070" s="6" t="s">
        <v>3</v>
      </c>
      <c r="F1070" s="6">
        <v>0</v>
      </c>
      <c r="G1070" s="6"/>
      <c r="H1070" s="6">
        <v>0</v>
      </c>
      <c r="I1070" s="6"/>
      <c r="J1070" s="6"/>
      <c r="K1070" s="6"/>
      <c r="L1070" s="6" t="str">
        <f t="shared" si="119"/>
        <v>Roman Bamesberger</v>
      </c>
      <c r="M1070" s="6" t="str">
        <f t="shared" si="120"/>
        <v>Saving private Ryan (Hanks, Damon)</v>
      </c>
      <c r="N1070" s="9">
        <f t="shared" si="121"/>
        <v>0</v>
      </c>
      <c r="P1070" t="str">
        <f t="shared" si="115"/>
        <v>"Roman Bamesberger";"Saving private Ryan";"0"</v>
      </c>
      <c r="U1070" t="str">
        <f t="shared" si="116"/>
        <v>Roman Bamesberger</v>
      </c>
      <c r="V1070" t="str">
        <f t="shared" si="117"/>
        <v>Saving private Ryan</v>
      </c>
      <c r="W1070">
        <f t="shared" si="118"/>
        <v>0</v>
      </c>
    </row>
    <row r="1071" spans="1:23" x14ac:dyDescent="0.2">
      <c r="A1071" s="6" t="s">
        <v>50</v>
      </c>
      <c r="B1071" s="6">
        <v>1993</v>
      </c>
      <c r="C1071" s="6"/>
      <c r="D1071" s="6" t="s">
        <v>85</v>
      </c>
      <c r="E1071" s="6" t="s">
        <v>2</v>
      </c>
      <c r="F1071" s="6">
        <v>1</v>
      </c>
      <c r="G1071" s="6">
        <v>5</v>
      </c>
      <c r="H1071" s="6">
        <v>5</v>
      </c>
      <c r="I1071" s="6"/>
      <c r="J1071" s="6"/>
      <c r="K1071" s="6"/>
      <c r="L1071" s="6" t="str">
        <f t="shared" si="119"/>
        <v>Roman Bamesberger</v>
      </c>
      <c r="M1071" s="6" t="str">
        <f t="shared" si="120"/>
        <v>Schindlers List (Neeson, Fiennes)</v>
      </c>
      <c r="N1071" s="9">
        <f t="shared" si="121"/>
        <v>5</v>
      </c>
      <c r="P1071" t="str">
        <f t="shared" si="115"/>
        <v>"Roman Bamesberger";"Schindlers List";"5"</v>
      </c>
      <c r="U1071" t="str">
        <f t="shared" si="116"/>
        <v>Roman Bamesberger</v>
      </c>
      <c r="V1071" t="str">
        <f t="shared" si="117"/>
        <v>Schindlers List</v>
      </c>
      <c r="W1071">
        <f t="shared" si="118"/>
        <v>1</v>
      </c>
    </row>
    <row r="1072" spans="1:23" x14ac:dyDescent="0.2">
      <c r="A1072" s="6" t="s">
        <v>51</v>
      </c>
      <c r="B1072" s="6">
        <v>1996</v>
      </c>
      <c r="C1072" s="6"/>
      <c r="D1072" s="6" t="s">
        <v>85</v>
      </c>
      <c r="E1072" s="6" t="s">
        <v>2</v>
      </c>
      <c r="F1072" s="6">
        <v>1</v>
      </c>
      <c r="G1072" s="6">
        <v>2</v>
      </c>
      <c r="H1072" s="6">
        <v>2</v>
      </c>
      <c r="I1072" s="6"/>
      <c r="J1072" s="6"/>
      <c r="K1072" s="6"/>
      <c r="L1072" s="6" t="str">
        <f t="shared" si="119"/>
        <v>Roman Bamesberger</v>
      </c>
      <c r="M1072" s="6" t="str">
        <f t="shared" si="120"/>
        <v>Scream (Arquette, Campell)</v>
      </c>
      <c r="N1072" s="9">
        <f t="shared" si="121"/>
        <v>2</v>
      </c>
      <c r="P1072" t="str">
        <f t="shared" si="115"/>
        <v>"Roman Bamesberger";"Scream";"2"</v>
      </c>
      <c r="U1072" t="str">
        <f t="shared" si="116"/>
        <v>Roman Bamesberger</v>
      </c>
      <c r="V1072" t="str">
        <f t="shared" si="117"/>
        <v>Scream</v>
      </c>
      <c r="W1072">
        <f t="shared" si="118"/>
        <v>1</v>
      </c>
    </row>
    <row r="1073" spans="1:23" x14ac:dyDescent="0.2">
      <c r="A1073" s="6" t="s">
        <v>52</v>
      </c>
      <c r="B1073" s="6">
        <v>1977</v>
      </c>
      <c r="C1073" s="6"/>
      <c r="D1073" s="6" t="s">
        <v>85</v>
      </c>
      <c r="E1073" s="6" t="s">
        <v>2</v>
      </c>
      <c r="F1073" s="6">
        <v>1</v>
      </c>
      <c r="G1073" s="6">
        <v>4</v>
      </c>
      <c r="H1073" s="6">
        <v>4</v>
      </c>
      <c r="I1073" s="6"/>
      <c r="J1073" s="6"/>
      <c r="K1073" s="6"/>
      <c r="L1073" s="6" t="str">
        <f t="shared" si="119"/>
        <v>Roman Bamesberger</v>
      </c>
      <c r="M1073" s="6" t="str">
        <f t="shared" si="120"/>
        <v>Star Wars IV: A new hope (Hamill, Ford)</v>
      </c>
      <c r="N1073" s="9">
        <f t="shared" si="121"/>
        <v>4</v>
      </c>
      <c r="P1073" t="str">
        <f t="shared" si="115"/>
        <v>"Roman Bamesberger";"Star Wars IV: A new hope";"4"</v>
      </c>
      <c r="U1073" t="str">
        <f t="shared" si="116"/>
        <v>Roman Bamesberger</v>
      </c>
      <c r="V1073" t="str">
        <f t="shared" si="117"/>
        <v>Star Wars IV: A new hope</v>
      </c>
      <c r="W1073">
        <f t="shared" si="118"/>
        <v>1</v>
      </c>
    </row>
    <row r="1074" spans="1:23" x14ac:dyDescent="0.2">
      <c r="A1074" s="6" t="s">
        <v>53</v>
      </c>
      <c r="B1074" s="6">
        <v>2016</v>
      </c>
      <c r="C1074" s="6"/>
      <c r="D1074" s="6" t="s">
        <v>85</v>
      </c>
      <c r="E1074" s="6" t="s">
        <v>2</v>
      </c>
      <c r="F1074" s="6">
        <v>1</v>
      </c>
      <c r="G1074" s="6">
        <v>4</v>
      </c>
      <c r="H1074" s="6">
        <v>4</v>
      </c>
      <c r="I1074" s="6"/>
      <c r="J1074" s="6"/>
      <c r="K1074" s="6"/>
      <c r="L1074" s="6" t="str">
        <f t="shared" si="119"/>
        <v>Roman Bamesberger</v>
      </c>
      <c r="M1074" s="6" t="str">
        <f t="shared" si="120"/>
        <v>Suicide Squad (Smith, Robbie)</v>
      </c>
      <c r="N1074" s="9">
        <f t="shared" si="121"/>
        <v>4</v>
      </c>
      <c r="P1074" t="str">
        <f t="shared" si="115"/>
        <v>"Roman Bamesberger";"Suicide Squad";"4"</v>
      </c>
      <c r="U1074" t="str">
        <f t="shared" si="116"/>
        <v>Roman Bamesberger</v>
      </c>
      <c r="V1074" t="str">
        <f t="shared" si="117"/>
        <v>Suicide Squad</v>
      </c>
      <c r="W1074">
        <f t="shared" si="118"/>
        <v>1</v>
      </c>
    </row>
    <row r="1075" spans="1:23" x14ac:dyDescent="0.2">
      <c r="A1075" s="6" t="s">
        <v>54</v>
      </c>
      <c r="B1075" s="6">
        <v>2010</v>
      </c>
      <c r="C1075" s="6"/>
      <c r="D1075" s="6" t="s">
        <v>85</v>
      </c>
      <c r="E1075" s="6" t="s">
        <v>3</v>
      </c>
      <c r="F1075" s="6">
        <v>0</v>
      </c>
      <c r="G1075" s="6"/>
      <c r="H1075" s="6">
        <v>0</v>
      </c>
      <c r="I1075" s="6"/>
      <c r="J1075" s="6"/>
      <c r="K1075" s="6"/>
      <c r="L1075" s="6" t="str">
        <f t="shared" si="119"/>
        <v>Roman Bamesberger</v>
      </c>
      <c r="M1075" s="6" t="str">
        <f t="shared" si="120"/>
        <v>Tangled (Disney)</v>
      </c>
      <c r="N1075" s="9">
        <f t="shared" si="121"/>
        <v>0</v>
      </c>
      <c r="P1075" t="str">
        <f t="shared" si="115"/>
        <v>"Roman Bamesberger";"Tangled";"0"</v>
      </c>
      <c r="U1075" t="str">
        <f t="shared" si="116"/>
        <v>Roman Bamesberger</v>
      </c>
      <c r="V1075" t="str">
        <f t="shared" si="117"/>
        <v>Tangled</v>
      </c>
      <c r="W1075">
        <f t="shared" si="118"/>
        <v>0</v>
      </c>
    </row>
    <row r="1076" spans="1:23" x14ac:dyDescent="0.2">
      <c r="A1076" s="6" t="s">
        <v>55</v>
      </c>
      <c r="B1076" s="6">
        <v>2012</v>
      </c>
      <c r="C1076" s="6"/>
      <c r="D1076" s="6" t="s">
        <v>85</v>
      </c>
      <c r="E1076" s="6" t="s">
        <v>2</v>
      </c>
      <c r="F1076" s="6">
        <v>1</v>
      </c>
      <c r="G1076" s="6">
        <v>3</v>
      </c>
      <c r="H1076" s="6">
        <v>3</v>
      </c>
      <c r="I1076" s="6"/>
      <c r="J1076" s="6"/>
      <c r="K1076" s="6"/>
      <c r="L1076" s="6" t="str">
        <f t="shared" si="119"/>
        <v>Roman Bamesberger</v>
      </c>
      <c r="M1076" s="6" t="str">
        <f t="shared" si="120"/>
        <v>The Avengers (Downey Jr. Evans)</v>
      </c>
      <c r="N1076" s="9">
        <f t="shared" si="121"/>
        <v>3</v>
      </c>
      <c r="P1076" t="str">
        <f t="shared" si="115"/>
        <v>"Roman Bamesberger";"The Avengers";"3"</v>
      </c>
      <c r="U1076" t="str">
        <f t="shared" si="116"/>
        <v>Roman Bamesberger</v>
      </c>
      <c r="V1076" t="str">
        <f t="shared" si="117"/>
        <v>The Avengers</v>
      </c>
      <c r="W1076">
        <f t="shared" si="118"/>
        <v>1</v>
      </c>
    </row>
    <row r="1077" spans="1:23" x14ac:dyDescent="0.2">
      <c r="A1077" s="6" t="s">
        <v>56</v>
      </c>
      <c r="B1077" s="6">
        <v>1973</v>
      </c>
      <c r="C1077" s="6"/>
      <c r="D1077" s="6" t="s">
        <v>85</v>
      </c>
      <c r="E1077" s="6" t="s">
        <v>2</v>
      </c>
      <c r="F1077" s="6">
        <v>1</v>
      </c>
      <c r="G1077" s="6">
        <v>4</v>
      </c>
      <c r="H1077" s="6">
        <v>4</v>
      </c>
      <c r="I1077" s="6"/>
      <c r="J1077" s="6"/>
      <c r="K1077" s="6"/>
      <c r="L1077" s="6" t="str">
        <f t="shared" si="119"/>
        <v>Roman Bamesberger</v>
      </c>
      <c r="M1077" s="6" t="str">
        <f t="shared" si="120"/>
        <v>The Exorcist (von Sydow, Blair)</v>
      </c>
      <c r="N1077" s="9">
        <f t="shared" si="121"/>
        <v>4</v>
      </c>
      <c r="P1077" t="str">
        <f t="shared" si="115"/>
        <v>"Roman Bamesberger";"The Exorcist";"4"</v>
      </c>
      <c r="U1077" t="str">
        <f t="shared" si="116"/>
        <v>Roman Bamesberger</v>
      </c>
      <c r="V1077" t="str">
        <f t="shared" si="117"/>
        <v>The Exorcist</v>
      </c>
      <c r="W1077">
        <f t="shared" si="118"/>
        <v>1</v>
      </c>
    </row>
    <row r="1078" spans="1:23" x14ac:dyDescent="0.2">
      <c r="A1078" s="6" t="s">
        <v>57</v>
      </c>
      <c r="B1078" s="6">
        <v>1972</v>
      </c>
      <c r="C1078" s="6"/>
      <c r="D1078" s="6" t="s">
        <v>85</v>
      </c>
      <c r="E1078" s="6" t="s">
        <v>2</v>
      </c>
      <c r="F1078" s="6">
        <v>1</v>
      </c>
      <c r="G1078" s="6">
        <v>5</v>
      </c>
      <c r="H1078" s="6">
        <v>5</v>
      </c>
      <c r="I1078" s="6"/>
      <c r="J1078" s="6"/>
      <c r="K1078" s="6"/>
      <c r="L1078" s="6" t="str">
        <f t="shared" si="119"/>
        <v>Roman Bamesberger</v>
      </c>
      <c r="M1078" s="6" t="str">
        <f t="shared" si="120"/>
        <v>The Godfather (Brando, Pacino)</v>
      </c>
      <c r="N1078" s="9">
        <f t="shared" si="121"/>
        <v>5</v>
      </c>
      <c r="P1078" t="str">
        <f t="shared" si="115"/>
        <v>"Roman Bamesberger";"The Godfather";"5"</v>
      </c>
      <c r="U1078" t="str">
        <f t="shared" si="116"/>
        <v>Roman Bamesberger</v>
      </c>
      <c r="V1078" t="str">
        <f t="shared" si="117"/>
        <v>The Godfather</v>
      </c>
      <c r="W1078">
        <f t="shared" si="118"/>
        <v>1</v>
      </c>
    </row>
    <row r="1079" spans="1:23" x14ac:dyDescent="0.2">
      <c r="A1079" s="6" t="s">
        <v>58</v>
      </c>
      <c r="B1079" s="6">
        <v>1994</v>
      </c>
      <c r="C1079" s="6"/>
      <c r="D1079" s="6" t="s">
        <v>85</v>
      </c>
      <c r="E1079" s="6" t="s">
        <v>2</v>
      </c>
      <c r="F1079" s="6">
        <v>1</v>
      </c>
      <c r="G1079" s="6">
        <v>4</v>
      </c>
      <c r="H1079" s="6">
        <v>4</v>
      </c>
      <c r="I1079" s="6"/>
      <c r="J1079" s="6"/>
      <c r="K1079" s="6"/>
      <c r="L1079" s="6" t="str">
        <f t="shared" si="119"/>
        <v>Roman Bamesberger</v>
      </c>
      <c r="M1079" s="6" t="str">
        <f t="shared" si="120"/>
        <v>The Lion King (Disney)</v>
      </c>
      <c r="N1079" s="9">
        <f t="shared" si="121"/>
        <v>4</v>
      </c>
      <c r="P1079" t="str">
        <f t="shared" si="115"/>
        <v>"Roman Bamesberger";"The Lion King";"4"</v>
      </c>
      <c r="U1079" t="str">
        <f t="shared" si="116"/>
        <v>Roman Bamesberger</v>
      </c>
      <c r="V1079" t="str">
        <f t="shared" si="117"/>
        <v>The Lion King</v>
      </c>
      <c r="W1079">
        <f t="shared" si="118"/>
        <v>1</v>
      </c>
    </row>
    <row r="1080" spans="1:23" x14ac:dyDescent="0.2">
      <c r="A1080" s="6" t="s">
        <v>59</v>
      </c>
      <c r="B1080" s="6">
        <v>1999</v>
      </c>
      <c r="C1080" s="6"/>
      <c r="D1080" s="6" t="s">
        <v>85</v>
      </c>
      <c r="E1080" s="6" t="s">
        <v>2</v>
      </c>
      <c r="F1080" s="6">
        <v>1</v>
      </c>
      <c r="G1080" s="6">
        <v>3</v>
      </c>
      <c r="H1080" s="6">
        <v>3</v>
      </c>
      <c r="I1080" s="6"/>
      <c r="J1080" s="6"/>
      <c r="K1080" s="6"/>
      <c r="L1080" s="6" t="str">
        <f t="shared" si="119"/>
        <v>Roman Bamesberger</v>
      </c>
      <c r="M1080" s="6" t="str">
        <f t="shared" si="120"/>
        <v>The Matrix (Reeves, Fishburn)</v>
      </c>
      <c r="N1080" s="9">
        <f t="shared" si="121"/>
        <v>3</v>
      </c>
      <c r="P1080" t="str">
        <f t="shared" si="115"/>
        <v>"Roman Bamesberger";"The Matrix";"3"</v>
      </c>
      <c r="U1080" t="str">
        <f t="shared" si="116"/>
        <v>Roman Bamesberger</v>
      </c>
      <c r="V1080" t="str">
        <f t="shared" si="117"/>
        <v>The Matrix</v>
      </c>
      <c r="W1080">
        <f t="shared" si="118"/>
        <v>1</v>
      </c>
    </row>
    <row r="1081" spans="1:23" x14ac:dyDescent="0.2">
      <c r="A1081" s="6" t="s">
        <v>60</v>
      </c>
      <c r="B1081" s="6">
        <v>1980</v>
      </c>
      <c r="C1081" s="6"/>
      <c r="D1081" s="6" t="s">
        <v>85</v>
      </c>
      <c r="E1081" s="6" t="s">
        <v>3</v>
      </c>
      <c r="F1081" s="6">
        <v>0</v>
      </c>
      <c r="G1081" s="6"/>
      <c r="H1081" s="6">
        <v>0</v>
      </c>
      <c r="I1081" s="6"/>
      <c r="J1081" s="6"/>
      <c r="K1081" s="6"/>
      <c r="L1081" s="6" t="str">
        <f t="shared" si="119"/>
        <v>Roman Bamesberger</v>
      </c>
      <c r="M1081" s="6" t="str">
        <f t="shared" si="120"/>
        <v>The Shining (Nicholson, Duvall)</v>
      </c>
      <c r="N1081" s="9">
        <f t="shared" si="121"/>
        <v>0</v>
      </c>
      <c r="P1081" t="str">
        <f t="shared" si="115"/>
        <v>"Roman Bamesberger";"The Shining";"0"</v>
      </c>
      <c r="U1081" t="str">
        <f t="shared" si="116"/>
        <v>Roman Bamesberger</v>
      </c>
      <c r="V1081" t="str">
        <f t="shared" si="117"/>
        <v>The Shining</v>
      </c>
      <c r="W1081">
        <f t="shared" si="118"/>
        <v>0</v>
      </c>
    </row>
    <row r="1082" spans="1:23" x14ac:dyDescent="0.2">
      <c r="A1082" s="6" t="s">
        <v>61</v>
      </c>
      <c r="B1082" s="6">
        <v>1984</v>
      </c>
      <c r="C1082" s="6"/>
      <c r="D1082" s="6" t="s">
        <v>85</v>
      </c>
      <c r="E1082" s="6" t="s">
        <v>2</v>
      </c>
      <c r="F1082" s="6">
        <v>1</v>
      </c>
      <c r="G1082" s="6">
        <v>5</v>
      </c>
      <c r="H1082" s="6">
        <v>5</v>
      </c>
      <c r="I1082" s="6"/>
      <c r="J1082" s="6"/>
      <c r="K1082" s="6"/>
      <c r="L1082" s="6" t="str">
        <f t="shared" si="119"/>
        <v>Roman Bamesberger</v>
      </c>
      <c r="M1082" s="6" t="str">
        <f t="shared" si="120"/>
        <v>The Terminator (Schwarzenegger, Hamilton)</v>
      </c>
      <c r="N1082" s="9">
        <f t="shared" si="121"/>
        <v>5</v>
      </c>
      <c r="P1082" t="str">
        <f t="shared" si="115"/>
        <v>"Roman Bamesberger";"The Terminator";"5"</v>
      </c>
      <c r="U1082" t="str">
        <f t="shared" si="116"/>
        <v>Roman Bamesberger</v>
      </c>
      <c r="V1082" t="str">
        <f t="shared" si="117"/>
        <v>The Terminator</v>
      </c>
      <c r="W1082">
        <f t="shared" si="118"/>
        <v>1</v>
      </c>
    </row>
    <row r="1083" spans="1:23" x14ac:dyDescent="0.2">
      <c r="A1083" s="6" t="s">
        <v>62</v>
      </c>
      <c r="B1083" s="6">
        <v>1986</v>
      </c>
      <c r="C1083" s="6"/>
      <c r="D1083" s="6" t="s">
        <v>85</v>
      </c>
      <c r="E1083" s="6" t="s">
        <v>2</v>
      </c>
      <c r="F1083" s="6">
        <v>1</v>
      </c>
      <c r="G1083" s="6">
        <v>4</v>
      </c>
      <c r="H1083" s="6">
        <v>4</v>
      </c>
      <c r="I1083" s="6"/>
      <c r="J1083" s="6"/>
      <c r="K1083" s="6"/>
      <c r="L1083" s="6" t="str">
        <f t="shared" si="119"/>
        <v>Roman Bamesberger</v>
      </c>
      <c r="M1083" s="6" t="str">
        <f t="shared" si="120"/>
        <v>Top Gun (Cruise, McGillis)</v>
      </c>
      <c r="N1083" s="9">
        <f t="shared" si="121"/>
        <v>4</v>
      </c>
      <c r="P1083" t="str">
        <f t="shared" si="115"/>
        <v>"Roman Bamesberger";"Top Gun";"4"</v>
      </c>
      <c r="U1083" t="str">
        <f t="shared" si="116"/>
        <v>Roman Bamesberger</v>
      </c>
      <c r="V1083" t="str">
        <f t="shared" si="117"/>
        <v>Top Gun</v>
      </c>
      <c r="W1083">
        <f t="shared" si="118"/>
        <v>1</v>
      </c>
    </row>
    <row r="1084" spans="1:23" x14ac:dyDescent="0.2">
      <c r="A1084" s="6" t="s">
        <v>63</v>
      </c>
      <c r="B1084" s="6">
        <v>1995</v>
      </c>
      <c r="C1084" s="6"/>
      <c r="D1084" s="6" t="s">
        <v>85</v>
      </c>
      <c r="E1084" s="6" t="s">
        <v>2</v>
      </c>
      <c r="F1084" s="6">
        <v>1</v>
      </c>
      <c r="G1084" s="6">
        <v>4</v>
      </c>
      <c r="H1084" s="6">
        <v>4</v>
      </c>
      <c r="I1084" s="6"/>
      <c r="J1084" s="6"/>
      <c r="K1084" s="6"/>
      <c r="L1084" s="6" t="str">
        <f t="shared" si="119"/>
        <v>Roman Bamesberger</v>
      </c>
      <c r="M1084" s="6" t="str">
        <f t="shared" si="120"/>
        <v>Toy Story (Pixar)</v>
      </c>
      <c r="N1084" s="9">
        <f t="shared" si="121"/>
        <v>4</v>
      </c>
      <c r="P1084" t="str">
        <f t="shared" si="115"/>
        <v>"Roman Bamesberger";"Toy Story";"4"</v>
      </c>
      <c r="U1084" t="str">
        <f t="shared" si="116"/>
        <v>Roman Bamesberger</v>
      </c>
      <c r="V1084" t="str">
        <f t="shared" si="117"/>
        <v>Toy Story</v>
      </c>
      <c r="W1084">
        <f t="shared" si="118"/>
        <v>1</v>
      </c>
    </row>
    <row r="1085" spans="1:23" x14ac:dyDescent="0.2">
      <c r="A1085" s="6" t="s">
        <v>8</v>
      </c>
      <c r="B1085" s="6">
        <v>1968</v>
      </c>
      <c r="C1085" s="6"/>
      <c r="D1085" s="6" t="s">
        <v>86</v>
      </c>
      <c r="E1085" s="6" t="s">
        <v>3</v>
      </c>
      <c r="F1085" s="6">
        <v>0</v>
      </c>
      <c r="G1085" s="6"/>
      <c r="H1085" s="6">
        <v>0</v>
      </c>
      <c r="I1085" s="6"/>
      <c r="J1085" s="6"/>
      <c r="K1085" s="6"/>
      <c r="L1085" s="6" t="str">
        <f t="shared" si="119"/>
        <v>Christoph Burger</v>
      </c>
      <c r="M1085" s="6" t="str">
        <f t="shared" si="120"/>
        <v>2001: A Space Odyssey (Duella, Lockwood)</v>
      </c>
      <c r="N1085" s="9">
        <f t="shared" si="121"/>
        <v>0</v>
      </c>
      <c r="P1085" t="str">
        <f t="shared" si="115"/>
        <v>"Christoph Burger";"2001: A Space Odyssey";"0"</v>
      </c>
      <c r="U1085" t="str">
        <f t="shared" si="116"/>
        <v>Christoph Burger</v>
      </c>
      <c r="V1085" t="str">
        <f t="shared" si="117"/>
        <v>2001: A Space Odyssey</v>
      </c>
      <c r="W1085">
        <f t="shared" si="118"/>
        <v>0</v>
      </c>
    </row>
    <row r="1086" spans="1:23" x14ac:dyDescent="0.2">
      <c r="A1086" s="6" t="s">
        <v>9</v>
      </c>
      <c r="B1086" s="6">
        <v>1971</v>
      </c>
      <c r="C1086" s="6"/>
      <c r="D1086" s="6" t="s">
        <v>86</v>
      </c>
      <c r="E1086" s="6" t="s">
        <v>2</v>
      </c>
      <c r="F1086" s="6">
        <v>1</v>
      </c>
      <c r="G1086" s="6">
        <v>5</v>
      </c>
      <c r="H1086" s="6">
        <v>5</v>
      </c>
      <c r="I1086" s="6"/>
      <c r="J1086" s="6"/>
      <c r="K1086" s="6"/>
      <c r="L1086" s="6" t="str">
        <f t="shared" si="119"/>
        <v>Christoph Burger</v>
      </c>
      <c r="M1086" s="6" t="str">
        <f t="shared" si="120"/>
        <v>A Clockwork Orange (McDowell, Magee)</v>
      </c>
      <c r="N1086" s="9">
        <f t="shared" si="121"/>
        <v>5</v>
      </c>
      <c r="P1086" t="str">
        <f t="shared" si="115"/>
        <v>"Christoph Burger";"A Clockwork Orange";"5"</v>
      </c>
      <c r="U1086" t="str">
        <f t="shared" si="116"/>
        <v>Christoph Burger</v>
      </c>
      <c r="V1086" t="str">
        <f t="shared" si="117"/>
        <v>A Clockwork Orange</v>
      </c>
      <c r="W1086">
        <f t="shared" si="118"/>
        <v>1</v>
      </c>
    </row>
    <row r="1087" spans="1:23" x14ac:dyDescent="0.2">
      <c r="A1087" s="6" t="s">
        <v>10</v>
      </c>
      <c r="B1087" s="6">
        <v>2018</v>
      </c>
      <c r="C1087" s="6"/>
      <c r="D1087" s="6" t="s">
        <v>86</v>
      </c>
      <c r="E1087" s="6" t="s">
        <v>3</v>
      </c>
      <c r="F1087" s="6">
        <v>0</v>
      </c>
      <c r="G1087" s="6"/>
      <c r="H1087" s="6">
        <v>0</v>
      </c>
      <c r="I1087" s="6"/>
      <c r="J1087" s="6"/>
      <c r="K1087" s="6"/>
      <c r="L1087" s="6" t="str">
        <f t="shared" si="119"/>
        <v>Christoph Burger</v>
      </c>
      <c r="M1087" s="6" t="str">
        <f t="shared" si="120"/>
        <v>A star is born (Gaga, Cooper)</v>
      </c>
      <c r="N1087" s="9">
        <f t="shared" si="121"/>
        <v>0</v>
      </c>
      <c r="P1087" t="str">
        <f t="shared" si="115"/>
        <v>"Christoph Burger";"A star is born";"0"</v>
      </c>
      <c r="U1087" t="str">
        <f t="shared" si="116"/>
        <v>Christoph Burger</v>
      </c>
      <c r="V1087" t="str">
        <f t="shared" si="117"/>
        <v>A star is born</v>
      </c>
      <c r="W1087">
        <f t="shared" si="118"/>
        <v>0</v>
      </c>
    </row>
    <row r="1088" spans="1:23" x14ac:dyDescent="0.2">
      <c r="A1088" s="6" t="s">
        <v>11</v>
      </c>
      <c r="B1088" s="6">
        <v>2005</v>
      </c>
      <c r="C1088" s="6"/>
      <c r="D1088" s="6" t="s">
        <v>86</v>
      </c>
      <c r="E1088" s="6" t="s">
        <v>3</v>
      </c>
      <c r="F1088" s="6">
        <v>0</v>
      </c>
      <c r="G1088" s="6"/>
      <c r="H1088" s="6">
        <v>0</v>
      </c>
      <c r="I1088" s="6"/>
      <c r="J1088" s="6"/>
      <c r="K1088" s="6"/>
      <c r="L1088" s="6" t="str">
        <f t="shared" si="119"/>
        <v>Christoph Burger</v>
      </c>
      <c r="M1088" s="6" t="str">
        <f t="shared" si="120"/>
        <v>Aeon Flux (Theron, Csokas)</v>
      </c>
      <c r="N1088" s="9">
        <f t="shared" si="121"/>
        <v>0</v>
      </c>
      <c r="P1088" t="str">
        <f t="shared" si="115"/>
        <v>"Christoph Burger";"Aeon Flux";"0"</v>
      </c>
      <c r="U1088" t="str">
        <f t="shared" si="116"/>
        <v>Christoph Burger</v>
      </c>
      <c r="V1088" t="str">
        <f t="shared" si="117"/>
        <v>Aeon Flux</v>
      </c>
      <c r="W1088">
        <f t="shared" si="118"/>
        <v>0</v>
      </c>
    </row>
    <row r="1089" spans="1:23" x14ac:dyDescent="0.2">
      <c r="A1089" s="6" t="s">
        <v>12</v>
      </c>
      <c r="B1089" s="6">
        <v>1951</v>
      </c>
      <c r="C1089" s="6"/>
      <c r="D1089" s="6" t="s">
        <v>86</v>
      </c>
      <c r="E1089" s="6" t="s">
        <v>3</v>
      </c>
      <c r="F1089" s="6">
        <v>0</v>
      </c>
      <c r="G1089" s="6"/>
      <c r="H1089" s="6">
        <v>0</v>
      </c>
      <c r="I1089" s="6"/>
      <c r="J1089" s="6"/>
      <c r="K1089" s="6"/>
      <c r="L1089" s="6" t="str">
        <f t="shared" si="119"/>
        <v>Christoph Burger</v>
      </c>
      <c r="M1089" s="6" t="str">
        <f t="shared" si="120"/>
        <v>African Queen (Bogart, Hepburn)</v>
      </c>
      <c r="N1089" s="9">
        <f t="shared" si="121"/>
        <v>0</v>
      </c>
      <c r="P1089" t="str">
        <f t="shared" si="115"/>
        <v>"Christoph Burger";"African Queen";"0"</v>
      </c>
      <c r="U1089" t="str">
        <f t="shared" si="116"/>
        <v>Christoph Burger</v>
      </c>
      <c r="V1089" t="str">
        <f t="shared" si="117"/>
        <v>African Queen</v>
      </c>
      <c r="W1089">
        <f t="shared" si="118"/>
        <v>0</v>
      </c>
    </row>
    <row r="1090" spans="1:23" x14ac:dyDescent="0.2">
      <c r="A1090" s="6" t="s">
        <v>13</v>
      </c>
      <c r="B1090" s="6">
        <v>1979</v>
      </c>
      <c r="C1090" s="6"/>
      <c r="D1090" s="6" t="s">
        <v>86</v>
      </c>
      <c r="E1090" s="6" t="s">
        <v>2</v>
      </c>
      <c r="F1090" s="6">
        <v>1</v>
      </c>
      <c r="G1090" s="6">
        <v>4</v>
      </c>
      <c r="H1090" s="6">
        <v>4</v>
      </c>
      <c r="I1090" s="6"/>
      <c r="J1090" s="6"/>
      <c r="K1090" s="6"/>
      <c r="L1090" s="6" t="str">
        <f t="shared" si="119"/>
        <v>Christoph Burger</v>
      </c>
      <c r="M1090" s="6" t="str">
        <f t="shared" si="120"/>
        <v>Alien (Weaver, Skerritt)</v>
      </c>
      <c r="N1090" s="9">
        <f t="shared" si="121"/>
        <v>4</v>
      </c>
      <c r="P1090" t="str">
        <f t="shared" si="115"/>
        <v>"Christoph Burger";"Alien";"4"</v>
      </c>
      <c r="U1090" t="str">
        <f t="shared" si="116"/>
        <v>Christoph Burger</v>
      </c>
      <c r="V1090" t="str">
        <f t="shared" si="117"/>
        <v>Alien</v>
      </c>
      <c r="W1090">
        <f t="shared" si="118"/>
        <v>1</v>
      </c>
    </row>
    <row r="1091" spans="1:23" x14ac:dyDescent="0.2">
      <c r="A1091" s="6" t="s">
        <v>14</v>
      </c>
      <c r="B1091" s="6">
        <v>1960</v>
      </c>
      <c r="C1091" s="6"/>
      <c r="D1091" s="6" t="s">
        <v>86</v>
      </c>
      <c r="E1091" s="6" t="s">
        <v>3</v>
      </c>
      <c r="F1091" s="6">
        <v>0</v>
      </c>
      <c r="G1091" s="6"/>
      <c r="H1091" s="6">
        <v>0</v>
      </c>
      <c r="I1091" s="6"/>
      <c r="J1091" s="6"/>
      <c r="K1091" s="6"/>
      <c r="L1091" s="6" t="str">
        <f t="shared" si="119"/>
        <v>Christoph Burger</v>
      </c>
      <c r="M1091" s="6" t="str">
        <f t="shared" si="120"/>
        <v>Apartment (Lemmon, MacLaine)</v>
      </c>
      <c r="N1091" s="9">
        <f t="shared" si="121"/>
        <v>0</v>
      </c>
      <c r="P1091" t="str">
        <f t="shared" ref="P1091:P1154" si="122">""""&amp;L1091&amp;""";"""&amp;LEFT(M1091,FIND("(",M1091)-2)&amp;""";"""&amp;SUBSTITUTE(N1091,",",".")&amp;""""</f>
        <v>"Christoph Burger";"Apartment";"0"</v>
      </c>
      <c r="U1091" t="str">
        <f t="shared" ref="U1091:U1154" si="123">D1091</f>
        <v>Christoph Burger</v>
      </c>
      <c r="V1091" t="str">
        <f t="shared" ref="V1091:V1154" si="124">LEFT(A1091,FIND("(",A1091)-2)</f>
        <v>Apartment</v>
      </c>
      <c r="W1091">
        <f t="shared" ref="W1091:W1154" si="125">F1091</f>
        <v>0</v>
      </c>
    </row>
    <row r="1092" spans="1:23" x14ac:dyDescent="0.2">
      <c r="A1092" s="6" t="s">
        <v>15</v>
      </c>
      <c r="B1092" s="6">
        <v>1979</v>
      </c>
      <c r="C1092" s="6"/>
      <c r="D1092" s="6" t="s">
        <v>86</v>
      </c>
      <c r="E1092" s="6" t="s">
        <v>2</v>
      </c>
      <c r="F1092" s="6">
        <v>1</v>
      </c>
      <c r="G1092" s="6">
        <v>3</v>
      </c>
      <c r="H1092" s="6">
        <v>3</v>
      </c>
      <c r="I1092" s="6"/>
      <c r="J1092" s="6"/>
      <c r="K1092" s="6"/>
      <c r="L1092" s="6" t="str">
        <f t="shared" ref="L1092:L1155" si="126">D1092</f>
        <v>Christoph Burger</v>
      </c>
      <c r="M1092" s="6" t="str">
        <f t="shared" ref="M1092:M1155" si="127">A1092</f>
        <v>Apocalypse Now (Sheen, Brando)</v>
      </c>
      <c r="N1092" s="9">
        <f t="shared" ref="N1092:N1155" si="128">H1092</f>
        <v>3</v>
      </c>
      <c r="P1092" t="str">
        <f t="shared" si="122"/>
        <v>"Christoph Burger";"Apocalypse Now";"3"</v>
      </c>
      <c r="U1092" t="str">
        <f t="shared" si="123"/>
        <v>Christoph Burger</v>
      </c>
      <c r="V1092" t="str">
        <f t="shared" si="124"/>
        <v>Apocalypse Now</v>
      </c>
      <c r="W1092">
        <f t="shared" si="125"/>
        <v>1</v>
      </c>
    </row>
    <row r="1093" spans="1:23" x14ac:dyDescent="0.2">
      <c r="A1093" s="6" t="s">
        <v>16</v>
      </c>
      <c r="B1093" s="6">
        <v>1956</v>
      </c>
      <c r="C1093" s="6"/>
      <c r="D1093" s="6" t="s">
        <v>86</v>
      </c>
      <c r="E1093" s="6" t="s">
        <v>3</v>
      </c>
      <c r="F1093" s="6">
        <v>0</v>
      </c>
      <c r="G1093" s="6"/>
      <c r="H1093" s="6">
        <v>0</v>
      </c>
      <c r="I1093" s="6"/>
      <c r="J1093" s="6"/>
      <c r="K1093" s="6"/>
      <c r="L1093" s="6" t="str">
        <f t="shared" si="126"/>
        <v>Christoph Burger</v>
      </c>
      <c r="M1093" s="6" t="str">
        <f t="shared" si="127"/>
        <v>Around The World In 80 Days (Niven, Cantinflas)</v>
      </c>
      <c r="N1093" s="9">
        <f t="shared" si="128"/>
        <v>0</v>
      </c>
      <c r="P1093" t="str">
        <f t="shared" si="122"/>
        <v>"Christoph Burger";"Around The World In 80 Days";"0"</v>
      </c>
      <c r="U1093" t="str">
        <f t="shared" si="123"/>
        <v>Christoph Burger</v>
      </c>
      <c r="V1093" t="str">
        <f t="shared" si="124"/>
        <v>Around The World In 80 Days</v>
      </c>
      <c r="W1093">
        <f t="shared" si="125"/>
        <v>0</v>
      </c>
    </row>
    <row r="1094" spans="1:23" x14ac:dyDescent="0.2">
      <c r="A1094" s="6" t="s">
        <v>17</v>
      </c>
      <c r="B1094" s="6">
        <v>2009</v>
      </c>
      <c r="C1094" s="6"/>
      <c r="D1094" s="6" t="s">
        <v>86</v>
      </c>
      <c r="E1094" s="6" t="s">
        <v>2</v>
      </c>
      <c r="F1094" s="6">
        <v>1</v>
      </c>
      <c r="G1094" s="6">
        <v>4</v>
      </c>
      <c r="H1094" s="6">
        <v>4</v>
      </c>
      <c r="I1094" s="6"/>
      <c r="J1094" s="6"/>
      <c r="K1094" s="6"/>
      <c r="L1094" s="6" t="str">
        <f t="shared" si="126"/>
        <v>Christoph Burger</v>
      </c>
      <c r="M1094" s="6" t="str">
        <f t="shared" si="127"/>
        <v>Avatar (Worthington, Saldana)</v>
      </c>
      <c r="N1094" s="9">
        <f t="shared" si="128"/>
        <v>4</v>
      </c>
      <c r="P1094" t="str">
        <f t="shared" si="122"/>
        <v>"Christoph Burger";"Avatar";"4"</v>
      </c>
      <c r="U1094" t="str">
        <f t="shared" si="123"/>
        <v>Christoph Burger</v>
      </c>
      <c r="V1094" t="str">
        <f t="shared" si="124"/>
        <v>Avatar</v>
      </c>
      <c r="W1094">
        <f t="shared" si="125"/>
        <v>1</v>
      </c>
    </row>
    <row r="1095" spans="1:23" x14ac:dyDescent="0.2">
      <c r="A1095" s="6" t="s">
        <v>18</v>
      </c>
      <c r="B1095" s="6">
        <v>1989</v>
      </c>
      <c r="C1095" s="6"/>
      <c r="D1095" s="6" t="s">
        <v>86</v>
      </c>
      <c r="E1095" s="6" t="s">
        <v>2</v>
      </c>
      <c r="F1095" s="6">
        <v>1</v>
      </c>
      <c r="G1095" s="6">
        <v>4</v>
      </c>
      <c r="H1095" s="6">
        <v>4</v>
      </c>
      <c r="I1095" s="6"/>
      <c r="J1095" s="6"/>
      <c r="K1095" s="6"/>
      <c r="L1095" s="6" t="str">
        <f t="shared" si="126"/>
        <v>Christoph Burger</v>
      </c>
      <c r="M1095" s="6" t="str">
        <f t="shared" si="127"/>
        <v>Batman (Keaton, Nicholson, Basinger)</v>
      </c>
      <c r="N1095" s="9">
        <f t="shared" si="128"/>
        <v>4</v>
      </c>
      <c r="P1095" t="str">
        <f t="shared" si="122"/>
        <v>"Christoph Burger";"Batman";"4"</v>
      </c>
      <c r="U1095" t="str">
        <f t="shared" si="123"/>
        <v>Christoph Burger</v>
      </c>
      <c r="V1095" t="str">
        <f t="shared" si="124"/>
        <v>Batman</v>
      </c>
      <c r="W1095">
        <f t="shared" si="125"/>
        <v>1</v>
      </c>
    </row>
    <row r="1096" spans="1:23" x14ac:dyDescent="0.2">
      <c r="A1096" s="6" t="s">
        <v>19</v>
      </c>
      <c r="B1096" s="6">
        <v>1982</v>
      </c>
      <c r="C1096" s="6"/>
      <c r="D1096" s="6" t="s">
        <v>86</v>
      </c>
      <c r="E1096" s="6" t="s">
        <v>3</v>
      </c>
      <c r="F1096" s="6">
        <v>0</v>
      </c>
      <c r="G1096" s="6"/>
      <c r="H1096" s="6">
        <v>0</v>
      </c>
      <c r="I1096" s="6"/>
      <c r="J1096" s="6"/>
      <c r="K1096" s="6"/>
      <c r="L1096" s="6" t="str">
        <f t="shared" si="126"/>
        <v>Christoph Burger</v>
      </c>
      <c r="M1096" s="6" t="str">
        <f t="shared" si="127"/>
        <v>Blade Runner (Ford, Hauer)</v>
      </c>
      <c r="N1096" s="9">
        <f t="shared" si="128"/>
        <v>0</v>
      </c>
      <c r="P1096" t="str">
        <f t="shared" si="122"/>
        <v>"Christoph Burger";"Blade Runner";"0"</v>
      </c>
      <c r="U1096" t="str">
        <f t="shared" si="123"/>
        <v>Christoph Burger</v>
      </c>
      <c r="V1096" t="str">
        <f t="shared" si="124"/>
        <v>Blade Runner</v>
      </c>
      <c r="W1096">
        <f t="shared" si="125"/>
        <v>0</v>
      </c>
    </row>
    <row r="1097" spans="1:23" x14ac:dyDescent="0.2">
      <c r="A1097" s="6" t="s">
        <v>20</v>
      </c>
      <c r="B1097" s="6">
        <v>2018</v>
      </c>
      <c r="C1097" s="6"/>
      <c r="D1097" s="6" t="s">
        <v>86</v>
      </c>
      <c r="E1097" s="6" t="s">
        <v>2</v>
      </c>
      <c r="F1097" s="6">
        <v>1</v>
      </c>
      <c r="G1097" s="6">
        <v>5</v>
      </c>
      <c r="H1097" s="6">
        <v>5</v>
      </c>
      <c r="I1097" s="6"/>
      <c r="J1097" s="6"/>
      <c r="K1097" s="6"/>
      <c r="L1097" s="6" t="str">
        <f t="shared" si="126"/>
        <v>Christoph Burger</v>
      </c>
      <c r="M1097" s="6" t="str">
        <f t="shared" si="127"/>
        <v>Bohemian Rhapsody (Malek, Boynton)</v>
      </c>
      <c r="N1097" s="9">
        <f t="shared" si="128"/>
        <v>5</v>
      </c>
      <c r="P1097" t="str">
        <f t="shared" si="122"/>
        <v>"Christoph Burger";"Bohemian Rhapsody";"5"</v>
      </c>
      <c r="U1097" t="str">
        <f t="shared" si="123"/>
        <v>Christoph Burger</v>
      </c>
      <c r="V1097" t="str">
        <f t="shared" si="124"/>
        <v>Bohemian Rhapsody</v>
      </c>
      <c r="W1097">
        <f t="shared" si="125"/>
        <v>1</v>
      </c>
    </row>
    <row r="1098" spans="1:23" x14ac:dyDescent="0.2">
      <c r="A1098" s="6" t="s">
        <v>21</v>
      </c>
      <c r="B1098" s="6">
        <v>2011</v>
      </c>
      <c r="C1098" s="6"/>
      <c r="D1098" s="6" t="s">
        <v>86</v>
      </c>
      <c r="E1098" s="6" t="s">
        <v>3</v>
      </c>
      <c r="F1098" s="6">
        <v>0</v>
      </c>
      <c r="G1098" s="6"/>
      <c r="H1098" s="6">
        <v>0</v>
      </c>
      <c r="I1098" s="6"/>
      <c r="J1098" s="6"/>
      <c r="K1098" s="6"/>
      <c r="L1098" s="6" t="str">
        <f t="shared" si="126"/>
        <v>Christoph Burger</v>
      </c>
      <c r="M1098" s="6" t="str">
        <f t="shared" si="127"/>
        <v>Captain America (Evans, Waeving)</v>
      </c>
      <c r="N1098" s="9">
        <f t="shared" si="128"/>
        <v>0</v>
      </c>
      <c r="P1098" t="str">
        <f t="shared" si="122"/>
        <v>"Christoph Burger";"Captain America";"0"</v>
      </c>
      <c r="U1098" t="str">
        <f t="shared" si="123"/>
        <v>Christoph Burger</v>
      </c>
      <c r="V1098" t="str">
        <f t="shared" si="124"/>
        <v>Captain America</v>
      </c>
      <c r="W1098">
        <f t="shared" si="125"/>
        <v>0</v>
      </c>
    </row>
    <row r="1099" spans="1:23" x14ac:dyDescent="0.2">
      <c r="A1099" s="6" t="s">
        <v>22</v>
      </c>
      <c r="B1099" s="6">
        <v>2000</v>
      </c>
      <c r="C1099" s="6"/>
      <c r="D1099" s="6" t="s">
        <v>86</v>
      </c>
      <c r="E1099" s="6" t="s">
        <v>2</v>
      </c>
      <c r="F1099" s="6">
        <v>1</v>
      </c>
      <c r="G1099" s="6">
        <v>5</v>
      </c>
      <c r="H1099" s="6">
        <v>5</v>
      </c>
      <c r="I1099" s="6"/>
      <c r="J1099" s="6"/>
      <c r="K1099" s="6"/>
      <c r="L1099" s="6" t="str">
        <f t="shared" si="126"/>
        <v>Christoph Burger</v>
      </c>
      <c r="M1099" s="6" t="str">
        <f t="shared" si="127"/>
        <v>Cast Away (Hanks, Hunt)</v>
      </c>
      <c r="N1099" s="9">
        <f t="shared" si="128"/>
        <v>5</v>
      </c>
      <c r="P1099" t="str">
        <f t="shared" si="122"/>
        <v>"Christoph Burger";"Cast Away";"5"</v>
      </c>
      <c r="U1099" t="str">
        <f t="shared" si="123"/>
        <v>Christoph Burger</v>
      </c>
      <c r="V1099" t="str">
        <f t="shared" si="124"/>
        <v>Cast Away</v>
      </c>
      <c r="W1099">
        <f t="shared" si="125"/>
        <v>1</v>
      </c>
    </row>
    <row r="1100" spans="1:23" x14ac:dyDescent="0.2">
      <c r="A1100" s="6" t="s">
        <v>23</v>
      </c>
      <c r="B1100" s="6">
        <v>1958</v>
      </c>
      <c r="C1100" s="6"/>
      <c r="D1100" s="6" t="s">
        <v>86</v>
      </c>
      <c r="E1100" s="6" t="s">
        <v>3</v>
      </c>
      <c r="F1100" s="6">
        <v>0</v>
      </c>
      <c r="G1100" s="6"/>
      <c r="H1100" s="6">
        <v>0</v>
      </c>
      <c r="I1100" s="6"/>
      <c r="J1100" s="6"/>
      <c r="K1100" s="6"/>
      <c r="L1100" s="6" t="str">
        <f t="shared" si="126"/>
        <v>Christoph Burger</v>
      </c>
      <c r="M1100" s="6" t="str">
        <f t="shared" si="127"/>
        <v>Cat On Hot Tin Roof (Taylor, Newman)</v>
      </c>
      <c r="N1100" s="9">
        <f t="shared" si="128"/>
        <v>0</v>
      </c>
      <c r="P1100" t="str">
        <f t="shared" si="122"/>
        <v>"Christoph Burger";"Cat On Hot Tin Roof";"0"</v>
      </c>
      <c r="U1100" t="str">
        <f t="shared" si="123"/>
        <v>Christoph Burger</v>
      </c>
      <c r="V1100" t="str">
        <f t="shared" si="124"/>
        <v>Cat On Hot Tin Roof</v>
      </c>
      <c r="W1100">
        <f t="shared" si="125"/>
        <v>0</v>
      </c>
    </row>
    <row r="1101" spans="1:23" x14ac:dyDescent="0.2">
      <c r="A1101" s="6" t="s">
        <v>24</v>
      </c>
      <c r="B1101" s="6">
        <v>1963</v>
      </c>
      <c r="C1101" s="6"/>
      <c r="D1101" s="6" t="s">
        <v>86</v>
      </c>
      <c r="E1101" s="6" t="s">
        <v>3</v>
      </c>
      <c r="F1101" s="6">
        <v>0</v>
      </c>
      <c r="G1101" s="6"/>
      <c r="H1101" s="6">
        <v>0</v>
      </c>
      <c r="I1101" s="6"/>
      <c r="J1101" s="6"/>
      <c r="K1101" s="6"/>
      <c r="L1101" s="6" t="str">
        <f t="shared" si="126"/>
        <v>Christoph Burger</v>
      </c>
      <c r="M1101" s="6" t="str">
        <f t="shared" si="127"/>
        <v>Charade (Grant, Hepburn)</v>
      </c>
      <c r="N1101" s="9">
        <f t="shared" si="128"/>
        <v>0</v>
      </c>
      <c r="P1101" t="str">
        <f t="shared" si="122"/>
        <v>"Christoph Burger";"Charade";"0"</v>
      </c>
      <c r="U1101" t="str">
        <f t="shared" si="123"/>
        <v>Christoph Burger</v>
      </c>
      <c r="V1101" t="str">
        <f t="shared" si="124"/>
        <v>Charade</v>
      </c>
      <c r="W1101">
        <f t="shared" si="125"/>
        <v>0</v>
      </c>
    </row>
    <row r="1102" spans="1:23" x14ac:dyDescent="0.2">
      <c r="A1102" s="6" t="s">
        <v>25</v>
      </c>
      <c r="B1102" s="6">
        <v>2000</v>
      </c>
      <c r="C1102" s="6"/>
      <c r="D1102" s="6" t="s">
        <v>86</v>
      </c>
      <c r="E1102" s="6" t="s">
        <v>3</v>
      </c>
      <c r="F1102" s="6">
        <v>0</v>
      </c>
      <c r="G1102" s="6"/>
      <c r="H1102" s="6">
        <v>0</v>
      </c>
      <c r="I1102" s="6"/>
      <c r="J1102" s="6"/>
      <c r="K1102" s="6"/>
      <c r="L1102" s="6" t="str">
        <f t="shared" si="126"/>
        <v>Christoph Burger</v>
      </c>
      <c r="M1102" s="6" t="str">
        <f t="shared" si="127"/>
        <v>Charlies Angels (Diaz, Barrymore, Liu)</v>
      </c>
      <c r="N1102" s="9">
        <f t="shared" si="128"/>
        <v>0</v>
      </c>
      <c r="P1102" t="str">
        <f t="shared" si="122"/>
        <v>"Christoph Burger";"Charlies Angels";"0"</v>
      </c>
      <c r="U1102" t="str">
        <f t="shared" si="123"/>
        <v>Christoph Burger</v>
      </c>
      <c r="V1102" t="str">
        <f t="shared" si="124"/>
        <v>Charlies Angels</v>
      </c>
      <c r="W1102">
        <f t="shared" si="125"/>
        <v>0</v>
      </c>
    </row>
    <row r="1103" spans="1:23" x14ac:dyDescent="0.2">
      <c r="A1103" s="6" t="s">
        <v>26</v>
      </c>
      <c r="B1103" s="6">
        <v>1974</v>
      </c>
      <c r="C1103" s="6"/>
      <c r="D1103" s="6" t="s">
        <v>86</v>
      </c>
      <c r="E1103" s="6" t="s">
        <v>3</v>
      </c>
      <c r="F1103" s="6">
        <v>0</v>
      </c>
      <c r="G1103" s="6"/>
      <c r="H1103" s="6">
        <v>0</v>
      </c>
      <c r="I1103" s="6"/>
      <c r="J1103" s="6"/>
      <c r="K1103" s="6"/>
      <c r="L1103" s="6" t="str">
        <f t="shared" si="126"/>
        <v>Christoph Burger</v>
      </c>
      <c r="M1103" s="6" t="str">
        <f t="shared" si="127"/>
        <v>Chinatown (Nicholson, Dunaway)</v>
      </c>
      <c r="N1103" s="9">
        <f t="shared" si="128"/>
        <v>0</v>
      </c>
      <c r="P1103" t="str">
        <f t="shared" si="122"/>
        <v>"Christoph Burger";"Chinatown";"0"</v>
      </c>
      <c r="U1103" t="str">
        <f t="shared" si="123"/>
        <v>Christoph Burger</v>
      </c>
      <c r="V1103" t="str">
        <f t="shared" si="124"/>
        <v>Chinatown</v>
      </c>
      <c r="W1103">
        <f t="shared" si="125"/>
        <v>0</v>
      </c>
    </row>
    <row r="1104" spans="1:23" x14ac:dyDescent="0.2">
      <c r="A1104" s="6" t="s">
        <v>27</v>
      </c>
      <c r="B1104" s="6">
        <v>1986</v>
      </c>
      <c r="C1104" s="6"/>
      <c r="D1104" s="6" t="s">
        <v>86</v>
      </c>
      <c r="E1104" s="6" t="s">
        <v>3</v>
      </c>
      <c r="F1104" s="6">
        <v>0</v>
      </c>
      <c r="G1104" s="6"/>
      <c r="H1104" s="6">
        <v>0</v>
      </c>
      <c r="I1104" s="6"/>
      <c r="J1104" s="6"/>
      <c r="K1104" s="6"/>
      <c r="L1104" s="6" t="str">
        <f t="shared" si="126"/>
        <v>Christoph Burger</v>
      </c>
      <c r="M1104" s="6" t="str">
        <f t="shared" si="127"/>
        <v>Clockwise (Gleese, Leatherbarrow)</v>
      </c>
      <c r="N1104" s="9">
        <f t="shared" si="128"/>
        <v>0</v>
      </c>
      <c r="P1104" t="str">
        <f t="shared" si="122"/>
        <v>"Christoph Burger";"Clockwise";"0"</v>
      </c>
      <c r="U1104" t="str">
        <f t="shared" si="123"/>
        <v>Christoph Burger</v>
      </c>
      <c r="V1104" t="str">
        <f t="shared" si="124"/>
        <v>Clockwise</v>
      </c>
      <c r="W1104">
        <f t="shared" si="125"/>
        <v>0</v>
      </c>
    </row>
    <row r="1105" spans="1:23" x14ac:dyDescent="0.2">
      <c r="A1105" s="6" t="s">
        <v>28</v>
      </c>
      <c r="B1105" s="6">
        <v>2011</v>
      </c>
      <c r="C1105" s="6"/>
      <c r="D1105" s="6" t="s">
        <v>86</v>
      </c>
      <c r="E1105" s="6" t="s">
        <v>3</v>
      </c>
      <c r="F1105" s="6">
        <v>0</v>
      </c>
      <c r="G1105" s="6"/>
      <c r="H1105" s="6">
        <v>0</v>
      </c>
      <c r="I1105" s="6"/>
      <c r="J1105" s="6"/>
      <c r="K1105" s="6"/>
      <c r="L1105" s="6" t="str">
        <f t="shared" si="126"/>
        <v>Christoph Burger</v>
      </c>
      <c r="M1105" s="6" t="str">
        <f t="shared" si="127"/>
        <v>Colombiana (Saldana, Molla)</v>
      </c>
      <c r="N1105" s="9">
        <f t="shared" si="128"/>
        <v>0</v>
      </c>
      <c r="P1105" t="str">
        <f t="shared" si="122"/>
        <v>"Christoph Burger";"Colombiana";"0"</v>
      </c>
      <c r="U1105" t="str">
        <f t="shared" si="123"/>
        <v>Christoph Burger</v>
      </c>
      <c r="V1105" t="str">
        <f t="shared" si="124"/>
        <v>Colombiana</v>
      </c>
      <c r="W1105">
        <f t="shared" si="125"/>
        <v>0</v>
      </c>
    </row>
    <row r="1106" spans="1:23" x14ac:dyDescent="0.2">
      <c r="A1106" s="6" t="s">
        <v>29</v>
      </c>
      <c r="B1106" s="6">
        <v>1962</v>
      </c>
      <c r="C1106" s="6"/>
      <c r="D1106" s="6" t="s">
        <v>86</v>
      </c>
      <c r="E1106" s="6" t="s">
        <v>3</v>
      </c>
      <c r="F1106" s="6">
        <v>0</v>
      </c>
      <c r="G1106" s="6"/>
      <c r="H1106" s="6">
        <v>0</v>
      </c>
      <c r="I1106" s="6"/>
      <c r="J1106" s="6"/>
      <c r="K1106" s="6"/>
      <c r="L1106" s="6" t="str">
        <f t="shared" si="126"/>
        <v>Christoph Burger</v>
      </c>
      <c r="M1106" s="6" t="str">
        <f t="shared" si="127"/>
        <v>Doctor No (Connery, Andress)</v>
      </c>
      <c r="N1106" s="9">
        <f t="shared" si="128"/>
        <v>0</v>
      </c>
      <c r="P1106" t="str">
        <f t="shared" si="122"/>
        <v>"Christoph Burger";"Doctor No";"0"</v>
      </c>
      <c r="U1106" t="str">
        <f t="shared" si="123"/>
        <v>Christoph Burger</v>
      </c>
      <c r="V1106" t="str">
        <f t="shared" si="124"/>
        <v>Doctor No</v>
      </c>
      <c r="W1106">
        <f t="shared" si="125"/>
        <v>0</v>
      </c>
    </row>
    <row r="1107" spans="1:23" x14ac:dyDescent="0.2">
      <c r="A1107" s="6" t="s">
        <v>30</v>
      </c>
      <c r="B1107" s="6">
        <v>1965</v>
      </c>
      <c r="C1107" s="6"/>
      <c r="D1107" s="6" t="s">
        <v>86</v>
      </c>
      <c r="E1107" s="6" t="s">
        <v>3</v>
      </c>
      <c r="F1107" s="6">
        <v>0</v>
      </c>
      <c r="G1107" s="6"/>
      <c r="H1107" s="6">
        <v>0</v>
      </c>
      <c r="I1107" s="6"/>
      <c r="J1107" s="6"/>
      <c r="K1107" s="6"/>
      <c r="L1107" s="6" t="str">
        <f t="shared" si="126"/>
        <v>Christoph Burger</v>
      </c>
      <c r="M1107" s="6" t="str">
        <f t="shared" si="127"/>
        <v>Doctor Zhiwago (Sharif, Christie)</v>
      </c>
      <c r="N1107" s="9">
        <f t="shared" si="128"/>
        <v>0</v>
      </c>
      <c r="P1107" t="str">
        <f t="shared" si="122"/>
        <v>"Christoph Burger";"Doctor Zhiwago";"0"</v>
      </c>
      <c r="U1107" t="str">
        <f t="shared" si="123"/>
        <v>Christoph Burger</v>
      </c>
      <c r="V1107" t="str">
        <f t="shared" si="124"/>
        <v>Doctor Zhiwago</v>
      </c>
      <c r="W1107">
        <f t="shared" si="125"/>
        <v>0</v>
      </c>
    </row>
    <row r="1108" spans="1:23" x14ac:dyDescent="0.2">
      <c r="A1108" s="6" t="s">
        <v>31</v>
      </c>
      <c r="B1108" s="6">
        <v>1964</v>
      </c>
      <c r="C1108" s="6"/>
      <c r="D1108" s="6" t="s">
        <v>86</v>
      </c>
      <c r="E1108" s="6" t="s">
        <v>3</v>
      </c>
      <c r="F1108" s="6">
        <v>0</v>
      </c>
      <c r="G1108" s="6"/>
      <c r="H1108" s="6">
        <v>0</v>
      </c>
      <c r="I1108" s="6"/>
      <c r="J1108" s="6"/>
      <c r="K1108" s="6"/>
      <c r="L1108" s="6" t="str">
        <f t="shared" si="126"/>
        <v>Christoph Burger</v>
      </c>
      <c r="M1108" s="6" t="str">
        <f t="shared" si="127"/>
        <v>Dr. Strangelove… (Sellers, Scott)</v>
      </c>
      <c r="N1108" s="9">
        <f t="shared" si="128"/>
        <v>0</v>
      </c>
      <c r="P1108" t="str">
        <f t="shared" si="122"/>
        <v>"Christoph Burger";"Dr. Strangelove…";"0"</v>
      </c>
      <c r="U1108" t="str">
        <f t="shared" si="123"/>
        <v>Christoph Burger</v>
      </c>
      <c r="V1108" t="str">
        <f t="shared" si="124"/>
        <v>Dr. Strangelove…</v>
      </c>
      <c r="W1108">
        <f t="shared" si="125"/>
        <v>0</v>
      </c>
    </row>
    <row r="1109" spans="1:23" x14ac:dyDescent="0.2">
      <c r="A1109" s="6" t="s">
        <v>32</v>
      </c>
      <c r="B1109" s="6">
        <v>2000</v>
      </c>
      <c r="C1109" s="6"/>
      <c r="D1109" s="6" t="s">
        <v>86</v>
      </c>
      <c r="E1109" s="6" t="s">
        <v>3</v>
      </c>
      <c r="F1109" s="6">
        <v>0</v>
      </c>
      <c r="G1109" s="6"/>
      <c r="H1109" s="6">
        <v>0</v>
      </c>
      <c r="I1109" s="6"/>
      <c r="J1109" s="6"/>
      <c r="K1109" s="6"/>
      <c r="L1109" s="6" t="str">
        <f t="shared" si="126"/>
        <v>Christoph Burger</v>
      </c>
      <c r="M1109" s="6" t="str">
        <f t="shared" si="127"/>
        <v>Dr. T and the women (Gere, Hunt)</v>
      </c>
      <c r="N1109" s="9">
        <f t="shared" si="128"/>
        <v>0</v>
      </c>
      <c r="P1109" t="str">
        <f t="shared" si="122"/>
        <v>"Christoph Burger";"Dr. T and the women";"0"</v>
      </c>
      <c r="U1109" t="str">
        <f t="shared" si="123"/>
        <v>Christoph Burger</v>
      </c>
      <c r="V1109" t="str">
        <f t="shared" si="124"/>
        <v>Dr. T and the women</v>
      </c>
      <c r="W1109">
        <f t="shared" si="125"/>
        <v>0</v>
      </c>
    </row>
    <row r="1110" spans="1:23" x14ac:dyDescent="0.2">
      <c r="A1110" s="6" t="s">
        <v>33</v>
      </c>
      <c r="B1110" s="6">
        <v>1953</v>
      </c>
      <c r="C1110" s="6"/>
      <c r="D1110" s="6" t="s">
        <v>86</v>
      </c>
      <c r="E1110" s="6" t="s">
        <v>3</v>
      </c>
      <c r="F1110" s="6">
        <v>0</v>
      </c>
      <c r="G1110" s="6"/>
      <c r="H1110" s="6">
        <v>0</v>
      </c>
      <c r="I1110" s="6"/>
      <c r="J1110" s="6"/>
      <c r="K1110" s="6"/>
      <c r="L1110" s="6" t="str">
        <f t="shared" si="126"/>
        <v>Christoph Burger</v>
      </c>
      <c r="M1110" s="6" t="str">
        <f t="shared" si="127"/>
        <v>Gentlemen Prefer Blondes (Monroe, Russell)</v>
      </c>
      <c r="N1110" s="9">
        <f t="shared" si="128"/>
        <v>0</v>
      </c>
      <c r="P1110" t="str">
        <f t="shared" si="122"/>
        <v>"Christoph Burger";"Gentlemen Prefer Blondes";"0"</v>
      </c>
      <c r="U1110" t="str">
        <f t="shared" si="123"/>
        <v>Christoph Burger</v>
      </c>
      <c r="V1110" t="str">
        <f t="shared" si="124"/>
        <v>Gentlemen Prefer Blondes</v>
      </c>
      <c r="W1110">
        <f t="shared" si="125"/>
        <v>0</v>
      </c>
    </row>
    <row r="1111" spans="1:23" x14ac:dyDescent="0.2">
      <c r="A1111" s="6" t="s">
        <v>34</v>
      </c>
      <c r="B1111" s="6">
        <v>2014</v>
      </c>
      <c r="C1111" s="6"/>
      <c r="D1111" s="6" t="s">
        <v>86</v>
      </c>
      <c r="E1111" s="6" t="s">
        <v>3</v>
      </c>
      <c r="F1111" s="6">
        <v>0</v>
      </c>
      <c r="G1111" s="6"/>
      <c r="H1111" s="6">
        <v>0</v>
      </c>
      <c r="I1111" s="6"/>
      <c r="J1111" s="6"/>
      <c r="K1111" s="6"/>
      <c r="L1111" s="6" t="str">
        <f t="shared" si="126"/>
        <v>Christoph Burger</v>
      </c>
      <c r="M1111" s="6" t="str">
        <f t="shared" si="127"/>
        <v>Grand Budapest Hotel (Fiennes, Abraham)</v>
      </c>
      <c r="N1111" s="9">
        <f t="shared" si="128"/>
        <v>0</v>
      </c>
      <c r="P1111" t="str">
        <f t="shared" si="122"/>
        <v>"Christoph Burger";"Grand Budapest Hotel";"0"</v>
      </c>
      <c r="U1111" t="str">
        <f t="shared" si="123"/>
        <v>Christoph Burger</v>
      </c>
      <c r="V1111" t="str">
        <f t="shared" si="124"/>
        <v>Grand Budapest Hotel</v>
      </c>
      <c r="W1111">
        <f t="shared" si="125"/>
        <v>0</v>
      </c>
    </row>
    <row r="1112" spans="1:23" x14ac:dyDescent="0.2">
      <c r="A1112" s="6" t="s">
        <v>35</v>
      </c>
      <c r="B1112" s="6">
        <v>2001</v>
      </c>
      <c r="C1112" s="6"/>
      <c r="D1112" s="6" t="s">
        <v>86</v>
      </c>
      <c r="E1112" s="6" t="s">
        <v>2</v>
      </c>
      <c r="F1112" s="6">
        <v>1</v>
      </c>
      <c r="G1112" s="6">
        <v>5</v>
      </c>
      <c r="H1112" s="6">
        <v>5</v>
      </c>
      <c r="I1112" s="6"/>
      <c r="J1112" s="6"/>
      <c r="K1112" s="6"/>
      <c r="L1112" s="6" t="str">
        <f t="shared" si="126"/>
        <v>Christoph Burger</v>
      </c>
      <c r="M1112" s="6" t="str">
        <f t="shared" si="127"/>
        <v>Harry Potter and the Philosopher's Stone (Radcliff, Harris)</v>
      </c>
      <c r="N1112" s="9">
        <f t="shared" si="128"/>
        <v>5</v>
      </c>
      <c r="P1112" t="str">
        <f t="shared" si="122"/>
        <v>"Christoph Burger";"Harry Potter and the Philosopher's Stone";"5"</v>
      </c>
      <c r="U1112" t="str">
        <f t="shared" si="123"/>
        <v>Christoph Burger</v>
      </c>
      <c r="V1112" t="str">
        <f t="shared" si="124"/>
        <v>Harry Potter and the Philosopher's Stone</v>
      </c>
      <c r="W1112">
        <f t="shared" si="125"/>
        <v>1</v>
      </c>
    </row>
    <row r="1113" spans="1:23" x14ac:dyDescent="0.2">
      <c r="A1113" s="6" t="s">
        <v>36</v>
      </c>
      <c r="B1113" s="6">
        <v>1950</v>
      </c>
      <c r="C1113" s="6"/>
      <c r="D1113" s="6" t="s">
        <v>86</v>
      </c>
      <c r="E1113" s="6" t="s">
        <v>3</v>
      </c>
      <c r="F1113" s="6">
        <v>0</v>
      </c>
      <c r="G1113" s="6"/>
      <c r="H1113" s="6">
        <v>0</v>
      </c>
      <c r="I1113" s="6"/>
      <c r="J1113" s="6"/>
      <c r="K1113" s="6"/>
      <c r="L1113" s="6" t="str">
        <f t="shared" si="126"/>
        <v>Christoph Burger</v>
      </c>
      <c r="M1113" s="6" t="str">
        <f t="shared" si="127"/>
        <v>Harvey (Stewart, Hull)</v>
      </c>
      <c r="N1113" s="9">
        <f t="shared" si="128"/>
        <v>0</v>
      </c>
      <c r="P1113" t="str">
        <f t="shared" si="122"/>
        <v>"Christoph Burger";"Harvey";"0"</v>
      </c>
      <c r="U1113" t="str">
        <f t="shared" si="123"/>
        <v>Christoph Burger</v>
      </c>
      <c r="V1113" t="str">
        <f t="shared" si="124"/>
        <v>Harvey</v>
      </c>
      <c r="W1113">
        <f t="shared" si="125"/>
        <v>0</v>
      </c>
    </row>
    <row r="1114" spans="1:23" x14ac:dyDescent="0.2">
      <c r="A1114" s="6" t="s">
        <v>37</v>
      </c>
      <c r="B1114" s="6">
        <v>1962</v>
      </c>
      <c r="C1114" s="6"/>
      <c r="D1114" s="6" t="s">
        <v>86</v>
      </c>
      <c r="E1114" s="6" t="s">
        <v>3</v>
      </c>
      <c r="F1114" s="6">
        <v>0</v>
      </c>
      <c r="G1114" s="6"/>
      <c r="H1114" s="6">
        <v>0</v>
      </c>
      <c r="I1114" s="6"/>
      <c r="J1114" s="6"/>
      <c r="K1114" s="6"/>
      <c r="L1114" s="6" t="str">
        <f t="shared" si="126"/>
        <v>Christoph Burger</v>
      </c>
      <c r="M1114" s="6" t="str">
        <f t="shared" si="127"/>
        <v>Hatari! (Wayne, Martinelli)</v>
      </c>
      <c r="N1114" s="9">
        <f t="shared" si="128"/>
        <v>0</v>
      </c>
      <c r="P1114" t="str">
        <f t="shared" si="122"/>
        <v>"Christoph Burger";"Hatari!";"0"</v>
      </c>
      <c r="U1114" t="str">
        <f t="shared" si="123"/>
        <v>Christoph Burger</v>
      </c>
      <c r="V1114" t="str">
        <f t="shared" si="124"/>
        <v>Hatari!</v>
      </c>
      <c r="W1114">
        <f t="shared" si="125"/>
        <v>0</v>
      </c>
    </row>
    <row r="1115" spans="1:23" x14ac:dyDescent="0.2">
      <c r="A1115" s="6" t="s">
        <v>38</v>
      </c>
      <c r="B1115" s="6">
        <v>1990</v>
      </c>
      <c r="C1115" s="6"/>
      <c r="D1115" s="6" t="s">
        <v>86</v>
      </c>
      <c r="E1115" s="6" t="s">
        <v>2</v>
      </c>
      <c r="F1115" s="6">
        <v>1</v>
      </c>
      <c r="G1115" s="6">
        <v>4</v>
      </c>
      <c r="H1115" s="6">
        <v>4</v>
      </c>
      <c r="I1115" s="6"/>
      <c r="J1115" s="6"/>
      <c r="K1115" s="6"/>
      <c r="L1115" s="6" t="str">
        <f t="shared" si="126"/>
        <v>Christoph Burger</v>
      </c>
      <c r="M1115" s="6" t="str">
        <f t="shared" si="127"/>
        <v>Home alone (Culkin, Pesci)</v>
      </c>
      <c r="N1115" s="9">
        <f t="shared" si="128"/>
        <v>4</v>
      </c>
      <c r="P1115" t="str">
        <f t="shared" si="122"/>
        <v>"Christoph Burger";"Home alone";"4"</v>
      </c>
      <c r="U1115" t="str">
        <f t="shared" si="123"/>
        <v>Christoph Burger</v>
      </c>
      <c r="V1115" t="str">
        <f t="shared" si="124"/>
        <v>Home alone</v>
      </c>
      <c r="W1115">
        <f t="shared" si="125"/>
        <v>1</v>
      </c>
    </row>
    <row r="1116" spans="1:23" x14ac:dyDescent="0.2">
      <c r="A1116" s="6" t="s">
        <v>39</v>
      </c>
      <c r="B1116" s="6">
        <v>2004</v>
      </c>
      <c r="C1116" s="6"/>
      <c r="D1116" s="6" t="s">
        <v>86</v>
      </c>
      <c r="E1116" s="6" t="s">
        <v>2</v>
      </c>
      <c r="F1116" s="6">
        <v>1</v>
      </c>
      <c r="G1116" s="6">
        <v>3</v>
      </c>
      <c r="H1116" s="6">
        <v>3</v>
      </c>
      <c r="I1116" s="6"/>
      <c r="J1116" s="6"/>
      <c r="K1116" s="6"/>
      <c r="L1116" s="6" t="str">
        <f t="shared" si="126"/>
        <v>Christoph Burger</v>
      </c>
      <c r="M1116" s="6" t="str">
        <f t="shared" si="127"/>
        <v>I, Robot (Smith, Moynahan)</v>
      </c>
      <c r="N1116" s="9">
        <f t="shared" si="128"/>
        <v>3</v>
      </c>
      <c r="P1116" t="str">
        <f t="shared" si="122"/>
        <v>"Christoph Burger";"I, Robot";"3"</v>
      </c>
      <c r="U1116" t="str">
        <f t="shared" si="123"/>
        <v>Christoph Burger</v>
      </c>
      <c r="V1116" t="str">
        <f t="shared" si="124"/>
        <v>I, Robot</v>
      </c>
      <c r="W1116">
        <f t="shared" si="125"/>
        <v>1</v>
      </c>
    </row>
    <row r="1117" spans="1:23" x14ac:dyDescent="0.2">
      <c r="A1117" s="6" t="s">
        <v>40</v>
      </c>
      <c r="B1117" s="6">
        <v>1967</v>
      </c>
      <c r="C1117" s="6"/>
      <c r="D1117" s="6" t="s">
        <v>86</v>
      </c>
      <c r="E1117" s="6" t="s">
        <v>3</v>
      </c>
      <c r="F1117" s="6">
        <v>0</v>
      </c>
      <c r="G1117" s="6"/>
      <c r="H1117" s="6">
        <v>0</v>
      </c>
      <c r="I1117" s="6"/>
      <c r="J1117" s="6"/>
      <c r="K1117" s="6"/>
      <c r="L1117" s="6" t="str">
        <f t="shared" si="126"/>
        <v>Christoph Burger</v>
      </c>
      <c r="M1117" s="6" t="str">
        <f t="shared" si="127"/>
        <v>In The Heat Of The Night (Poitier, Steiger)</v>
      </c>
      <c r="N1117" s="9">
        <f t="shared" si="128"/>
        <v>0</v>
      </c>
      <c r="P1117" t="str">
        <f t="shared" si="122"/>
        <v>"Christoph Burger";"In The Heat Of The Night";"0"</v>
      </c>
      <c r="U1117" t="str">
        <f t="shared" si="123"/>
        <v>Christoph Burger</v>
      </c>
      <c r="V1117" t="str">
        <f t="shared" si="124"/>
        <v>In The Heat Of The Night</v>
      </c>
      <c r="W1117">
        <f t="shared" si="125"/>
        <v>0</v>
      </c>
    </row>
    <row r="1118" spans="1:23" x14ac:dyDescent="0.2">
      <c r="A1118" s="6" t="s">
        <v>41</v>
      </c>
      <c r="B1118" s="6">
        <v>2014</v>
      </c>
      <c r="C1118" s="6"/>
      <c r="D1118" s="6" t="s">
        <v>86</v>
      </c>
      <c r="E1118" s="6" t="s">
        <v>3</v>
      </c>
      <c r="F1118" s="6">
        <v>0</v>
      </c>
      <c r="G1118" s="6"/>
      <c r="H1118" s="6">
        <v>0</v>
      </c>
      <c r="I1118" s="6"/>
      <c r="J1118" s="6"/>
      <c r="K1118" s="6"/>
      <c r="L1118" s="6" t="str">
        <f t="shared" si="126"/>
        <v>Christoph Burger</v>
      </c>
      <c r="M1118" s="6" t="str">
        <f t="shared" si="127"/>
        <v>Jack Ryan: Shadow Recruite (Pine, Costner)</v>
      </c>
      <c r="N1118" s="9">
        <f t="shared" si="128"/>
        <v>0</v>
      </c>
      <c r="P1118" t="str">
        <f t="shared" si="122"/>
        <v>"Christoph Burger";"Jack Ryan: Shadow Recruite";"0"</v>
      </c>
      <c r="U1118" t="str">
        <f t="shared" si="123"/>
        <v>Christoph Burger</v>
      </c>
      <c r="V1118" t="str">
        <f t="shared" si="124"/>
        <v>Jack Ryan: Shadow Recruite</v>
      </c>
      <c r="W1118">
        <f t="shared" si="125"/>
        <v>0</v>
      </c>
    </row>
    <row r="1119" spans="1:23" x14ac:dyDescent="0.2">
      <c r="A1119" s="6" t="s">
        <v>42</v>
      </c>
      <c r="B1119" s="6">
        <v>1995</v>
      </c>
      <c r="C1119" s="6"/>
      <c r="D1119" s="6" t="s">
        <v>86</v>
      </c>
      <c r="E1119" s="6" t="s">
        <v>3</v>
      </c>
      <c r="F1119" s="6">
        <v>0</v>
      </c>
      <c r="G1119" s="6"/>
      <c r="H1119" s="6">
        <v>0</v>
      </c>
      <c r="I1119" s="6"/>
      <c r="J1119" s="6"/>
      <c r="K1119" s="6"/>
      <c r="L1119" s="6" t="str">
        <f t="shared" si="126"/>
        <v>Christoph Burger</v>
      </c>
      <c r="M1119" s="6" t="str">
        <f t="shared" si="127"/>
        <v>Jumanji (Williams, Dunst)</v>
      </c>
      <c r="N1119" s="9">
        <f t="shared" si="128"/>
        <v>0</v>
      </c>
      <c r="P1119" t="str">
        <f t="shared" si="122"/>
        <v>"Christoph Burger";"Jumanji";"0"</v>
      </c>
      <c r="U1119" t="str">
        <f t="shared" si="123"/>
        <v>Christoph Burger</v>
      </c>
      <c r="V1119" t="str">
        <f t="shared" si="124"/>
        <v>Jumanji</v>
      </c>
      <c r="W1119">
        <f t="shared" si="125"/>
        <v>0</v>
      </c>
    </row>
    <row r="1120" spans="1:23" x14ac:dyDescent="0.2">
      <c r="A1120" s="6" t="s">
        <v>43</v>
      </c>
      <c r="B1120" s="6">
        <v>2005</v>
      </c>
      <c r="C1120" s="6"/>
      <c r="D1120" s="6" t="s">
        <v>86</v>
      </c>
      <c r="E1120" s="6" t="s">
        <v>2</v>
      </c>
      <c r="F1120" s="6">
        <v>1</v>
      </c>
      <c r="G1120" s="6">
        <v>4</v>
      </c>
      <c r="H1120" s="6">
        <v>4</v>
      </c>
      <c r="I1120" s="6"/>
      <c r="J1120" s="6"/>
      <c r="K1120" s="6"/>
      <c r="L1120" s="6" t="str">
        <f t="shared" si="126"/>
        <v>Christoph Burger</v>
      </c>
      <c r="M1120" s="6" t="str">
        <f t="shared" si="127"/>
        <v>King Kong (Watts, Black)</v>
      </c>
      <c r="N1120" s="9">
        <f t="shared" si="128"/>
        <v>4</v>
      </c>
      <c r="P1120" t="str">
        <f t="shared" si="122"/>
        <v>"Christoph Burger";"King Kong";"4"</v>
      </c>
      <c r="U1120" t="str">
        <f t="shared" si="123"/>
        <v>Christoph Burger</v>
      </c>
      <c r="V1120" t="str">
        <f t="shared" si="124"/>
        <v>King Kong</v>
      </c>
      <c r="W1120">
        <f t="shared" si="125"/>
        <v>1</v>
      </c>
    </row>
    <row r="1121" spans="1:23" x14ac:dyDescent="0.2">
      <c r="A1121" s="6" t="s">
        <v>44</v>
      </c>
      <c r="B1121" s="6">
        <v>2016</v>
      </c>
      <c r="C1121" s="6"/>
      <c r="D1121" s="6" t="s">
        <v>86</v>
      </c>
      <c r="E1121" s="6" t="s">
        <v>3</v>
      </c>
      <c r="F1121" s="6">
        <v>0</v>
      </c>
      <c r="G1121" s="6"/>
      <c r="H1121" s="6">
        <v>0</v>
      </c>
      <c r="I1121" s="6"/>
      <c r="J1121" s="6"/>
      <c r="K1121" s="6"/>
      <c r="L1121" s="6" t="str">
        <f t="shared" si="126"/>
        <v>Christoph Burger</v>
      </c>
      <c r="M1121" s="6" t="str">
        <f t="shared" si="127"/>
        <v>La La Land (Gosling, Stone)</v>
      </c>
      <c r="N1121" s="9">
        <f t="shared" si="128"/>
        <v>0</v>
      </c>
      <c r="P1121" t="str">
        <f t="shared" si="122"/>
        <v>"Christoph Burger";"La La Land";"0"</v>
      </c>
      <c r="U1121" t="str">
        <f t="shared" si="123"/>
        <v>Christoph Burger</v>
      </c>
      <c r="V1121" t="str">
        <f t="shared" si="124"/>
        <v>La La Land</v>
      </c>
      <c r="W1121">
        <f t="shared" si="125"/>
        <v>0</v>
      </c>
    </row>
    <row r="1122" spans="1:23" x14ac:dyDescent="0.2">
      <c r="A1122" s="6" t="s">
        <v>45</v>
      </c>
      <c r="B1122" s="6">
        <v>2001</v>
      </c>
      <c r="C1122" s="6"/>
      <c r="D1122" s="6" t="s">
        <v>86</v>
      </c>
      <c r="E1122" s="6" t="s">
        <v>2</v>
      </c>
      <c r="F1122" s="6">
        <v>1</v>
      </c>
      <c r="G1122" s="6">
        <v>5</v>
      </c>
      <c r="H1122" s="6">
        <v>5</v>
      </c>
      <c r="I1122" s="6"/>
      <c r="J1122" s="6"/>
      <c r="K1122" s="6"/>
      <c r="L1122" s="6" t="str">
        <f t="shared" si="126"/>
        <v>Christoph Burger</v>
      </c>
      <c r="M1122" s="6" t="str">
        <f t="shared" si="127"/>
        <v>Lord of the Rings (Woods, McKellen)</v>
      </c>
      <c r="N1122" s="9">
        <f t="shared" si="128"/>
        <v>5</v>
      </c>
      <c r="P1122" t="str">
        <f t="shared" si="122"/>
        <v>"Christoph Burger";"Lord of the Rings";"5"</v>
      </c>
      <c r="U1122" t="str">
        <f t="shared" si="123"/>
        <v>Christoph Burger</v>
      </c>
      <c r="V1122" t="str">
        <f t="shared" si="124"/>
        <v>Lord of the Rings</v>
      </c>
      <c r="W1122">
        <f t="shared" si="125"/>
        <v>1</v>
      </c>
    </row>
    <row r="1123" spans="1:23" x14ac:dyDescent="0.2">
      <c r="A1123" s="6" t="s">
        <v>46</v>
      </c>
      <c r="B1123" s="6">
        <v>1964</v>
      </c>
      <c r="C1123" s="6"/>
      <c r="D1123" s="6" t="s">
        <v>86</v>
      </c>
      <c r="E1123" s="6" t="s">
        <v>3</v>
      </c>
      <c r="F1123" s="6">
        <v>0</v>
      </c>
      <c r="G1123" s="6"/>
      <c r="H1123" s="6">
        <v>0</v>
      </c>
      <c r="I1123" s="6"/>
      <c r="J1123" s="6"/>
      <c r="K1123" s="6"/>
      <c r="L1123" s="6" t="str">
        <f t="shared" si="126"/>
        <v>Christoph Burger</v>
      </c>
      <c r="M1123" s="6" t="str">
        <f t="shared" si="127"/>
        <v>Per Un Pugno Di Dollari (Eastwood, Koch)</v>
      </c>
      <c r="N1123" s="9">
        <f t="shared" si="128"/>
        <v>0</v>
      </c>
      <c r="P1123" t="str">
        <f t="shared" si="122"/>
        <v>"Christoph Burger";"Per Un Pugno Di Dollari";"0"</v>
      </c>
      <c r="U1123" t="str">
        <f t="shared" si="123"/>
        <v>Christoph Burger</v>
      </c>
      <c r="V1123" t="str">
        <f t="shared" si="124"/>
        <v>Per Un Pugno Di Dollari</v>
      </c>
      <c r="W1123">
        <f t="shared" si="125"/>
        <v>0</v>
      </c>
    </row>
    <row r="1124" spans="1:23" x14ac:dyDescent="0.2">
      <c r="A1124" s="6" t="s">
        <v>47</v>
      </c>
      <c r="B1124" s="6">
        <v>1954</v>
      </c>
      <c r="C1124" s="6"/>
      <c r="D1124" s="6" t="s">
        <v>86</v>
      </c>
      <c r="E1124" s="6" t="s">
        <v>3</v>
      </c>
      <c r="F1124" s="6">
        <v>0</v>
      </c>
      <c r="G1124" s="6"/>
      <c r="H1124" s="6">
        <v>0</v>
      </c>
      <c r="I1124" s="6"/>
      <c r="J1124" s="6"/>
      <c r="K1124" s="6"/>
      <c r="L1124" s="6" t="str">
        <f t="shared" si="126"/>
        <v>Christoph Burger</v>
      </c>
      <c r="M1124" s="6" t="str">
        <f t="shared" si="127"/>
        <v>Rear Window (Stewart, Kelly)</v>
      </c>
      <c r="N1124" s="9">
        <f t="shared" si="128"/>
        <v>0</v>
      </c>
      <c r="P1124" t="str">
        <f t="shared" si="122"/>
        <v>"Christoph Burger";"Rear Window";"0"</v>
      </c>
      <c r="U1124" t="str">
        <f t="shared" si="123"/>
        <v>Christoph Burger</v>
      </c>
      <c r="V1124" t="str">
        <f t="shared" si="124"/>
        <v>Rear Window</v>
      </c>
      <c r="W1124">
        <f t="shared" si="125"/>
        <v>0</v>
      </c>
    </row>
    <row r="1125" spans="1:23" x14ac:dyDescent="0.2">
      <c r="A1125" s="6" t="s">
        <v>48</v>
      </c>
      <c r="B1125" s="6">
        <v>1955</v>
      </c>
      <c r="C1125" s="6"/>
      <c r="D1125" s="6" t="s">
        <v>86</v>
      </c>
      <c r="E1125" s="6" t="s">
        <v>3</v>
      </c>
      <c r="F1125" s="6">
        <v>0</v>
      </c>
      <c r="G1125" s="6"/>
      <c r="H1125" s="6">
        <v>0</v>
      </c>
      <c r="I1125" s="6"/>
      <c r="J1125" s="6"/>
      <c r="K1125" s="6"/>
      <c r="L1125" s="6" t="str">
        <f t="shared" si="126"/>
        <v>Christoph Burger</v>
      </c>
      <c r="M1125" s="6" t="str">
        <f t="shared" si="127"/>
        <v>Rebel Without A Cause (Dean, Wood)</v>
      </c>
      <c r="N1125" s="9">
        <f t="shared" si="128"/>
        <v>0</v>
      </c>
      <c r="P1125" t="str">
        <f t="shared" si="122"/>
        <v>"Christoph Burger";"Rebel Without A Cause";"0"</v>
      </c>
      <c r="U1125" t="str">
        <f t="shared" si="123"/>
        <v>Christoph Burger</v>
      </c>
      <c r="V1125" t="str">
        <f t="shared" si="124"/>
        <v>Rebel Without A Cause</v>
      </c>
      <c r="W1125">
        <f t="shared" si="125"/>
        <v>0</v>
      </c>
    </row>
    <row r="1126" spans="1:23" x14ac:dyDescent="0.2">
      <c r="A1126" s="6" t="s">
        <v>66</v>
      </c>
      <c r="B1126" s="6">
        <v>2005</v>
      </c>
      <c r="C1126" s="6"/>
      <c r="D1126" s="6" t="s">
        <v>86</v>
      </c>
      <c r="E1126" s="6" t="s">
        <v>3</v>
      </c>
      <c r="F1126" s="6">
        <v>0</v>
      </c>
      <c r="G1126" s="6"/>
      <c r="H1126" s="6">
        <v>0</v>
      </c>
      <c r="I1126" s="6"/>
      <c r="J1126" s="6"/>
      <c r="K1126" s="6"/>
      <c r="L1126" s="6" t="str">
        <f t="shared" si="126"/>
        <v>Christoph Burger</v>
      </c>
      <c r="M1126" s="6" t="str">
        <f t="shared" si="127"/>
        <v>Rumor has it (Aniston, Costner)</v>
      </c>
      <c r="N1126" s="9">
        <f t="shared" si="128"/>
        <v>0</v>
      </c>
      <c r="P1126" t="str">
        <f t="shared" si="122"/>
        <v>"Christoph Burger";"Rumor has it";"0"</v>
      </c>
      <c r="U1126" t="str">
        <f t="shared" si="123"/>
        <v>Christoph Burger</v>
      </c>
      <c r="V1126" t="str">
        <f t="shared" si="124"/>
        <v>Rumor has it</v>
      </c>
      <c r="W1126">
        <f t="shared" si="125"/>
        <v>0</v>
      </c>
    </row>
    <row r="1127" spans="1:23" x14ac:dyDescent="0.2">
      <c r="A1127" s="6" t="s">
        <v>49</v>
      </c>
      <c r="B1127" s="6">
        <v>1998</v>
      </c>
      <c r="C1127" s="6"/>
      <c r="D1127" s="6" t="s">
        <v>86</v>
      </c>
      <c r="E1127" s="6" t="s">
        <v>2</v>
      </c>
      <c r="F1127" s="6">
        <v>1</v>
      </c>
      <c r="G1127" s="6">
        <v>5</v>
      </c>
      <c r="H1127" s="6">
        <v>5</v>
      </c>
      <c r="I1127" s="6"/>
      <c r="J1127" s="6"/>
      <c r="K1127" s="6"/>
      <c r="L1127" s="6" t="str">
        <f t="shared" si="126"/>
        <v>Christoph Burger</v>
      </c>
      <c r="M1127" s="6" t="str">
        <f t="shared" si="127"/>
        <v>Saving private Ryan (Hanks, Damon)</v>
      </c>
      <c r="N1127" s="9">
        <f t="shared" si="128"/>
        <v>5</v>
      </c>
      <c r="P1127" t="str">
        <f t="shared" si="122"/>
        <v>"Christoph Burger";"Saving private Ryan";"5"</v>
      </c>
      <c r="U1127" t="str">
        <f t="shared" si="123"/>
        <v>Christoph Burger</v>
      </c>
      <c r="V1127" t="str">
        <f t="shared" si="124"/>
        <v>Saving private Ryan</v>
      </c>
      <c r="W1127">
        <f t="shared" si="125"/>
        <v>1</v>
      </c>
    </row>
    <row r="1128" spans="1:23" x14ac:dyDescent="0.2">
      <c r="A1128" s="6" t="s">
        <v>50</v>
      </c>
      <c r="B1128" s="6">
        <v>1993</v>
      </c>
      <c r="C1128" s="6"/>
      <c r="D1128" s="6" t="s">
        <v>86</v>
      </c>
      <c r="E1128" s="6" t="s">
        <v>2</v>
      </c>
      <c r="F1128" s="6">
        <v>1</v>
      </c>
      <c r="G1128" s="6">
        <v>4</v>
      </c>
      <c r="H1128" s="6">
        <v>4</v>
      </c>
      <c r="I1128" s="6"/>
      <c r="J1128" s="6"/>
      <c r="K1128" s="6"/>
      <c r="L1128" s="6" t="str">
        <f t="shared" si="126"/>
        <v>Christoph Burger</v>
      </c>
      <c r="M1128" s="6" t="str">
        <f t="shared" si="127"/>
        <v>Schindlers List (Neeson, Fiennes)</v>
      </c>
      <c r="N1128" s="9">
        <f t="shared" si="128"/>
        <v>4</v>
      </c>
      <c r="P1128" t="str">
        <f t="shared" si="122"/>
        <v>"Christoph Burger";"Schindlers List";"4"</v>
      </c>
      <c r="U1128" t="str">
        <f t="shared" si="123"/>
        <v>Christoph Burger</v>
      </c>
      <c r="V1128" t="str">
        <f t="shared" si="124"/>
        <v>Schindlers List</v>
      </c>
      <c r="W1128">
        <f t="shared" si="125"/>
        <v>1</v>
      </c>
    </row>
    <row r="1129" spans="1:23" x14ac:dyDescent="0.2">
      <c r="A1129" s="6" t="s">
        <v>51</v>
      </c>
      <c r="B1129" s="6">
        <v>1996</v>
      </c>
      <c r="C1129" s="6"/>
      <c r="D1129" s="6" t="s">
        <v>86</v>
      </c>
      <c r="E1129" s="6" t="s">
        <v>2</v>
      </c>
      <c r="F1129" s="6">
        <v>1</v>
      </c>
      <c r="G1129" s="6">
        <v>2</v>
      </c>
      <c r="H1129" s="6">
        <v>2</v>
      </c>
      <c r="I1129" s="6"/>
      <c r="J1129" s="6"/>
      <c r="K1129" s="6"/>
      <c r="L1129" s="6" t="str">
        <f t="shared" si="126"/>
        <v>Christoph Burger</v>
      </c>
      <c r="M1129" s="6" t="str">
        <f t="shared" si="127"/>
        <v>Scream (Arquette, Campell)</v>
      </c>
      <c r="N1129" s="9">
        <f t="shared" si="128"/>
        <v>2</v>
      </c>
      <c r="P1129" t="str">
        <f t="shared" si="122"/>
        <v>"Christoph Burger";"Scream";"2"</v>
      </c>
      <c r="U1129" t="str">
        <f t="shared" si="123"/>
        <v>Christoph Burger</v>
      </c>
      <c r="V1129" t="str">
        <f t="shared" si="124"/>
        <v>Scream</v>
      </c>
      <c r="W1129">
        <f t="shared" si="125"/>
        <v>1</v>
      </c>
    </row>
    <row r="1130" spans="1:23" x14ac:dyDescent="0.2">
      <c r="A1130" s="6" t="s">
        <v>52</v>
      </c>
      <c r="B1130" s="6">
        <v>1977</v>
      </c>
      <c r="C1130" s="6"/>
      <c r="D1130" s="6" t="s">
        <v>86</v>
      </c>
      <c r="E1130" s="6" t="s">
        <v>3</v>
      </c>
      <c r="F1130" s="6">
        <v>0</v>
      </c>
      <c r="G1130" s="6"/>
      <c r="H1130" s="6">
        <v>0</v>
      </c>
      <c r="I1130" s="6"/>
      <c r="J1130" s="6"/>
      <c r="K1130" s="6"/>
      <c r="L1130" s="6" t="str">
        <f t="shared" si="126"/>
        <v>Christoph Burger</v>
      </c>
      <c r="M1130" s="6" t="str">
        <f t="shared" si="127"/>
        <v>Star Wars IV: A new hope (Hamill, Ford)</v>
      </c>
      <c r="N1130" s="9">
        <f t="shared" si="128"/>
        <v>0</v>
      </c>
      <c r="P1130" t="str">
        <f t="shared" si="122"/>
        <v>"Christoph Burger";"Star Wars IV: A new hope";"0"</v>
      </c>
      <c r="U1130" t="str">
        <f t="shared" si="123"/>
        <v>Christoph Burger</v>
      </c>
      <c r="V1130" t="str">
        <f t="shared" si="124"/>
        <v>Star Wars IV: A new hope</v>
      </c>
      <c r="W1130">
        <f t="shared" si="125"/>
        <v>0</v>
      </c>
    </row>
    <row r="1131" spans="1:23" x14ac:dyDescent="0.2">
      <c r="A1131" s="6" t="s">
        <v>53</v>
      </c>
      <c r="B1131" s="6">
        <v>2016</v>
      </c>
      <c r="C1131" s="6"/>
      <c r="D1131" s="6" t="s">
        <v>86</v>
      </c>
      <c r="E1131" s="6" t="s">
        <v>3</v>
      </c>
      <c r="F1131" s="6">
        <v>0</v>
      </c>
      <c r="G1131" s="6"/>
      <c r="H1131" s="6">
        <v>0</v>
      </c>
      <c r="I1131" s="6"/>
      <c r="J1131" s="6"/>
      <c r="K1131" s="6"/>
      <c r="L1131" s="6" t="str">
        <f t="shared" si="126"/>
        <v>Christoph Burger</v>
      </c>
      <c r="M1131" s="6" t="str">
        <f t="shared" si="127"/>
        <v>Suicide Squad (Smith, Robbie)</v>
      </c>
      <c r="N1131" s="9">
        <f t="shared" si="128"/>
        <v>0</v>
      </c>
      <c r="P1131" t="str">
        <f t="shared" si="122"/>
        <v>"Christoph Burger";"Suicide Squad";"0"</v>
      </c>
      <c r="U1131" t="str">
        <f t="shared" si="123"/>
        <v>Christoph Burger</v>
      </c>
      <c r="V1131" t="str">
        <f t="shared" si="124"/>
        <v>Suicide Squad</v>
      </c>
      <c r="W1131">
        <f t="shared" si="125"/>
        <v>0</v>
      </c>
    </row>
    <row r="1132" spans="1:23" x14ac:dyDescent="0.2">
      <c r="A1132" s="6" t="s">
        <v>54</v>
      </c>
      <c r="B1132" s="6">
        <v>2010</v>
      </c>
      <c r="C1132" s="6"/>
      <c r="D1132" s="6" t="s">
        <v>86</v>
      </c>
      <c r="E1132" s="6" t="s">
        <v>3</v>
      </c>
      <c r="F1132" s="6">
        <v>0</v>
      </c>
      <c r="G1132" s="6"/>
      <c r="H1132" s="6">
        <v>0</v>
      </c>
      <c r="I1132" s="6"/>
      <c r="J1132" s="6"/>
      <c r="K1132" s="6"/>
      <c r="L1132" s="6" t="str">
        <f t="shared" si="126"/>
        <v>Christoph Burger</v>
      </c>
      <c r="M1132" s="6" t="str">
        <f t="shared" si="127"/>
        <v>Tangled (Disney)</v>
      </c>
      <c r="N1132" s="9">
        <f t="shared" si="128"/>
        <v>0</v>
      </c>
      <c r="P1132" t="str">
        <f t="shared" si="122"/>
        <v>"Christoph Burger";"Tangled";"0"</v>
      </c>
      <c r="U1132" t="str">
        <f t="shared" si="123"/>
        <v>Christoph Burger</v>
      </c>
      <c r="V1132" t="str">
        <f t="shared" si="124"/>
        <v>Tangled</v>
      </c>
      <c r="W1132">
        <f t="shared" si="125"/>
        <v>0</v>
      </c>
    </row>
    <row r="1133" spans="1:23" x14ac:dyDescent="0.2">
      <c r="A1133" s="6" t="s">
        <v>55</v>
      </c>
      <c r="B1133" s="6">
        <v>2012</v>
      </c>
      <c r="C1133" s="6"/>
      <c r="D1133" s="6" t="s">
        <v>86</v>
      </c>
      <c r="E1133" s="6" t="s">
        <v>3</v>
      </c>
      <c r="F1133" s="6">
        <v>0</v>
      </c>
      <c r="G1133" s="6"/>
      <c r="H1133" s="6">
        <v>0</v>
      </c>
      <c r="I1133" s="6"/>
      <c r="J1133" s="6"/>
      <c r="K1133" s="6"/>
      <c r="L1133" s="6" t="str">
        <f t="shared" si="126"/>
        <v>Christoph Burger</v>
      </c>
      <c r="M1133" s="6" t="str">
        <f t="shared" si="127"/>
        <v>The Avengers (Downey Jr. Evans)</v>
      </c>
      <c r="N1133" s="9">
        <f t="shared" si="128"/>
        <v>0</v>
      </c>
      <c r="P1133" t="str">
        <f t="shared" si="122"/>
        <v>"Christoph Burger";"The Avengers";"0"</v>
      </c>
      <c r="U1133" t="str">
        <f t="shared" si="123"/>
        <v>Christoph Burger</v>
      </c>
      <c r="V1133" t="str">
        <f t="shared" si="124"/>
        <v>The Avengers</v>
      </c>
      <c r="W1133">
        <f t="shared" si="125"/>
        <v>0</v>
      </c>
    </row>
    <row r="1134" spans="1:23" x14ac:dyDescent="0.2">
      <c r="A1134" s="6" t="s">
        <v>56</v>
      </c>
      <c r="B1134" s="6">
        <v>1973</v>
      </c>
      <c r="C1134" s="6"/>
      <c r="D1134" s="6" t="s">
        <v>86</v>
      </c>
      <c r="E1134" s="6" t="s">
        <v>2</v>
      </c>
      <c r="F1134" s="6">
        <v>1</v>
      </c>
      <c r="G1134" s="6">
        <v>3</v>
      </c>
      <c r="H1134" s="6">
        <v>3</v>
      </c>
      <c r="I1134" s="6"/>
      <c r="J1134" s="6"/>
      <c r="K1134" s="6"/>
      <c r="L1134" s="6" t="str">
        <f t="shared" si="126"/>
        <v>Christoph Burger</v>
      </c>
      <c r="M1134" s="6" t="str">
        <f t="shared" si="127"/>
        <v>The Exorcist (von Sydow, Blair)</v>
      </c>
      <c r="N1134" s="9">
        <f t="shared" si="128"/>
        <v>3</v>
      </c>
      <c r="P1134" t="str">
        <f t="shared" si="122"/>
        <v>"Christoph Burger";"The Exorcist";"3"</v>
      </c>
      <c r="U1134" t="str">
        <f t="shared" si="123"/>
        <v>Christoph Burger</v>
      </c>
      <c r="V1134" t="str">
        <f t="shared" si="124"/>
        <v>The Exorcist</v>
      </c>
      <c r="W1134">
        <f t="shared" si="125"/>
        <v>1</v>
      </c>
    </row>
    <row r="1135" spans="1:23" x14ac:dyDescent="0.2">
      <c r="A1135" s="6" t="s">
        <v>57</v>
      </c>
      <c r="B1135" s="6">
        <v>1972</v>
      </c>
      <c r="C1135" s="6"/>
      <c r="D1135" s="6" t="s">
        <v>86</v>
      </c>
      <c r="E1135" s="6" t="s">
        <v>2</v>
      </c>
      <c r="F1135" s="6">
        <v>1</v>
      </c>
      <c r="G1135" s="6">
        <v>4</v>
      </c>
      <c r="H1135" s="6">
        <v>4</v>
      </c>
      <c r="I1135" s="6"/>
      <c r="J1135" s="6"/>
      <c r="K1135" s="6"/>
      <c r="L1135" s="6" t="str">
        <f t="shared" si="126"/>
        <v>Christoph Burger</v>
      </c>
      <c r="M1135" s="6" t="str">
        <f t="shared" si="127"/>
        <v>The Godfather (Brando, Pacino)</v>
      </c>
      <c r="N1135" s="9">
        <f t="shared" si="128"/>
        <v>4</v>
      </c>
      <c r="P1135" t="str">
        <f t="shared" si="122"/>
        <v>"Christoph Burger";"The Godfather";"4"</v>
      </c>
      <c r="U1135" t="str">
        <f t="shared" si="123"/>
        <v>Christoph Burger</v>
      </c>
      <c r="V1135" t="str">
        <f t="shared" si="124"/>
        <v>The Godfather</v>
      </c>
      <c r="W1135">
        <f t="shared" si="125"/>
        <v>1</v>
      </c>
    </row>
    <row r="1136" spans="1:23" x14ac:dyDescent="0.2">
      <c r="A1136" s="6" t="s">
        <v>58</v>
      </c>
      <c r="B1136" s="6">
        <v>1994</v>
      </c>
      <c r="C1136" s="6"/>
      <c r="D1136" s="6" t="s">
        <v>86</v>
      </c>
      <c r="E1136" s="6" t="s">
        <v>3</v>
      </c>
      <c r="F1136" s="6">
        <v>0</v>
      </c>
      <c r="G1136" s="6"/>
      <c r="H1136" s="6">
        <v>0</v>
      </c>
      <c r="I1136" s="6"/>
      <c r="J1136" s="6"/>
      <c r="K1136" s="6"/>
      <c r="L1136" s="6" t="str">
        <f t="shared" si="126"/>
        <v>Christoph Burger</v>
      </c>
      <c r="M1136" s="6" t="str">
        <f t="shared" si="127"/>
        <v>The Lion King (Disney)</v>
      </c>
      <c r="N1136" s="9">
        <f t="shared" si="128"/>
        <v>0</v>
      </c>
      <c r="P1136" t="str">
        <f t="shared" si="122"/>
        <v>"Christoph Burger";"The Lion King";"0"</v>
      </c>
      <c r="U1136" t="str">
        <f t="shared" si="123"/>
        <v>Christoph Burger</v>
      </c>
      <c r="V1136" t="str">
        <f t="shared" si="124"/>
        <v>The Lion King</v>
      </c>
      <c r="W1136">
        <f t="shared" si="125"/>
        <v>0</v>
      </c>
    </row>
    <row r="1137" spans="1:23" x14ac:dyDescent="0.2">
      <c r="A1137" s="6" t="s">
        <v>59</v>
      </c>
      <c r="B1137" s="6">
        <v>1999</v>
      </c>
      <c r="C1137" s="6"/>
      <c r="D1137" s="6" t="s">
        <v>86</v>
      </c>
      <c r="E1137" s="6" t="s">
        <v>3</v>
      </c>
      <c r="F1137" s="6">
        <v>0</v>
      </c>
      <c r="G1137" s="6"/>
      <c r="H1137" s="6">
        <v>0</v>
      </c>
      <c r="I1137" s="6"/>
      <c r="J1137" s="6"/>
      <c r="K1137" s="6"/>
      <c r="L1137" s="6" t="str">
        <f t="shared" si="126"/>
        <v>Christoph Burger</v>
      </c>
      <c r="M1137" s="6" t="str">
        <f t="shared" si="127"/>
        <v>The Matrix (Reeves, Fishburn)</v>
      </c>
      <c r="N1137" s="9">
        <f t="shared" si="128"/>
        <v>0</v>
      </c>
      <c r="P1137" t="str">
        <f t="shared" si="122"/>
        <v>"Christoph Burger";"The Matrix";"0"</v>
      </c>
      <c r="U1137" t="str">
        <f t="shared" si="123"/>
        <v>Christoph Burger</v>
      </c>
      <c r="V1137" t="str">
        <f t="shared" si="124"/>
        <v>The Matrix</v>
      </c>
      <c r="W1137">
        <f t="shared" si="125"/>
        <v>0</v>
      </c>
    </row>
    <row r="1138" spans="1:23" x14ac:dyDescent="0.2">
      <c r="A1138" s="6" t="s">
        <v>60</v>
      </c>
      <c r="B1138" s="6">
        <v>1980</v>
      </c>
      <c r="C1138" s="6"/>
      <c r="D1138" s="6" t="s">
        <v>86</v>
      </c>
      <c r="E1138" s="6" t="s">
        <v>2</v>
      </c>
      <c r="F1138" s="6">
        <v>1</v>
      </c>
      <c r="G1138" s="6">
        <v>4</v>
      </c>
      <c r="H1138" s="6">
        <v>4</v>
      </c>
      <c r="I1138" s="6"/>
      <c r="J1138" s="6"/>
      <c r="K1138" s="6"/>
      <c r="L1138" s="6" t="str">
        <f t="shared" si="126"/>
        <v>Christoph Burger</v>
      </c>
      <c r="M1138" s="6" t="str">
        <f t="shared" si="127"/>
        <v>The Shining (Nicholson, Duvall)</v>
      </c>
      <c r="N1138" s="9">
        <f t="shared" si="128"/>
        <v>4</v>
      </c>
      <c r="P1138" t="str">
        <f t="shared" si="122"/>
        <v>"Christoph Burger";"The Shining";"4"</v>
      </c>
      <c r="U1138" t="str">
        <f t="shared" si="123"/>
        <v>Christoph Burger</v>
      </c>
      <c r="V1138" t="str">
        <f t="shared" si="124"/>
        <v>The Shining</v>
      </c>
      <c r="W1138">
        <f t="shared" si="125"/>
        <v>1</v>
      </c>
    </row>
    <row r="1139" spans="1:23" x14ac:dyDescent="0.2">
      <c r="A1139" s="6" t="s">
        <v>61</v>
      </c>
      <c r="B1139" s="6">
        <v>1984</v>
      </c>
      <c r="C1139" s="6"/>
      <c r="D1139" s="6" t="s">
        <v>86</v>
      </c>
      <c r="E1139" s="6" t="s">
        <v>3</v>
      </c>
      <c r="F1139" s="6">
        <v>0</v>
      </c>
      <c r="G1139" s="6"/>
      <c r="H1139" s="6">
        <v>0</v>
      </c>
      <c r="I1139" s="6"/>
      <c r="J1139" s="6"/>
      <c r="K1139" s="6"/>
      <c r="L1139" s="6" t="str">
        <f t="shared" si="126"/>
        <v>Christoph Burger</v>
      </c>
      <c r="M1139" s="6" t="str">
        <f t="shared" si="127"/>
        <v>The Terminator (Schwarzenegger, Hamilton)</v>
      </c>
      <c r="N1139" s="9">
        <f t="shared" si="128"/>
        <v>0</v>
      </c>
      <c r="P1139" t="str">
        <f t="shared" si="122"/>
        <v>"Christoph Burger";"The Terminator";"0"</v>
      </c>
      <c r="U1139" t="str">
        <f t="shared" si="123"/>
        <v>Christoph Burger</v>
      </c>
      <c r="V1139" t="str">
        <f t="shared" si="124"/>
        <v>The Terminator</v>
      </c>
      <c r="W1139">
        <f t="shared" si="125"/>
        <v>0</v>
      </c>
    </row>
    <row r="1140" spans="1:23" x14ac:dyDescent="0.2">
      <c r="A1140" s="6" t="s">
        <v>62</v>
      </c>
      <c r="B1140" s="6">
        <v>1986</v>
      </c>
      <c r="C1140" s="6"/>
      <c r="D1140" s="6" t="s">
        <v>86</v>
      </c>
      <c r="E1140" s="6" t="s">
        <v>3</v>
      </c>
      <c r="F1140" s="6">
        <v>0</v>
      </c>
      <c r="G1140" s="6"/>
      <c r="H1140" s="6">
        <v>0</v>
      </c>
      <c r="I1140" s="6"/>
      <c r="J1140" s="6"/>
      <c r="K1140" s="6"/>
      <c r="L1140" s="6" t="str">
        <f t="shared" si="126"/>
        <v>Christoph Burger</v>
      </c>
      <c r="M1140" s="6" t="str">
        <f t="shared" si="127"/>
        <v>Top Gun (Cruise, McGillis)</v>
      </c>
      <c r="N1140" s="9">
        <f t="shared" si="128"/>
        <v>0</v>
      </c>
      <c r="P1140" t="str">
        <f t="shared" si="122"/>
        <v>"Christoph Burger";"Top Gun";"0"</v>
      </c>
      <c r="U1140" t="str">
        <f t="shared" si="123"/>
        <v>Christoph Burger</v>
      </c>
      <c r="V1140" t="str">
        <f t="shared" si="124"/>
        <v>Top Gun</v>
      </c>
      <c r="W1140">
        <f t="shared" si="125"/>
        <v>0</v>
      </c>
    </row>
    <row r="1141" spans="1:23" x14ac:dyDescent="0.2">
      <c r="A1141" s="6" t="s">
        <v>63</v>
      </c>
      <c r="B1141" s="6">
        <v>1995</v>
      </c>
      <c r="C1141" s="6"/>
      <c r="D1141" s="6" t="s">
        <v>86</v>
      </c>
      <c r="E1141" s="6" t="s">
        <v>3</v>
      </c>
      <c r="F1141" s="6">
        <v>0</v>
      </c>
      <c r="G1141" s="6"/>
      <c r="H1141" s="6">
        <v>0</v>
      </c>
      <c r="I1141" s="6"/>
      <c r="J1141" s="6"/>
      <c r="K1141" s="6"/>
      <c r="L1141" s="6" t="str">
        <f t="shared" si="126"/>
        <v>Christoph Burger</v>
      </c>
      <c r="M1141" s="6" t="str">
        <f t="shared" si="127"/>
        <v>Toy Story (Pixar)</v>
      </c>
      <c r="N1141" s="9">
        <f t="shared" si="128"/>
        <v>0</v>
      </c>
      <c r="P1141" t="str">
        <f t="shared" si="122"/>
        <v>"Christoph Burger";"Toy Story";"0"</v>
      </c>
      <c r="U1141" t="str">
        <f t="shared" si="123"/>
        <v>Christoph Burger</v>
      </c>
      <c r="V1141" t="str">
        <f t="shared" si="124"/>
        <v>Toy Story</v>
      </c>
      <c r="W1141">
        <f t="shared" si="125"/>
        <v>0</v>
      </c>
    </row>
    <row r="1142" spans="1:23" x14ac:dyDescent="0.2">
      <c r="A1142" s="6" t="s">
        <v>8</v>
      </c>
      <c r="B1142" s="6">
        <v>1968</v>
      </c>
      <c r="C1142" s="6"/>
      <c r="D1142" s="6" t="s">
        <v>87</v>
      </c>
      <c r="E1142" s="6" t="s">
        <v>3</v>
      </c>
      <c r="F1142" s="6">
        <v>0</v>
      </c>
      <c r="G1142" s="6"/>
      <c r="H1142" s="6">
        <v>0</v>
      </c>
      <c r="I1142" s="6"/>
      <c r="J1142" s="6"/>
      <c r="K1142" s="6"/>
      <c r="L1142" s="6" t="str">
        <f t="shared" si="126"/>
        <v>Michael Stoecklmayr</v>
      </c>
      <c r="M1142" s="6" t="str">
        <f t="shared" si="127"/>
        <v>2001: A Space Odyssey (Duella, Lockwood)</v>
      </c>
      <c r="N1142" s="9">
        <f t="shared" si="128"/>
        <v>0</v>
      </c>
      <c r="P1142" t="str">
        <f t="shared" si="122"/>
        <v>"Michael Stoecklmayr";"2001: A Space Odyssey";"0"</v>
      </c>
      <c r="U1142" t="str">
        <f t="shared" si="123"/>
        <v>Michael Stoecklmayr</v>
      </c>
      <c r="V1142" t="str">
        <f t="shared" si="124"/>
        <v>2001: A Space Odyssey</v>
      </c>
      <c r="W1142">
        <f t="shared" si="125"/>
        <v>0</v>
      </c>
    </row>
    <row r="1143" spans="1:23" x14ac:dyDescent="0.2">
      <c r="A1143" s="6" t="s">
        <v>9</v>
      </c>
      <c r="B1143" s="6">
        <v>1971</v>
      </c>
      <c r="C1143" s="6"/>
      <c r="D1143" s="6" t="s">
        <v>87</v>
      </c>
      <c r="E1143" s="6" t="s">
        <v>3</v>
      </c>
      <c r="F1143" s="6">
        <v>0</v>
      </c>
      <c r="G1143" s="6"/>
      <c r="H1143" s="6">
        <v>0</v>
      </c>
      <c r="I1143" s="6"/>
      <c r="J1143" s="6"/>
      <c r="K1143" s="6"/>
      <c r="L1143" s="6" t="str">
        <f t="shared" si="126"/>
        <v>Michael Stoecklmayr</v>
      </c>
      <c r="M1143" s="6" t="str">
        <f t="shared" si="127"/>
        <v>A Clockwork Orange (McDowell, Magee)</v>
      </c>
      <c r="N1143" s="9">
        <f t="shared" si="128"/>
        <v>0</v>
      </c>
      <c r="P1143" t="str">
        <f t="shared" si="122"/>
        <v>"Michael Stoecklmayr";"A Clockwork Orange";"0"</v>
      </c>
      <c r="U1143" t="str">
        <f t="shared" si="123"/>
        <v>Michael Stoecklmayr</v>
      </c>
      <c r="V1143" t="str">
        <f t="shared" si="124"/>
        <v>A Clockwork Orange</v>
      </c>
      <c r="W1143">
        <f t="shared" si="125"/>
        <v>0</v>
      </c>
    </row>
    <row r="1144" spans="1:23" x14ac:dyDescent="0.2">
      <c r="A1144" s="6" t="s">
        <v>10</v>
      </c>
      <c r="B1144" s="6">
        <v>2018</v>
      </c>
      <c r="C1144" s="6"/>
      <c r="D1144" s="6" t="s">
        <v>87</v>
      </c>
      <c r="E1144" s="6" t="s">
        <v>3</v>
      </c>
      <c r="F1144" s="6">
        <v>0</v>
      </c>
      <c r="G1144" s="6"/>
      <c r="H1144" s="6">
        <v>0</v>
      </c>
      <c r="I1144" s="6"/>
      <c r="J1144" s="6"/>
      <c r="K1144" s="6"/>
      <c r="L1144" s="6" t="str">
        <f t="shared" si="126"/>
        <v>Michael Stoecklmayr</v>
      </c>
      <c r="M1144" s="6" t="str">
        <f t="shared" si="127"/>
        <v>A star is born (Gaga, Cooper)</v>
      </c>
      <c r="N1144" s="9">
        <f t="shared" si="128"/>
        <v>0</v>
      </c>
      <c r="P1144" t="str">
        <f t="shared" si="122"/>
        <v>"Michael Stoecklmayr";"A star is born";"0"</v>
      </c>
      <c r="U1144" t="str">
        <f t="shared" si="123"/>
        <v>Michael Stoecklmayr</v>
      </c>
      <c r="V1144" t="str">
        <f t="shared" si="124"/>
        <v>A star is born</v>
      </c>
      <c r="W1144">
        <f t="shared" si="125"/>
        <v>0</v>
      </c>
    </row>
    <row r="1145" spans="1:23" x14ac:dyDescent="0.2">
      <c r="A1145" s="6" t="s">
        <v>11</v>
      </c>
      <c r="B1145" s="6">
        <v>2005</v>
      </c>
      <c r="C1145" s="6"/>
      <c r="D1145" s="6" t="s">
        <v>87</v>
      </c>
      <c r="E1145" s="6" t="s">
        <v>2</v>
      </c>
      <c r="F1145" s="6">
        <v>1</v>
      </c>
      <c r="G1145" s="6">
        <v>2</v>
      </c>
      <c r="H1145" s="6">
        <v>2</v>
      </c>
      <c r="I1145" s="6"/>
      <c r="J1145" s="6"/>
      <c r="K1145" s="6"/>
      <c r="L1145" s="6" t="str">
        <f t="shared" si="126"/>
        <v>Michael Stoecklmayr</v>
      </c>
      <c r="M1145" s="6" t="str">
        <f t="shared" si="127"/>
        <v>Aeon Flux (Theron, Csokas)</v>
      </c>
      <c r="N1145" s="9">
        <f t="shared" si="128"/>
        <v>2</v>
      </c>
      <c r="P1145" t="str">
        <f t="shared" si="122"/>
        <v>"Michael Stoecklmayr";"Aeon Flux";"2"</v>
      </c>
      <c r="U1145" t="str">
        <f t="shared" si="123"/>
        <v>Michael Stoecklmayr</v>
      </c>
      <c r="V1145" t="str">
        <f t="shared" si="124"/>
        <v>Aeon Flux</v>
      </c>
      <c r="W1145">
        <f t="shared" si="125"/>
        <v>1</v>
      </c>
    </row>
    <row r="1146" spans="1:23" x14ac:dyDescent="0.2">
      <c r="A1146" s="6" t="s">
        <v>12</v>
      </c>
      <c r="B1146" s="6">
        <v>1951</v>
      </c>
      <c r="C1146" s="6"/>
      <c r="D1146" s="6" t="s">
        <v>87</v>
      </c>
      <c r="E1146" s="6" t="s">
        <v>3</v>
      </c>
      <c r="F1146" s="6">
        <v>0</v>
      </c>
      <c r="G1146" s="6"/>
      <c r="H1146" s="6">
        <v>0</v>
      </c>
      <c r="I1146" s="6"/>
      <c r="J1146" s="6"/>
      <c r="K1146" s="6"/>
      <c r="L1146" s="6" t="str">
        <f t="shared" si="126"/>
        <v>Michael Stoecklmayr</v>
      </c>
      <c r="M1146" s="6" t="str">
        <f t="shared" si="127"/>
        <v>African Queen (Bogart, Hepburn)</v>
      </c>
      <c r="N1146" s="9">
        <f t="shared" si="128"/>
        <v>0</v>
      </c>
      <c r="P1146" t="str">
        <f t="shared" si="122"/>
        <v>"Michael Stoecklmayr";"African Queen";"0"</v>
      </c>
      <c r="U1146" t="str">
        <f t="shared" si="123"/>
        <v>Michael Stoecklmayr</v>
      </c>
      <c r="V1146" t="str">
        <f t="shared" si="124"/>
        <v>African Queen</v>
      </c>
      <c r="W1146">
        <f t="shared" si="125"/>
        <v>0</v>
      </c>
    </row>
    <row r="1147" spans="1:23" x14ac:dyDescent="0.2">
      <c r="A1147" s="6" t="s">
        <v>13</v>
      </c>
      <c r="B1147" s="6">
        <v>1979</v>
      </c>
      <c r="C1147" s="6"/>
      <c r="D1147" s="6" t="s">
        <v>87</v>
      </c>
      <c r="E1147" s="6" t="s">
        <v>3</v>
      </c>
      <c r="F1147" s="6">
        <v>0</v>
      </c>
      <c r="G1147" s="6"/>
      <c r="H1147" s="6">
        <v>0</v>
      </c>
      <c r="I1147" s="6"/>
      <c r="J1147" s="6"/>
      <c r="K1147" s="6"/>
      <c r="L1147" s="6" t="str">
        <f t="shared" si="126"/>
        <v>Michael Stoecklmayr</v>
      </c>
      <c r="M1147" s="6" t="str">
        <f t="shared" si="127"/>
        <v>Alien (Weaver, Skerritt)</v>
      </c>
      <c r="N1147" s="9">
        <f t="shared" si="128"/>
        <v>0</v>
      </c>
      <c r="P1147" t="str">
        <f t="shared" si="122"/>
        <v>"Michael Stoecklmayr";"Alien";"0"</v>
      </c>
      <c r="U1147" t="str">
        <f t="shared" si="123"/>
        <v>Michael Stoecklmayr</v>
      </c>
      <c r="V1147" t="str">
        <f t="shared" si="124"/>
        <v>Alien</v>
      </c>
      <c r="W1147">
        <f t="shared" si="125"/>
        <v>0</v>
      </c>
    </row>
    <row r="1148" spans="1:23" x14ac:dyDescent="0.2">
      <c r="A1148" s="6" t="s">
        <v>14</v>
      </c>
      <c r="B1148" s="6">
        <v>1960</v>
      </c>
      <c r="C1148" s="6"/>
      <c r="D1148" s="6" t="s">
        <v>87</v>
      </c>
      <c r="E1148" s="6" t="s">
        <v>3</v>
      </c>
      <c r="F1148" s="6">
        <v>0</v>
      </c>
      <c r="G1148" s="6"/>
      <c r="H1148" s="6">
        <v>0</v>
      </c>
      <c r="I1148" s="6"/>
      <c r="J1148" s="6"/>
      <c r="K1148" s="6"/>
      <c r="L1148" s="6" t="str">
        <f t="shared" si="126"/>
        <v>Michael Stoecklmayr</v>
      </c>
      <c r="M1148" s="6" t="str">
        <f t="shared" si="127"/>
        <v>Apartment (Lemmon, MacLaine)</v>
      </c>
      <c r="N1148" s="9">
        <f t="shared" si="128"/>
        <v>0</v>
      </c>
      <c r="P1148" t="str">
        <f t="shared" si="122"/>
        <v>"Michael Stoecklmayr";"Apartment";"0"</v>
      </c>
      <c r="U1148" t="str">
        <f t="shared" si="123"/>
        <v>Michael Stoecklmayr</v>
      </c>
      <c r="V1148" t="str">
        <f t="shared" si="124"/>
        <v>Apartment</v>
      </c>
      <c r="W1148">
        <f t="shared" si="125"/>
        <v>0</v>
      </c>
    </row>
    <row r="1149" spans="1:23" x14ac:dyDescent="0.2">
      <c r="A1149" s="6" t="s">
        <v>15</v>
      </c>
      <c r="B1149" s="6">
        <v>1979</v>
      </c>
      <c r="C1149" s="6"/>
      <c r="D1149" s="6" t="s">
        <v>87</v>
      </c>
      <c r="E1149" s="6" t="s">
        <v>3</v>
      </c>
      <c r="F1149" s="6">
        <v>0</v>
      </c>
      <c r="G1149" s="6"/>
      <c r="H1149" s="6">
        <v>0</v>
      </c>
      <c r="I1149" s="6"/>
      <c r="J1149" s="6"/>
      <c r="K1149" s="6"/>
      <c r="L1149" s="6" t="str">
        <f t="shared" si="126"/>
        <v>Michael Stoecklmayr</v>
      </c>
      <c r="M1149" s="6" t="str">
        <f t="shared" si="127"/>
        <v>Apocalypse Now (Sheen, Brando)</v>
      </c>
      <c r="N1149" s="9">
        <f t="shared" si="128"/>
        <v>0</v>
      </c>
      <c r="P1149" t="str">
        <f t="shared" si="122"/>
        <v>"Michael Stoecklmayr";"Apocalypse Now";"0"</v>
      </c>
      <c r="U1149" t="str">
        <f t="shared" si="123"/>
        <v>Michael Stoecklmayr</v>
      </c>
      <c r="V1149" t="str">
        <f t="shared" si="124"/>
        <v>Apocalypse Now</v>
      </c>
      <c r="W1149">
        <f t="shared" si="125"/>
        <v>0</v>
      </c>
    </row>
    <row r="1150" spans="1:23" x14ac:dyDescent="0.2">
      <c r="A1150" s="6" t="s">
        <v>16</v>
      </c>
      <c r="B1150" s="6">
        <v>1956</v>
      </c>
      <c r="C1150" s="6"/>
      <c r="D1150" s="6" t="s">
        <v>87</v>
      </c>
      <c r="E1150" s="6" t="s">
        <v>3</v>
      </c>
      <c r="F1150" s="6">
        <v>0</v>
      </c>
      <c r="G1150" s="6"/>
      <c r="H1150" s="6">
        <v>0</v>
      </c>
      <c r="I1150" s="6"/>
      <c r="J1150" s="6"/>
      <c r="K1150" s="6"/>
      <c r="L1150" s="6" t="str">
        <f t="shared" si="126"/>
        <v>Michael Stoecklmayr</v>
      </c>
      <c r="M1150" s="6" t="str">
        <f t="shared" si="127"/>
        <v>Around The World In 80 Days (Niven, Cantinflas)</v>
      </c>
      <c r="N1150" s="9">
        <f t="shared" si="128"/>
        <v>0</v>
      </c>
      <c r="P1150" t="str">
        <f t="shared" si="122"/>
        <v>"Michael Stoecklmayr";"Around The World In 80 Days";"0"</v>
      </c>
      <c r="U1150" t="str">
        <f t="shared" si="123"/>
        <v>Michael Stoecklmayr</v>
      </c>
      <c r="V1150" t="str">
        <f t="shared" si="124"/>
        <v>Around The World In 80 Days</v>
      </c>
      <c r="W1150">
        <f t="shared" si="125"/>
        <v>0</v>
      </c>
    </row>
    <row r="1151" spans="1:23" x14ac:dyDescent="0.2">
      <c r="A1151" s="6" t="s">
        <v>17</v>
      </c>
      <c r="B1151" s="6">
        <v>2009</v>
      </c>
      <c r="C1151" s="6"/>
      <c r="D1151" s="6" t="s">
        <v>87</v>
      </c>
      <c r="E1151" s="6" t="s">
        <v>2</v>
      </c>
      <c r="F1151" s="6">
        <v>1</v>
      </c>
      <c r="G1151" s="6">
        <v>4</v>
      </c>
      <c r="H1151" s="6">
        <v>4</v>
      </c>
      <c r="I1151" s="6"/>
      <c r="J1151" s="6"/>
      <c r="K1151" s="6"/>
      <c r="L1151" s="6" t="str">
        <f t="shared" si="126"/>
        <v>Michael Stoecklmayr</v>
      </c>
      <c r="M1151" s="6" t="str">
        <f t="shared" si="127"/>
        <v>Avatar (Worthington, Saldana)</v>
      </c>
      <c r="N1151" s="9">
        <f t="shared" si="128"/>
        <v>4</v>
      </c>
      <c r="P1151" t="str">
        <f t="shared" si="122"/>
        <v>"Michael Stoecklmayr";"Avatar";"4"</v>
      </c>
      <c r="U1151" t="str">
        <f t="shared" si="123"/>
        <v>Michael Stoecklmayr</v>
      </c>
      <c r="V1151" t="str">
        <f t="shared" si="124"/>
        <v>Avatar</v>
      </c>
      <c r="W1151">
        <f t="shared" si="125"/>
        <v>1</v>
      </c>
    </row>
    <row r="1152" spans="1:23" x14ac:dyDescent="0.2">
      <c r="A1152" s="6" t="s">
        <v>18</v>
      </c>
      <c r="B1152" s="6">
        <v>1989</v>
      </c>
      <c r="C1152" s="6"/>
      <c r="D1152" s="6" t="s">
        <v>87</v>
      </c>
      <c r="E1152" s="6" t="s">
        <v>3</v>
      </c>
      <c r="F1152" s="6">
        <v>0</v>
      </c>
      <c r="G1152" s="6"/>
      <c r="H1152" s="6">
        <v>0</v>
      </c>
      <c r="I1152" s="6"/>
      <c r="J1152" s="6"/>
      <c r="K1152" s="6"/>
      <c r="L1152" s="6" t="str">
        <f t="shared" si="126"/>
        <v>Michael Stoecklmayr</v>
      </c>
      <c r="M1152" s="6" t="str">
        <f t="shared" si="127"/>
        <v>Batman (Keaton, Nicholson, Basinger)</v>
      </c>
      <c r="N1152" s="9">
        <f t="shared" si="128"/>
        <v>0</v>
      </c>
      <c r="P1152" t="str">
        <f t="shared" si="122"/>
        <v>"Michael Stoecklmayr";"Batman";"0"</v>
      </c>
      <c r="U1152" t="str">
        <f t="shared" si="123"/>
        <v>Michael Stoecklmayr</v>
      </c>
      <c r="V1152" t="str">
        <f t="shared" si="124"/>
        <v>Batman</v>
      </c>
      <c r="W1152">
        <f t="shared" si="125"/>
        <v>0</v>
      </c>
    </row>
    <row r="1153" spans="1:23" x14ac:dyDescent="0.2">
      <c r="A1153" s="6" t="s">
        <v>19</v>
      </c>
      <c r="B1153" s="6">
        <v>1982</v>
      </c>
      <c r="C1153" s="6"/>
      <c r="D1153" s="6" t="s">
        <v>87</v>
      </c>
      <c r="E1153" s="6" t="s">
        <v>3</v>
      </c>
      <c r="F1153" s="6">
        <v>0</v>
      </c>
      <c r="G1153" s="6"/>
      <c r="H1153" s="6">
        <v>0</v>
      </c>
      <c r="I1153" s="6"/>
      <c r="J1153" s="6"/>
      <c r="K1153" s="6"/>
      <c r="L1153" s="6" t="str">
        <f t="shared" si="126"/>
        <v>Michael Stoecklmayr</v>
      </c>
      <c r="M1153" s="6" t="str">
        <f t="shared" si="127"/>
        <v>Blade Runner (Ford, Hauer)</v>
      </c>
      <c r="N1153" s="9">
        <f t="shared" si="128"/>
        <v>0</v>
      </c>
      <c r="P1153" t="str">
        <f t="shared" si="122"/>
        <v>"Michael Stoecklmayr";"Blade Runner";"0"</v>
      </c>
      <c r="U1153" t="str">
        <f t="shared" si="123"/>
        <v>Michael Stoecklmayr</v>
      </c>
      <c r="V1153" t="str">
        <f t="shared" si="124"/>
        <v>Blade Runner</v>
      </c>
      <c r="W1153">
        <f t="shared" si="125"/>
        <v>0</v>
      </c>
    </row>
    <row r="1154" spans="1:23" x14ac:dyDescent="0.2">
      <c r="A1154" s="6" t="s">
        <v>20</v>
      </c>
      <c r="B1154" s="6">
        <v>2018</v>
      </c>
      <c r="C1154" s="6"/>
      <c r="D1154" s="6" t="s">
        <v>87</v>
      </c>
      <c r="E1154" s="6" t="s">
        <v>3</v>
      </c>
      <c r="F1154" s="6">
        <v>0</v>
      </c>
      <c r="G1154" s="6"/>
      <c r="H1154" s="6">
        <v>0</v>
      </c>
      <c r="I1154" s="6"/>
      <c r="J1154" s="6"/>
      <c r="K1154" s="6"/>
      <c r="L1154" s="6" t="str">
        <f t="shared" si="126"/>
        <v>Michael Stoecklmayr</v>
      </c>
      <c r="M1154" s="6" t="str">
        <f t="shared" si="127"/>
        <v>Bohemian Rhapsody (Malek, Boynton)</v>
      </c>
      <c r="N1154" s="9">
        <f t="shared" si="128"/>
        <v>0</v>
      </c>
      <c r="P1154" t="str">
        <f t="shared" si="122"/>
        <v>"Michael Stoecklmayr";"Bohemian Rhapsody";"0"</v>
      </c>
      <c r="U1154" t="str">
        <f t="shared" si="123"/>
        <v>Michael Stoecklmayr</v>
      </c>
      <c r="V1154" t="str">
        <f t="shared" si="124"/>
        <v>Bohemian Rhapsody</v>
      </c>
      <c r="W1154">
        <f t="shared" si="125"/>
        <v>0</v>
      </c>
    </row>
    <row r="1155" spans="1:23" x14ac:dyDescent="0.2">
      <c r="A1155" s="6" t="s">
        <v>21</v>
      </c>
      <c r="B1155" s="6">
        <v>2011</v>
      </c>
      <c r="C1155" s="6"/>
      <c r="D1155" s="6" t="s">
        <v>87</v>
      </c>
      <c r="E1155" s="6" t="s">
        <v>2</v>
      </c>
      <c r="F1155" s="6">
        <v>1</v>
      </c>
      <c r="G1155" s="6">
        <v>2</v>
      </c>
      <c r="H1155" s="6">
        <v>2</v>
      </c>
      <c r="I1155" s="6"/>
      <c r="J1155" s="6"/>
      <c r="K1155" s="6"/>
      <c r="L1155" s="6" t="str">
        <f t="shared" si="126"/>
        <v>Michael Stoecklmayr</v>
      </c>
      <c r="M1155" s="6" t="str">
        <f t="shared" si="127"/>
        <v>Captain America (Evans, Waeving)</v>
      </c>
      <c r="N1155" s="9">
        <f t="shared" si="128"/>
        <v>2</v>
      </c>
      <c r="P1155" t="str">
        <f t="shared" ref="P1155:P1218" si="129">""""&amp;L1155&amp;""";"""&amp;LEFT(M1155,FIND("(",M1155)-2)&amp;""";"""&amp;SUBSTITUTE(N1155,",",".")&amp;""""</f>
        <v>"Michael Stoecklmayr";"Captain America";"2"</v>
      </c>
      <c r="U1155" t="str">
        <f t="shared" ref="U1155:U1218" si="130">D1155</f>
        <v>Michael Stoecklmayr</v>
      </c>
      <c r="V1155" t="str">
        <f t="shared" ref="V1155:V1218" si="131">LEFT(A1155,FIND("(",A1155)-2)</f>
        <v>Captain America</v>
      </c>
      <c r="W1155">
        <f t="shared" ref="W1155:W1218" si="132">F1155</f>
        <v>1</v>
      </c>
    </row>
    <row r="1156" spans="1:23" x14ac:dyDescent="0.2">
      <c r="A1156" s="6" t="s">
        <v>22</v>
      </c>
      <c r="B1156" s="6">
        <v>2000</v>
      </c>
      <c r="C1156" s="6"/>
      <c r="D1156" s="6" t="s">
        <v>87</v>
      </c>
      <c r="E1156" s="6" t="s">
        <v>2</v>
      </c>
      <c r="F1156" s="6">
        <v>1</v>
      </c>
      <c r="G1156" s="6">
        <v>5</v>
      </c>
      <c r="H1156" s="6">
        <v>5</v>
      </c>
      <c r="I1156" s="6"/>
      <c r="J1156" s="6"/>
      <c r="K1156" s="6"/>
      <c r="L1156" s="6" t="str">
        <f t="shared" ref="L1156:L1219" si="133">D1156</f>
        <v>Michael Stoecklmayr</v>
      </c>
      <c r="M1156" s="6" t="str">
        <f t="shared" ref="M1156:M1219" si="134">A1156</f>
        <v>Cast Away (Hanks, Hunt)</v>
      </c>
      <c r="N1156" s="9">
        <f t="shared" ref="N1156:N1219" si="135">H1156</f>
        <v>5</v>
      </c>
      <c r="P1156" t="str">
        <f t="shared" si="129"/>
        <v>"Michael Stoecklmayr";"Cast Away";"5"</v>
      </c>
      <c r="U1156" t="str">
        <f t="shared" si="130"/>
        <v>Michael Stoecklmayr</v>
      </c>
      <c r="V1156" t="str">
        <f t="shared" si="131"/>
        <v>Cast Away</v>
      </c>
      <c r="W1156">
        <f t="shared" si="132"/>
        <v>1</v>
      </c>
    </row>
    <row r="1157" spans="1:23" x14ac:dyDescent="0.2">
      <c r="A1157" s="6" t="s">
        <v>23</v>
      </c>
      <c r="B1157" s="6">
        <v>1958</v>
      </c>
      <c r="C1157" s="6"/>
      <c r="D1157" s="6" t="s">
        <v>87</v>
      </c>
      <c r="E1157" s="6" t="s">
        <v>3</v>
      </c>
      <c r="F1157" s="6">
        <v>0</v>
      </c>
      <c r="G1157" s="6"/>
      <c r="H1157" s="6">
        <v>0</v>
      </c>
      <c r="I1157" s="6"/>
      <c r="J1157" s="6"/>
      <c r="K1157" s="6"/>
      <c r="L1157" s="6" t="str">
        <f t="shared" si="133"/>
        <v>Michael Stoecklmayr</v>
      </c>
      <c r="M1157" s="6" t="str">
        <f t="shared" si="134"/>
        <v>Cat On Hot Tin Roof (Taylor, Newman)</v>
      </c>
      <c r="N1157" s="9">
        <f t="shared" si="135"/>
        <v>0</v>
      </c>
      <c r="P1157" t="str">
        <f t="shared" si="129"/>
        <v>"Michael Stoecklmayr";"Cat On Hot Tin Roof";"0"</v>
      </c>
      <c r="U1157" t="str">
        <f t="shared" si="130"/>
        <v>Michael Stoecklmayr</v>
      </c>
      <c r="V1157" t="str">
        <f t="shared" si="131"/>
        <v>Cat On Hot Tin Roof</v>
      </c>
      <c r="W1157">
        <f t="shared" si="132"/>
        <v>0</v>
      </c>
    </row>
    <row r="1158" spans="1:23" x14ac:dyDescent="0.2">
      <c r="A1158" s="6" t="s">
        <v>24</v>
      </c>
      <c r="B1158" s="6">
        <v>1963</v>
      </c>
      <c r="C1158" s="6"/>
      <c r="D1158" s="6" t="s">
        <v>87</v>
      </c>
      <c r="E1158" s="6" t="s">
        <v>3</v>
      </c>
      <c r="F1158" s="6">
        <v>0</v>
      </c>
      <c r="G1158" s="6"/>
      <c r="H1158" s="6">
        <v>0</v>
      </c>
      <c r="I1158" s="6"/>
      <c r="J1158" s="6"/>
      <c r="K1158" s="6"/>
      <c r="L1158" s="6" t="str">
        <f t="shared" si="133"/>
        <v>Michael Stoecklmayr</v>
      </c>
      <c r="M1158" s="6" t="str">
        <f t="shared" si="134"/>
        <v>Charade (Grant, Hepburn)</v>
      </c>
      <c r="N1158" s="9">
        <f t="shared" si="135"/>
        <v>0</v>
      </c>
      <c r="P1158" t="str">
        <f t="shared" si="129"/>
        <v>"Michael Stoecklmayr";"Charade";"0"</v>
      </c>
      <c r="U1158" t="str">
        <f t="shared" si="130"/>
        <v>Michael Stoecklmayr</v>
      </c>
      <c r="V1158" t="str">
        <f t="shared" si="131"/>
        <v>Charade</v>
      </c>
      <c r="W1158">
        <f t="shared" si="132"/>
        <v>0</v>
      </c>
    </row>
    <row r="1159" spans="1:23" x14ac:dyDescent="0.2">
      <c r="A1159" s="6" t="s">
        <v>25</v>
      </c>
      <c r="B1159" s="6">
        <v>2000</v>
      </c>
      <c r="C1159" s="6"/>
      <c r="D1159" s="6" t="s">
        <v>87</v>
      </c>
      <c r="E1159" s="6" t="s">
        <v>2</v>
      </c>
      <c r="F1159" s="6">
        <v>1</v>
      </c>
      <c r="G1159" s="6">
        <v>2</v>
      </c>
      <c r="H1159" s="6">
        <v>2</v>
      </c>
      <c r="I1159" s="6"/>
      <c r="J1159" s="6"/>
      <c r="K1159" s="6"/>
      <c r="L1159" s="6" t="str">
        <f t="shared" si="133"/>
        <v>Michael Stoecklmayr</v>
      </c>
      <c r="M1159" s="6" t="str">
        <f t="shared" si="134"/>
        <v>Charlies Angels (Diaz, Barrymore, Liu)</v>
      </c>
      <c r="N1159" s="9">
        <f t="shared" si="135"/>
        <v>2</v>
      </c>
      <c r="P1159" t="str">
        <f t="shared" si="129"/>
        <v>"Michael Stoecklmayr";"Charlies Angels";"2"</v>
      </c>
      <c r="U1159" t="str">
        <f t="shared" si="130"/>
        <v>Michael Stoecklmayr</v>
      </c>
      <c r="V1159" t="str">
        <f t="shared" si="131"/>
        <v>Charlies Angels</v>
      </c>
      <c r="W1159">
        <f t="shared" si="132"/>
        <v>1</v>
      </c>
    </row>
    <row r="1160" spans="1:23" x14ac:dyDescent="0.2">
      <c r="A1160" s="6" t="s">
        <v>26</v>
      </c>
      <c r="B1160" s="6">
        <v>1974</v>
      </c>
      <c r="C1160" s="6"/>
      <c r="D1160" s="6" t="s">
        <v>87</v>
      </c>
      <c r="E1160" s="6" t="s">
        <v>3</v>
      </c>
      <c r="F1160" s="6">
        <v>0</v>
      </c>
      <c r="G1160" s="6"/>
      <c r="H1160" s="6">
        <v>0</v>
      </c>
      <c r="I1160" s="6"/>
      <c r="J1160" s="6"/>
      <c r="K1160" s="6"/>
      <c r="L1160" s="6" t="str">
        <f t="shared" si="133"/>
        <v>Michael Stoecklmayr</v>
      </c>
      <c r="M1160" s="6" t="str">
        <f t="shared" si="134"/>
        <v>Chinatown (Nicholson, Dunaway)</v>
      </c>
      <c r="N1160" s="9">
        <f t="shared" si="135"/>
        <v>0</v>
      </c>
      <c r="P1160" t="str">
        <f t="shared" si="129"/>
        <v>"Michael Stoecklmayr";"Chinatown";"0"</v>
      </c>
      <c r="U1160" t="str">
        <f t="shared" si="130"/>
        <v>Michael Stoecklmayr</v>
      </c>
      <c r="V1160" t="str">
        <f t="shared" si="131"/>
        <v>Chinatown</v>
      </c>
      <c r="W1160">
        <f t="shared" si="132"/>
        <v>0</v>
      </c>
    </row>
    <row r="1161" spans="1:23" x14ac:dyDescent="0.2">
      <c r="A1161" s="6" t="s">
        <v>27</v>
      </c>
      <c r="B1161" s="6">
        <v>1986</v>
      </c>
      <c r="C1161" s="6"/>
      <c r="D1161" s="6" t="s">
        <v>87</v>
      </c>
      <c r="E1161" s="6" t="s">
        <v>3</v>
      </c>
      <c r="F1161" s="6">
        <v>0</v>
      </c>
      <c r="G1161" s="6"/>
      <c r="H1161" s="6">
        <v>0</v>
      </c>
      <c r="I1161" s="6"/>
      <c r="J1161" s="6"/>
      <c r="K1161" s="6"/>
      <c r="L1161" s="6" t="str">
        <f t="shared" si="133"/>
        <v>Michael Stoecklmayr</v>
      </c>
      <c r="M1161" s="6" t="str">
        <f t="shared" si="134"/>
        <v>Clockwise (Gleese, Leatherbarrow)</v>
      </c>
      <c r="N1161" s="9">
        <f t="shared" si="135"/>
        <v>0</v>
      </c>
      <c r="P1161" t="str">
        <f t="shared" si="129"/>
        <v>"Michael Stoecklmayr";"Clockwise";"0"</v>
      </c>
      <c r="U1161" t="str">
        <f t="shared" si="130"/>
        <v>Michael Stoecklmayr</v>
      </c>
      <c r="V1161" t="str">
        <f t="shared" si="131"/>
        <v>Clockwise</v>
      </c>
      <c r="W1161">
        <f t="shared" si="132"/>
        <v>0</v>
      </c>
    </row>
    <row r="1162" spans="1:23" x14ac:dyDescent="0.2">
      <c r="A1162" s="6" t="s">
        <v>28</v>
      </c>
      <c r="B1162" s="6">
        <v>2011</v>
      </c>
      <c r="C1162" s="6"/>
      <c r="D1162" s="6" t="s">
        <v>87</v>
      </c>
      <c r="E1162" s="6" t="s">
        <v>2</v>
      </c>
      <c r="F1162" s="6">
        <v>1</v>
      </c>
      <c r="G1162" s="6">
        <v>4</v>
      </c>
      <c r="H1162" s="6">
        <v>4</v>
      </c>
      <c r="I1162" s="6"/>
      <c r="J1162" s="6"/>
      <c r="K1162" s="6"/>
      <c r="L1162" s="6" t="str">
        <f t="shared" si="133"/>
        <v>Michael Stoecklmayr</v>
      </c>
      <c r="M1162" s="6" t="str">
        <f t="shared" si="134"/>
        <v>Colombiana (Saldana, Molla)</v>
      </c>
      <c r="N1162" s="9">
        <f t="shared" si="135"/>
        <v>4</v>
      </c>
      <c r="P1162" t="str">
        <f t="shared" si="129"/>
        <v>"Michael Stoecklmayr";"Colombiana";"4"</v>
      </c>
      <c r="U1162" t="str">
        <f t="shared" si="130"/>
        <v>Michael Stoecklmayr</v>
      </c>
      <c r="V1162" t="str">
        <f t="shared" si="131"/>
        <v>Colombiana</v>
      </c>
      <c r="W1162">
        <f t="shared" si="132"/>
        <v>1</v>
      </c>
    </row>
    <row r="1163" spans="1:23" x14ac:dyDescent="0.2">
      <c r="A1163" s="6" t="s">
        <v>29</v>
      </c>
      <c r="B1163" s="6">
        <v>1962</v>
      </c>
      <c r="C1163" s="6"/>
      <c r="D1163" s="6" t="s">
        <v>87</v>
      </c>
      <c r="E1163" s="6" t="s">
        <v>3</v>
      </c>
      <c r="F1163" s="6">
        <v>0</v>
      </c>
      <c r="G1163" s="6"/>
      <c r="H1163" s="6">
        <v>0</v>
      </c>
      <c r="I1163" s="6"/>
      <c r="J1163" s="6"/>
      <c r="K1163" s="6"/>
      <c r="L1163" s="6" t="str">
        <f t="shared" si="133"/>
        <v>Michael Stoecklmayr</v>
      </c>
      <c r="M1163" s="6" t="str">
        <f t="shared" si="134"/>
        <v>Doctor No (Connery, Andress)</v>
      </c>
      <c r="N1163" s="9">
        <f t="shared" si="135"/>
        <v>0</v>
      </c>
      <c r="P1163" t="str">
        <f t="shared" si="129"/>
        <v>"Michael Stoecklmayr";"Doctor No";"0"</v>
      </c>
      <c r="U1163" t="str">
        <f t="shared" si="130"/>
        <v>Michael Stoecklmayr</v>
      </c>
      <c r="V1163" t="str">
        <f t="shared" si="131"/>
        <v>Doctor No</v>
      </c>
      <c r="W1163">
        <f t="shared" si="132"/>
        <v>0</v>
      </c>
    </row>
    <row r="1164" spans="1:23" x14ac:dyDescent="0.2">
      <c r="A1164" s="6" t="s">
        <v>30</v>
      </c>
      <c r="B1164" s="6">
        <v>1965</v>
      </c>
      <c r="C1164" s="6"/>
      <c r="D1164" s="6" t="s">
        <v>87</v>
      </c>
      <c r="E1164" s="6" t="s">
        <v>3</v>
      </c>
      <c r="F1164" s="6">
        <v>0</v>
      </c>
      <c r="G1164" s="6"/>
      <c r="H1164" s="6">
        <v>0</v>
      </c>
      <c r="I1164" s="6"/>
      <c r="J1164" s="6"/>
      <c r="K1164" s="6"/>
      <c r="L1164" s="6" t="str">
        <f t="shared" si="133"/>
        <v>Michael Stoecklmayr</v>
      </c>
      <c r="M1164" s="6" t="str">
        <f t="shared" si="134"/>
        <v>Doctor Zhiwago (Sharif, Christie)</v>
      </c>
      <c r="N1164" s="9">
        <f t="shared" si="135"/>
        <v>0</v>
      </c>
      <c r="P1164" t="str">
        <f t="shared" si="129"/>
        <v>"Michael Stoecklmayr";"Doctor Zhiwago";"0"</v>
      </c>
      <c r="U1164" t="str">
        <f t="shared" si="130"/>
        <v>Michael Stoecklmayr</v>
      </c>
      <c r="V1164" t="str">
        <f t="shared" si="131"/>
        <v>Doctor Zhiwago</v>
      </c>
      <c r="W1164">
        <f t="shared" si="132"/>
        <v>0</v>
      </c>
    </row>
    <row r="1165" spans="1:23" x14ac:dyDescent="0.2">
      <c r="A1165" s="6" t="s">
        <v>31</v>
      </c>
      <c r="B1165" s="6">
        <v>1964</v>
      </c>
      <c r="C1165" s="6"/>
      <c r="D1165" s="6" t="s">
        <v>87</v>
      </c>
      <c r="E1165" s="6" t="s">
        <v>3</v>
      </c>
      <c r="F1165" s="6">
        <v>0</v>
      </c>
      <c r="G1165" s="6"/>
      <c r="H1165" s="6">
        <v>0</v>
      </c>
      <c r="I1165" s="6"/>
      <c r="J1165" s="6"/>
      <c r="K1165" s="6"/>
      <c r="L1165" s="6" t="str">
        <f t="shared" si="133"/>
        <v>Michael Stoecklmayr</v>
      </c>
      <c r="M1165" s="6" t="str">
        <f t="shared" si="134"/>
        <v>Dr. Strangelove… (Sellers, Scott)</v>
      </c>
      <c r="N1165" s="9">
        <f t="shared" si="135"/>
        <v>0</v>
      </c>
      <c r="P1165" t="str">
        <f t="shared" si="129"/>
        <v>"Michael Stoecklmayr";"Dr. Strangelove…";"0"</v>
      </c>
      <c r="U1165" t="str">
        <f t="shared" si="130"/>
        <v>Michael Stoecklmayr</v>
      </c>
      <c r="V1165" t="str">
        <f t="shared" si="131"/>
        <v>Dr. Strangelove…</v>
      </c>
      <c r="W1165">
        <f t="shared" si="132"/>
        <v>0</v>
      </c>
    </row>
    <row r="1166" spans="1:23" x14ac:dyDescent="0.2">
      <c r="A1166" s="6" t="s">
        <v>32</v>
      </c>
      <c r="B1166" s="6">
        <v>2000</v>
      </c>
      <c r="C1166" s="6"/>
      <c r="D1166" s="6" t="s">
        <v>87</v>
      </c>
      <c r="E1166" s="6" t="s">
        <v>3</v>
      </c>
      <c r="F1166" s="6">
        <v>0</v>
      </c>
      <c r="G1166" s="6"/>
      <c r="H1166" s="6">
        <v>0</v>
      </c>
      <c r="I1166" s="6"/>
      <c r="J1166" s="6"/>
      <c r="K1166" s="6"/>
      <c r="L1166" s="6" t="str">
        <f t="shared" si="133"/>
        <v>Michael Stoecklmayr</v>
      </c>
      <c r="M1166" s="6" t="str">
        <f t="shared" si="134"/>
        <v>Dr. T and the women (Gere, Hunt)</v>
      </c>
      <c r="N1166" s="9">
        <f t="shared" si="135"/>
        <v>0</v>
      </c>
      <c r="P1166" t="str">
        <f t="shared" si="129"/>
        <v>"Michael Stoecklmayr";"Dr. T and the women";"0"</v>
      </c>
      <c r="U1166" t="str">
        <f t="shared" si="130"/>
        <v>Michael Stoecklmayr</v>
      </c>
      <c r="V1166" t="str">
        <f t="shared" si="131"/>
        <v>Dr. T and the women</v>
      </c>
      <c r="W1166">
        <f t="shared" si="132"/>
        <v>0</v>
      </c>
    </row>
    <row r="1167" spans="1:23" x14ac:dyDescent="0.2">
      <c r="A1167" s="6" t="s">
        <v>33</v>
      </c>
      <c r="B1167" s="6">
        <v>1953</v>
      </c>
      <c r="C1167" s="6"/>
      <c r="D1167" s="6" t="s">
        <v>87</v>
      </c>
      <c r="E1167" s="6" t="s">
        <v>3</v>
      </c>
      <c r="F1167" s="6">
        <v>0</v>
      </c>
      <c r="G1167" s="6"/>
      <c r="H1167" s="6">
        <v>0</v>
      </c>
      <c r="I1167" s="6"/>
      <c r="J1167" s="6"/>
      <c r="K1167" s="6"/>
      <c r="L1167" s="6" t="str">
        <f t="shared" si="133"/>
        <v>Michael Stoecklmayr</v>
      </c>
      <c r="M1167" s="6" t="str">
        <f t="shared" si="134"/>
        <v>Gentlemen Prefer Blondes (Monroe, Russell)</v>
      </c>
      <c r="N1167" s="9">
        <f t="shared" si="135"/>
        <v>0</v>
      </c>
      <c r="P1167" t="str">
        <f t="shared" si="129"/>
        <v>"Michael Stoecklmayr";"Gentlemen Prefer Blondes";"0"</v>
      </c>
      <c r="U1167" t="str">
        <f t="shared" si="130"/>
        <v>Michael Stoecklmayr</v>
      </c>
      <c r="V1167" t="str">
        <f t="shared" si="131"/>
        <v>Gentlemen Prefer Blondes</v>
      </c>
      <c r="W1167">
        <f t="shared" si="132"/>
        <v>0</v>
      </c>
    </row>
    <row r="1168" spans="1:23" x14ac:dyDescent="0.2">
      <c r="A1168" s="6" t="s">
        <v>34</v>
      </c>
      <c r="B1168" s="6">
        <v>2014</v>
      </c>
      <c r="C1168" s="6"/>
      <c r="D1168" s="6" t="s">
        <v>87</v>
      </c>
      <c r="E1168" s="6" t="s">
        <v>3</v>
      </c>
      <c r="F1168" s="6">
        <v>0</v>
      </c>
      <c r="G1168" s="6"/>
      <c r="H1168" s="6">
        <v>0</v>
      </c>
      <c r="I1168" s="6"/>
      <c r="J1168" s="6"/>
      <c r="K1168" s="6"/>
      <c r="L1168" s="6" t="str">
        <f t="shared" si="133"/>
        <v>Michael Stoecklmayr</v>
      </c>
      <c r="M1168" s="6" t="str">
        <f t="shared" si="134"/>
        <v>Grand Budapest Hotel (Fiennes, Abraham)</v>
      </c>
      <c r="N1168" s="9">
        <f t="shared" si="135"/>
        <v>0</v>
      </c>
      <c r="P1168" t="str">
        <f t="shared" si="129"/>
        <v>"Michael Stoecklmayr";"Grand Budapest Hotel";"0"</v>
      </c>
      <c r="U1168" t="str">
        <f t="shared" si="130"/>
        <v>Michael Stoecklmayr</v>
      </c>
      <c r="V1168" t="str">
        <f t="shared" si="131"/>
        <v>Grand Budapest Hotel</v>
      </c>
      <c r="W1168">
        <f t="shared" si="132"/>
        <v>0</v>
      </c>
    </row>
    <row r="1169" spans="1:23" x14ac:dyDescent="0.2">
      <c r="A1169" s="6" t="s">
        <v>35</v>
      </c>
      <c r="B1169" s="6">
        <v>2001</v>
      </c>
      <c r="C1169" s="6"/>
      <c r="D1169" s="6" t="s">
        <v>87</v>
      </c>
      <c r="E1169" s="6" t="s">
        <v>2</v>
      </c>
      <c r="F1169" s="6">
        <v>1</v>
      </c>
      <c r="G1169" s="6">
        <v>4</v>
      </c>
      <c r="H1169" s="6">
        <v>4</v>
      </c>
      <c r="I1169" s="6"/>
      <c r="J1169" s="6"/>
      <c r="K1169" s="6"/>
      <c r="L1169" s="6" t="str">
        <f t="shared" si="133"/>
        <v>Michael Stoecklmayr</v>
      </c>
      <c r="M1169" s="6" t="str">
        <f t="shared" si="134"/>
        <v>Harry Potter and the Philosopher's Stone (Radcliff, Harris)</v>
      </c>
      <c r="N1169" s="9">
        <f t="shared" si="135"/>
        <v>4</v>
      </c>
      <c r="P1169" t="str">
        <f t="shared" si="129"/>
        <v>"Michael Stoecklmayr";"Harry Potter and the Philosopher's Stone";"4"</v>
      </c>
      <c r="U1169" t="str">
        <f t="shared" si="130"/>
        <v>Michael Stoecklmayr</v>
      </c>
      <c r="V1169" t="str">
        <f t="shared" si="131"/>
        <v>Harry Potter and the Philosopher's Stone</v>
      </c>
      <c r="W1169">
        <f t="shared" si="132"/>
        <v>1</v>
      </c>
    </row>
    <row r="1170" spans="1:23" x14ac:dyDescent="0.2">
      <c r="A1170" s="6" t="s">
        <v>36</v>
      </c>
      <c r="B1170" s="6">
        <v>1950</v>
      </c>
      <c r="C1170" s="6"/>
      <c r="D1170" s="6" t="s">
        <v>87</v>
      </c>
      <c r="E1170" s="6" t="s">
        <v>3</v>
      </c>
      <c r="F1170" s="6">
        <v>0</v>
      </c>
      <c r="G1170" s="6"/>
      <c r="H1170" s="6">
        <v>0</v>
      </c>
      <c r="I1170" s="6"/>
      <c r="J1170" s="6"/>
      <c r="K1170" s="6"/>
      <c r="L1170" s="6" t="str">
        <f t="shared" si="133"/>
        <v>Michael Stoecklmayr</v>
      </c>
      <c r="M1170" s="6" t="str">
        <f t="shared" si="134"/>
        <v>Harvey (Stewart, Hull)</v>
      </c>
      <c r="N1170" s="9">
        <f t="shared" si="135"/>
        <v>0</v>
      </c>
      <c r="P1170" t="str">
        <f t="shared" si="129"/>
        <v>"Michael Stoecklmayr";"Harvey";"0"</v>
      </c>
      <c r="U1170" t="str">
        <f t="shared" si="130"/>
        <v>Michael Stoecklmayr</v>
      </c>
      <c r="V1170" t="str">
        <f t="shared" si="131"/>
        <v>Harvey</v>
      </c>
      <c r="W1170">
        <f t="shared" si="132"/>
        <v>0</v>
      </c>
    </row>
    <row r="1171" spans="1:23" x14ac:dyDescent="0.2">
      <c r="A1171" s="6" t="s">
        <v>37</v>
      </c>
      <c r="B1171" s="6">
        <v>1962</v>
      </c>
      <c r="C1171" s="6"/>
      <c r="D1171" s="6" t="s">
        <v>87</v>
      </c>
      <c r="E1171" s="6" t="s">
        <v>3</v>
      </c>
      <c r="F1171" s="6">
        <v>0</v>
      </c>
      <c r="G1171" s="6"/>
      <c r="H1171" s="6">
        <v>0</v>
      </c>
      <c r="I1171" s="6"/>
      <c r="J1171" s="6"/>
      <c r="K1171" s="6"/>
      <c r="L1171" s="6" t="str">
        <f t="shared" si="133"/>
        <v>Michael Stoecklmayr</v>
      </c>
      <c r="M1171" s="6" t="str">
        <f t="shared" si="134"/>
        <v>Hatari! (Wayne, Martinelli)</v>
      </c>
      <c r="N1171" s="9">
        <f t="shared" si="135"/>
        <v>0</v>
      </c>
      <c r="P1171" t="str">
        <f t="shared" si="129"/>
        <v>"Michael Stoecklmayr";"Hatari!";"0"</v>
      </c>
      <c r="U1171" t="str">
        <f t="shared" si="130"/>
        <v>Michael Stoecklmayr</v>
      </c>
      <c r="V1171" t="str">
        <f t="shared" si="131"/>
        <v>Hatari!</v>
      </c>
      <c r="W1171">
        <f t="shared" si="132"/>
        <v>0</v>
      </c>
    </row>
    <row r="1172" spans="1:23" x14ac:dyDescent="0.2">
      <c r="A1172" s="6" t="s">
        <v>38</v>
      </c>
      <c r="B1172" s="6">
        <v>1990</v>
      </c>
      <c r="C1172" s="6"/>
      <c r="D1172" s="6" t="s">
        <v>87</v>
      </c>
      <c r="E1172" s="6" t="s">
        <v>2</v>
      </c>
      <c r="F1172" s="6">
        <v>1</v>
      </c>
      <c r="G1172" s="6">
        <v>4</v>
      </c>
      <c r="H1172" s="6">
        <v>4</v>
      </c>
      <c r="I1172" s="6"/>
      <c r="J1172" s="6"/>
      <c r="K1172" s="6"/>
      <c r="L1172" s="6" t="str">
        <f t="shared" si="133"/>
        <v>Michael Stoecklmayr</v>
      </c>
      <c r="M1172" s="6" t="str">
        <f t="shared" si="134"/>
        <v>Home alone (Culkin, Pesci)</v>
      </c>
      <c r="N1172" s="9">
        <f t="shared" si="135"/>
        <v>4</v>
      </c>
      <c r="P1172" t="str">
        <f t="shared" si="129"/>
        <v>"Michael Stoecklmayr";"Home alone";"4"</v>
      </c>
      <c r="U1172" t="str">
        <f t="shared" si="130"/>
        <v>Michael Stoecklmayr</v>
      </c>
      <c r="V1172" t="str">
        <f t="shared" si="131"/>
        <v>Home alone</v>
      </c>
      <c r="W1172">
        <f t="shared" si="132"/>
        <v>1</v>
      </c>
    </row>
    <row r="1173" spans="1:23" x14ac:dyDescent="0.2">
      <c r="A1173" s="6" t="s">
        <v>39</v>
      </c>
      <c r="B1173" s="6">
        <v>2004</v>
      </c>
      <c r="C1173" s="6"/>
      <c r="D1173" s="6" t="s">
        <v>87</v>
      </c>
      <c r="E1173" s="6" t="s">
        <v>2</v>
      </c>
      <c r="F1173" s="6">
        <v>1</v>
      </c>
      <c r="G1173" s="6">
        <v>2</v>
      </c>
      <c r="H1173" s="6">
        <v>2</v>
      </c>
      <c r="I1173" s="6"/>
      <c r="J1173" s="6"/>
      <c r="K1173" s="6"/>
      <c r="L1173" s="6" t="str">
        <f t="shared" si="133"/>
        <v>Michael Stoecklmayr</v>
      </c>
      <c r="M1173" s="6" t="str">
        <f t="shared" si="134"/>
        <v>I, Robot (Smith, Moynahan)</v>
      </c>
      <c r="N1173" s="9">
        <f t="shared" si="135"/>
        <v>2</v>
      </c>
      <c r="P1173" t="str">
        <f t="shared" si="129"/>
        <v>"Michael Stoecklmayr";"I, Robot";"2"</v>
      </c>
      <c r="U1173" t="str">
        <f t="shared" si="130"/>
        <v>Michael Stoecklmayr</v>
      </c>
      <c r="V1173" t="str">
        <f t="shared" si="131"/>
        <v>I, Robot</v>
      </c>
      <c r="W1173">
        <f t="shared" si="132"/>
        <v>1</v>
      </c>
    </row>
    <row r="1174" spans="1:23" x14ac:dyDescent="0.2">
      <c r="A1174" s="6" t="s">
        <v>40</v>
      </c>
      <c r="B1174" s="6">
        <v>1967</v>
      </c>
      <c r="C1174" s="6"/>
      <c r="D1174" s="6" t="s">
        <v>87</v>
      </c>
      <c r="E1174" s="6" t="s">
        <v>3</v>
      </c>
      <c r="F1174" s="6">
        <v>0</v>
      </c>
      <c r="G1174" s="6"/>
      <c r="H1174" s="6">
        <v>0</v>
      </c>
      <c r="I1174" s="6"/>
      <c r="J1174" s="6"/>
      <c r="K1174" s="6"/>
      <c r="L1174" s="6" t="str">
        <f t="shared" si="133"/>
        <v>Michael Stoecklmayr</v>
      </c>
      <c r="M1174" s="6" t="str">
        <f t="shared" si="134"/>
        <v>In The Heat Of The Night (Poitier, Steiger)</v>
      </c>
      <c r="N1174" s="9">
        <f t="shared" si="135"/>
        <v>0</v>
      </c>
      <c r="P1174" t="str">
        <f t="shared" si="129"/>
        <v>"Michael Stoecklmayr";"In The Heat Of The Night";"0"</v>
      </c>
      <c r="U1174" t="str">
        <f t="shared" si="130"/>
        <v>Michael Stoecklmayr</v>
      </c>
      <c r="V1174" t="str">
        <f t="shared" si="131"/>
        <v>In The Heat Of The Night</v>
      </c>
      <c r="W1174">
        <f t="shared" si="132"/>
        <v>0</v>
      </c>
    </row>
    <row r="1175" spans="1:23" x14ac:dyDescent="0.2">
      <c r="A1175" s="6" t="s">
        <v>41</v>
      </c>
      <c r="B1175" s="6">
        <v>2014</v>
      </c>
      <c r="C1175" s="6"/>
      <c r="D1175" s="6" t="s">
        <v>87</v>
      </c>
      <c r="E1175" s="6" t="s">
        <v>3</v>
      </c>
      <c r="F1175" s="6">
        <v>0</v>
      </c>
      <c r="G1175" s="6"/>
      <c r="H1175" s="6">
        <v>0</v>
      </c>
      <c r="I1175" s="6"/>
      <c r="J1175" s="6"/>
      <c r="K1175" s="6"/>
      <c r="L1175" s="6" t="str">
        <f t="shared" si="133"/>
        <v>Michael Stoecklmayr</v>
      </c>
      <c r="M1175" s="6" t="str">
        <f t="shared" si="134"/>
        <v>Jack Ryan: Shadow Recruite (Pine, Costner)</v>
      </c>
      <c r="N1175" s="9">
        <f t="shared" si="135"/>
        <v>0</v>
      </c>
      <c r="P1175" t="str">
        <f t="shared" si="129"/>
        <v>"Michael Stoecklmayr";"Jack Ryan: Shadow Recruite";"0"</v>
      </c>
      <c r="U1175" t="str">
        <f t="shared" si="130"/>
        <v>Michael Stoecklmayr</v>
      </c>
      <c r="V1175" t="str">
        <f t="shared" si="131"/>
        <v>Jack Ryan: Shadow Recruite</v>
      </c>
      <c r="W1175">
        <f t="shared" si="132"/>
        <v>0</v>
      </c>
    </row>
    <row r="1176" spans="1:23" x14ac:dyDescent="0.2">
      <c r="A1176" s="6" t="s">
        <v>42</v>
      </c>
      <c r="B1176" s="6">
        <v>1995</v>
      </c>
      <c r="C1176" s="6"/>
      <c r="D1176" s="6" t="s">
        <v>87</v>
      </c>
      <c r="E1176" s="6" t="s">
        <v>2</v>
      </c>
      <c r="F1176" s="6">
        <v>1</v>
      </c>
      <c r="G1176" s="6">
        <v>4</v>
      </c>
      <c r="H1176" s="6">
        <v>4</v>
      </c>
      <c r="I1176" s="6"/>
      <c r="J1176" s="6"/>
      <c r="K1176" s="6"/>
      <c r="L1176" s="6" t="str">
        <f t="shared" si="133"/>
        <v>Michael Stoecklmayr</v>
      </c>
      <c r="M1176" s="6" t="str">
        <f t="shared" si="134"/>
        <v>Jumanji (Williams, Dunst)</v>
      </c>
      <c r="N1176" s="9">
        <f t="shared" si="135"/>
        <v>4</v>
      </c>
      <c r="P1176" t="str">
        <f t="shared" si="129"/>
        <v>"Michael Stoecklmayr";"Jumanji";"4"</v>
      </c>
      <c r="U1176" t="str">
        <f t="shared" si="130"/>
        <v>Michael Stoecklmayr</v>
      </c>
      <c r="V1176" t="str">
        <f t="shared" si="131"/>
        <v>Jumanji</v>
      </c>
      <c r="W1176">
        <f t="shared" si="132"/>
        <v>1</v>
      </c>
    </row>
    <row r="1177" spans="1:23" x14ac:dyDescent="0.2">
      <c r="A1177" s="6" t="s">
        <v>43</v>
      </c>
      <c r="B1177" s="6">
        <v>2005</v>
      </c>
      <c r="C1177" s="6"/>
      <c r="D1177" s="6" t="s">
        <v>87</v>
      </c>
      <c r="E1177" s="6" t="s">
        <v>3</v>
      </c>
      <c r="F1177" s="6">
        <v>0</v>
      </c>
      <c r="G1177" s="6"/>
      <c r="H1177" s="6">
        <v>0</v>
      </c>
      <c r="I1177" s="6"/>
      <c r="J1177" s="6"/>
      <c r="K1177" s="6"/>
      <c r="L1177" s="6" t="str">
        <f t="shared" si="133"/>
        <v>Michael Stoecklmayr</v>
      </c>
      <c r="M1177" s="6" t="str">
        <f t="shared" si="134"/>
        <v>King Kong (Watts, Black)</v>
      </c>
      <c r="N1177" s="9">
        <f t="shared" si="135"/>
        <v>0</v>
      </c>
      <c r="P1177" t="str">
        <f t="shared" si="129"/>
        <v>"Michael Stoecklmayr";"King Kong";"0"</v>
      </c>
      <c r="U1177" t="str">
        <f t="shared" si="130"/>
        <v>Michael Stoecklmayr</v>
      </c>
      <c r="V1177" t="str">
        <f t="shared" si="131"/>
        <v>King Kong</v>
      </c>
      <c r="W1177">
        <f t="shared" si="132"/>
        <v>0</v>
      </c>
    </row>
    <row r="1178" spans="1:23" x14ac:dyDescent="0.2">
      <c r="A1178" s="6" t="s">
        <v>44</v>
      </c>
      <c r="B1178" s="6">
        <v>2016</v>
      </c>
      <c r="C1178" s="6"/>
      <c r="D1178" s="6" t="s">
        <v>87</v>
      </c>
      <c r="E1178" s="6" t="s">
        <v>2</v>
      </c>
      <c r="F1178" s="6">
        <v>1</v>
      </c>
      <c r="G1178" s="6">
        <v>3</v>
      </c>
      <c r="H1178" s="6">
        <v>3</v>
      </c>
      <c r="I1178" s="6"/>
      <c r="J1178" s="6"/>
      <c r="K1178" s="6"/>
      <c r="L1178" s="6" t="str">
        <f t="shared" si="133"/>
        <v>Michael Stoecklmayr</v>
      </c>
      <c r="M1178" s="6" t="str">
        <f t="shared" si="134"/>
        <v>La La Land (Gosling, Stone)</v>
      </c>
      <c r="N1178" s="9">
        <f t="shared" si="135"/>
        <v>3</v>
      </c>
      <c r="P1178" t="str">
        <f t="shared" si="129"/>
        <v>"Michael Stoecklmayr";"La La Land";"3"</v>
      </c>
      <c r="U1178" t="str">
        <f t="shared" si="130"/>
        <v>Michael Stoecklmayr</v>
      </c>
      <c r="V1178" t="str">
        <f t="shared" si="131"/>
        <v>La La Land</v>
      </c>
      <c r="W1178">
        <f t="shared" si="132"/>
        <v>1</v>
      </c>
    </row>
    <row r="1179" spans="1:23" x14ac:dyDescent="0.2">
      <c r="A1179" s="6" t="s">
        <v>45</v>
      </c>
      <c r="B1179" s="6">
        <v>2001</v>
      </c>
      <c r="C1179" s="6"/>
      <c r="D1179" s="6" t="s">
        <v>87</v>
      </c>
      <c r="E1179" s="6" t="s">
        <v>2</v>
      </c>
      <c r="F1179" s="6">
        <v>1</v>
      </c>
      <c r="G1179" s="6">
        <v>5</v>
      </c>
      <c r="H1179" s="6">
        <v>5</v>
      </c>
      <c r="I1179" s="6"/>
      <c r="J1179" s="6"/>
      <c r="K1179" s="6"/>
      <c r="L1179" s="6" t="str">
        <f t="shared" si="133"/>
        <v>Michael Stoecklmayr</v>
      </c>
      <c r="M1179" s="6" t="str">
        <f t="shared" si="134"/>
        <v>Lord of the Rings (Woods, McKellen)</v>
      </c>
      <c r="N1179" s="9">
        <f t="shared" si="135"/>
        <v>5</v>
      </c>
      <c r="P1179" t="str">
        <f t="shared" si="129"/>
        <v>"Michael Stoecklmayr";"Lord of the Rings";"5"</v>
      </c>
      <c r="U1179" t="str">
        <f t="shared" si="130"/>
        <v>Michael Stoecklmayr</v>
      </c>
      <c r="V1179" t="str">
        <f t="shared" si="131"/>
        <v>Lord of the Rings</v>
      </c>
      <c r="W1179">
        <f t="shared" si="132"/>
        <v>1</v>
      </c>
    </row>
    <row r="1180" spans="1:23" x14ac:dyDescent="0.2">
      <c r="A1180" s="6" t="s">
        <v>46</v>
      </c>
      <c r="B1180" s="6">
        <v>1964</v>
      </c>
      <c r="C1180" s="6"/>
      <c r="D1180" s="6" t="s">
        <v>87</v>
      </c>
      <c r="E1180" s="6" t="s">
        <v>3</v>
      </c>
      <c r="F1180" s="6">
        <v>0</v>
      </c>
      <c r="G1180" s="6"/>
      <c r="H1180" s="6">
        <v>0</v>
      </c>
      <c r="I1180" s="6"/>
      <c r="J1180" s="6"/>
      <c r="K1180" s="6"/>
      <c r="L1180" s="6" t="str">
        <f t="shared" si="133"/>
        <v>Michael Stoecklmayr</v>
      </c>
      <c r="M1180" s="6" t="str">
        <f t="shared" si="134"/>
        <v>Per Un Pugno Di Dollari (Eastwood, Koch)</v>
      </c>
      <c r="N1180" s="9">
        <f t="shared" si="135"/>
        <v>0</v>
      </c>
      <c r="P1180" t="str">
        <f t="shared" si="129"/>
        <v>"Michael Stoecklmayr";"Per Un Pugno Di Dollari";"0"</v>
      </c>
      <c r="U1180" t="str">
        <f t="shared" si="130"/>
        <v>Michael Stoecklmayr</v>
      </c>
      <c r="V1180" t="str">
        <f t="shared" si="131"/>
        <v>Per Un Pugno Di Dollari</v>
      </c>
      <c r="W1180">
        <f t="shared" si="132"/>
        <v>0</v>
      </c>
    </row>
    <row r="1181" spans="1:23" x14ac:dyDescent="0.2">
      <c r="A1181" s="6" t="s">
        <v>47</v>
      </c>
      <c r="B1181" s="6">
        <v>1954</v>
      </c>
      <c r="C1181" s="6"/>
      <c r="D1181" s="6" t="s">
        <v>87</v>
      </c>
      <c r="E1181" s="6" t="s">
        <v>3</v>
      </c>
      <c r="F1181" s="6">
        <v>0</v>
      </c>
      <c r="G1181" s="6"/>
      <c r="H1181" s="6">
        <v>0</v>
      </c>
      <c r="I1181" s="6"/>
      <c r="J1181" s="6"/>
      <c r="K1181" s="6"/>
      <c r="L1181" s="6" t="str">
        <f t="shared" si="133"/>
        <v>Michael Stoecklmayr</v>
      </c>
      <c r="M1181" s="6" t="str">
        <f t="shared" si="134"/>
        <v>Rear Window (Stewart, Kelly)</v>
      </c>
      <c r="N1181" s="9">
        <f t="shared" si="135"/>
        <v>0</v>
      </c>
      <c r="P1181" t="str">
        <f t="shared" si="129"/>
        <v>"Michael Stoecklmayr";"Rear Window";"0"</v>
      </c>
      <c r="U1181" t="str">
        <f t="shared" si="130"/>
        <v>Michael Stoecklmayr</v>
      </c>
      <c r="V1181" t="str">
        <f t="shared" si="131"/>
        <v>Rear Window</v>
      </c>
      <c r="W1181">
        <f t="shared" si="132"/>
        <v>0</v>
      </c>
    </row>
    <row r="1182" spans="1:23" x14ac:dyDescent="0.2">
      <c r="A1182" s="6" t="s">
        <v>48</v>
      </c>
      <c r="B1182" s="6">
        <v>1955</v>
      </c>
      <c r="C1182" s="6"/>
      <c r="D1182" s="6" t="s">
        <v>87</v>
      </c>
      <c r="E1182" s="6" t="s">
        <v>3</v>
      </c>
      <c r="F1182" s="6">
        <v>0</v>
      </c>
      <c r="G1182" s="6"/>
      <c r="H1182" s="6">
        <v>0</v>
      </c>
      <c r="I1182" s="6"/>
      <c r="J1182" s="6"/>
      <c r="K1182" s="6"/>
      <c r="L1182" s="6" t="str">
        <f t="shared" si="133"/>
        <v>Michael Stoecklmayr</v>
      </c>
      <c r="M1182" s="6" t="str">
        <f t="shared" si="134"/>
        <v>Rebel Without A Cause (Dean, Wood)</v>
      </c>
      <c r="N1182" s="9">
        <f t="shared" si="135"/>
        <v>0</v>
      </c>
      <c r="P1182" t="str">
        <f t="shared" si="129"/>
        <v>"Michael Stoecklmayr";"Rebel Without A Cause";"0"</v>
      </c>
      <c r="U1182" t="str">
        <f t="shared" si="130"/>
        <v>Michael Stoecklmayr</v>
      </c>
      <c r="V1182" t="str">
        <f t="shared" si="131"/>
        <v>Rebel Without A Cause</v>
      </c>
      <c r="W1182">
        <f t="shared" si="132"/>
        <v>0</v>
      </c>
    </row>
    <row r="1183" spans="1:23" x14ac:dyDescent="0.2">
      <c r="A1183" s="6" t="s">
        <v>66</v>
      </c>
      <c r="B1183" s="6">
        <v>2005</v>
      </c>
      <c r="C1183" s="6"/>
      <c r="D1183" s="6" t="s">
        <v>87</v>
      </c>
      <c r="E1183" s="6" t="s">
        <v>3</v>
      </c>
      <c r="F1183" s="6">
        <v>0</v>
      </c>
      <c r="G1183" s="6"/>
      <c r="H1183" s="6">
        <v>0</v>
      </c>
      <c r="I1183" s="6"/>
      <c r="J1183" s="6"/>
      <c r="K1183" s="6"/>
      <c r="L1183" s="6" t="str">
        <f t="shared" si="133"/>
        <v>Michael Stoecklmayr</v>
      </c>
      <c r="M1183" s="6" t="str">
        <f t="shared" si="134"/>
        <v>Rumor has it (Aniston, Costner)</v>
      </c>
      <c r="N1183" s="9">
        <f t="shared" si="135"/>
        <v>0</v>
      </c>
      <c r="P1183" t="str">
        <f t="shared" si="129"/>
        <v>"Michael Stoecklmayr";"Rumor has it";"0"</v>
      </c>
      <c r="U1183" t="str">
        <f t="shared" si="130"/>
        <v>Michael Stoecklmayr</v>
      </c>
      <c r="V1183" t="str">
        <f t="shared" si="131"/>
        <v>Rumor has it</v>
      </c>
      <c r="W1183">
        <f t="shared" si="132"/>
        <v>0</v>
      </c>
    </row>
    <row r="1184" spans="1:23" x14ac:dyDescent="0.2">
      <c r="A1184" s="6" t="s">
        <v>49</v>
      </c>
      <c r="B1184" s="6">
        <v>1998</v>
      </c>
      <c r="C1184" s="6"/>
      <c r="D1184" s="6" t="s">
        <v>87</v>
      </c>
      <c r="E1184" s="6" t="s">
        <v>2</v>
      </c>
      <c r="F1184" s="6">
        <v>1</v>
      </c>
      <c r="G1184" s="6">
        <v>3</v>
      </c>
      <c r="H1184" s="6">
        <v>3</v>
      </c>
      <c r="I1184" s="6"/>
      <c r="J1184" s="6"/>
      <c r="K1184" s="6"/>
      <c r="L1184" s="6" t="str">
        <f t="shared" si="133"/>
        <v>Michael Stoecklmayr</v>
      </c>
      <c r="M1184" s="6" t="str">
        <f t="shared" si="134"/>
        <v>Saving private Ryan (Hanks, Damon)</v>
      </c>
      <c r="N1184" s="9">
        <f t="shared" si="135"/>
        <v>3</v>
      </c>
      <c r="P1184" t="str">
        <f t="shared" si="129"/>
        <v>"Michael Stoecklmayr";"Saving private Ryan";"3"</v>
      </c>
      <c r="U1184" t="str">
        <f t="shared" si="130"/>
        <v>Michael Stoecklmayr</v>
      </c>
      <c r="V1184" t="str">
        <f t="shared" si="131"/>
        <v>Saving private Ryan</v>
      </c>
      <c r="W1184">
        <f t="shared" si="132"/>
        <v>1</v>
      </c>
    </row>
    <row r="1185" spans="1:23" x14ac:dyDescent="0.2">
      <c r="A1185" s="6" t="s">
        <v>50</v>
      </c>
      <c r="B1185" s="6">
        <v>1993</v>
      </c>
      <c r="C1185" s="6"/>
      <c r="D1185" s="6" t="s">
        <v>87</v>
      </c>
      <c r="E1185" s="6" t="s">
        <v>2</v>
      </c>
      <c r="F1185" s="6">
        <v>1</v>
      </c>
      <c r="G1185" s="6">
        <v>5</v>
      </c>
      <c r="H1185" s="6">
        <v>5</v>
      </c>
      <c r="I1185" s="6"/>
      <c r="J1185" s="6"/>
      <c r="K1185" s="6"/>
      <c r="L1185" s="6" t="str">
        <f t="shared" si="133"/>
        <v>Michael Stoecklmayr</v>
      </c>
      <c r="M1185" s="6" t="str">
        <f t="shared" si="134"/>
        <v>Schindlers List (Neeson, Fiennes)</v>
      </c>
      <c r="N1185" s="9">
        <f t="shared" si="135"/>
        <v>5</v>
      </c>
      <c r="P1185" t="str">
        <f t="shared" si="129"/>
        <v>"Michael Stoecklmayr";"Schindlers List";"5"</v>
      </c>
      <c r="U1185" t="str">
        <f t="shared" si="130"/>
        <v>Michael Stoecklmayr</v>
      </c>
      <c r="V1185" t="str">
        <f t="shared" si="131"/>
        <v>Schindlers List</v>
      </c>
      <c r="W1185">
        <f t="shared" si="132"/>
        <v>1</v>
      </c>
    </row>
    <row r="1186" spans="1:23" x14ac:dyDescent="0.2">
      <c r="A1186" s="6" t="s">
        <v>51</v>
      </c>
      <c r="B1186" s="6">
        <v>1996</v>
      </c>
      <c r="C1186" s="6"/>
      <c r="D1186" s="6" t="s">
        <v>87</v>
      </c>
      <c r="E1186" s="6" t="s">
        <v>3</v>
      </c>
      <c r="F1186" s="6">
        <v>0</v>
      </c>
      <c r="G1186" s="6"/>
      <c r="H1186" s="6">
        <v>0</v>
      </c>
      <c r="I1186" s="6"/>
      <c r="J1186" s="6"/>
      <c r="K1186" s="6"/>
      <c r="L1186" s="6" t="str">
        <f t="shared" si="133"/>
        <v>Michael Stoecklmayr</v>
      </c>
      <c r="M1186" s="6" t="str">
        <f t="shared" si="134"/>
        <v>Scream (Arquette, Campell)</v>
      </c>
      <c r="N1186" s="9">
        <f t="shared" si="135"/>
        <v>0</v>
      </c>
      <c r="P1186" t="str">
        <f t="shared" si="129"/>
        <v>"Michael Stoecklmayr";"Scream";"0"</v>
      </c>
      <c r="U1186" t="str">
        <f t="shared" si="130"/>
        <v>Michael Stoecklmayr</v>
      </c>
      <c r="V1186" t="str">
        <f t="shared" si="131"/>
        <v>Scream</v>
      </c>
      <c r="W1186">
        <f t="shared" si="132"/>
        <v>0</v>
      </c>
    </row>
    <row r="1187" spans="1:23" x14ac:dyDescent="0.2">
      <c r="A1187" s="6" t="s">
        <v>52</v>
      </c>
      <c r="B1187" s="6">
        <v>1977</v>
      </c>
      <c r="C1187" s="6"/>
      <c r="D1187" s="6" t="s">
        <v>87</v>
      </c>
      <c r="E1187" s="6" t="s">
        <v>2</v>
      </c>
      <c r="F1187" s="6">
        <v>1</v>
      </c>
      <c r="G1187" s="6">
        <v>5</v>
      </c>
      <c r="H1187" s="6">
        <v>5</v>
      </c>
      <c r="I1187" s="6"/>
      <c r="J1187" s="6"/>
      <c r="K1187" s="6"/>
      <c r="L1187" s="6" t="str">
        <f t="shared" si="133"/>
        <v>Michael Stoecklmayr</v>
      </c>
      <c r="M1187" s="6" t="str">
        <f t="shared" si="134"/>
        <v>Star Wars IV: A new hope (Hamill, Ford)</v>
      </c>
      <c r="N1187" s="9">
        <f t="shared" si="135"/>
        <v>5</v>
      </c>
      <c r="P1187" t="str">
        <f t="shared" si="129"/>
        <v>"Michael Stoecklmayr";"Star Wars IV: A new hope";"5"</v>
      </c>
      <c r="U1187" t="str">
        <f t="shared" si="130"/>
        <v>Michael Stoecklmayr</v>
      </c>
      <c r="V1187" t="str">
        <f t="shared" si="131"/>
        <v>Star Wars IV: A new hope</v>
      </c>
      <c r="W1187">
        <f t="shared" si="132"/>
        <v>1</v>
      </c>
    </row>
    <row r="1188" spans="1:23" x14ac:dyDescent="0.2">
      <c r="A1188" s="6" t="s">
        <v>53</v>
      </c>
      <c r="B1188" s="6">
        <v>2016</v>
      </c>
      <c r="C1188" s="6"/>
      <c r="D1188" s="6" t="s">
        <v>87</v>
      </c>
      <c r="E1188" s="6" t="s">
        <v>2</v>
      </c>
      <c r="F1188" s="6">
        <v>1</v>
      </c>
      <c r="G1188" s="6">
        <v>0</v>
      </c>
      <c r="H1188" s="6">
        <v>0</v>
      </c>
      <c r="I1188" s="6"/>
      <c r="J1188" s="6"/>
      <c r="K1188" s="6"/>
      <c r="L1188" s="6" t="str">
        <f t="shared" si="133"/>
        <v>Michael Stoecklmayr</v>
      </c>
      <c r="M1188" s="6" t="str">
        <f t="shared" si="134"/>
        <v>Suicide Squad (Smith, Robbie)</v>
      </c>
      <c r="N1188" s="9">
        <f t="shared" si="135"/>
        <v>0</v>
      </c>
      <c r="P1188" t="str">
        <f t="shared" si="129"/>
        <v>"Michael Stoecklmayr";"Suicide Squad";"0"</v>
      </c>
      <c r="U1188" t="str">
        <f t="shared" si="130"/>
        <v>Michael Stoecklmayr</v>
      </c>
      <c r="V1188" t="str">
        <f t="shared" si="131"/>
        <v>Suicide Squad</v>
      </c>
      <c r="W1188">
        <f t="shared" si="132"/>
        <v>1</v>
      </c>
    </row>
    <row r="1189" spans="1:23" x14ac:dyDescent="0.2">
      <c r="A1189" s="6" t="s">
        <v>54</v>
      </c>
      <c r="B1189" s="6">
        <v>2010</v>
      </c>
      <c r="C1189" s="6"/>
      <c r="D1189" s="6" t="s">
        <v>87</v>
      </c>
      <c r="E1189" s="6" t="s">
        <v>3</v>
      </c>
      <c r="F1189" s="6">
        <v>0</v>
      </c>
      <c r="G1189" s="6"/>
      <c r="H1189" s="6">
        <v>0</v>
      </c>
      <c r="I1189" s="6"/>
      <c r="J1189" s="6"/>
      <c r="K1189" s="6"/>
      <c r="L1189" s="6" t="str">
        <f t="shared" si="133"/>
        <v>Michael Stoecklmayr</v>
      </c>
      <c r="M1189" s="6" t="str">
        <f t="shared" si="134"/>
        <v>Tangled (Disney)</v>
      </c>
      <c r="N1189" s="9">
        <f t="shared" si="135"/>
        <v>0</v>
      </c>
      <c r="P1189" t="str">
        <f t="shared" si="129"/>
        <v>"Michael Stoecklmayr";"Tangled";"0"</v>
      </c>
      <c r="U1189" t="str">
        <f t="shared" si="130"/>
        <v>Michael Stoecklmayr</v>
      </c>
      <c r="V1189" t="str">
        <f t="shared" si="131"/>
        <v>Tangled</v>
      </c>
      <c r="W1189">
        <f t="shared" si="132"/>
        <v>0</v>
      </c>
    </row>
    <row r="1190" spans="1:23" x14ac:dyDescent="0.2">
      <c r="A1190" s="6" t="s">
        <v>55</v>
      </c>
      <c r="B1190" s="6">
        <v>2012</v>
      </c>
      <c r="C1190" s="6"/>
      <c r="D1190" s="6" t="s">
        <v>87</v>
      </c>
      <c r="E1190" s="6" t="s">
        <v>2</v>
      </c>
      <c r="F1190" s="6">
        <v>1</v>
      </c>
      <c r="G1190" s="6">
        <v>2</v>
      </c>
      <c r="H1190" s="6">
        <v>2</v>
      </c>
      <c r="I1190" s="6"/>
      <c r="J1190" s="6"/>
      <c r="K1190" s="6"/>
      <c r="L1190" s="6" t="str">
        <f t="shared" si="133"/>
        <v>Michael Stoecklmayr</v>
      </c>
      <c r="M1190" s="6" t="str">
        <f t="shared" si="134"/>
        <v>The Avengers (Downey Jr. Evans)</v>
      </c>
      <c r="N1190" s="9">
        <f t="shared" si="135"/>
        <v>2</v>
      </c>
      <c r="P1190" t="str">
        <f t="shared" si="129"/>
        <v>"Michael Stoecklmayr";"The Avengers";"2"</v>
      </c>
      <c r="U1190" t="str">
        <f t="shared" si="130"/>
        <v>Michael Stoecklmayr</v>
      </c>
      <c r="V1190" t="str">
        <f t="shared" si="131"/>
        <v>The Avengers</v>
      </c>
      <c r="W1190">
        <f t="shared" si="132"/>
        <v>1</v>
      </c>
    </row>
    <row r="1191" spans="1:23" x14ac:dyDescent="0.2">
      <c r="A1191" s="6" t="s">
        <v>56</v>
      </c>
      <c r="B1191" s="6">
        <v>1973</v>
      </c>
      <c r="C1191" s="6"/>
      <c r="D1191" s="6" t="s">
        <v>87</v>
      </c>
      <c r="E1191" s="6" t="s">
        <v>3</v>
      </c>
      <c r="F1191" s="6">
        <v>0</v>
      </c>
      <c r="G1191" s="6"/>
      <c r="H1191" s="6">
        <v>0</v>
      </c>
      <c r="I1191" s="6"/>
      <c r="J1191" s="6"/>
      <c r="K1191" s="6"/>
      <c r="L1191" s="6" t="str">
        <f t="shared" si="133"/>
        <v>Michael Stoecklmayr</v>
      </c>
      <c r="M1191" s="6" t="str">
        <f t="shared" si="134"/>
        <v>The Exorcist (von Sydow, Blair)</v>
      </c>
      <c r="N1191" s="9">
        <f t="shared" si="135"/>
        <v>0</v>
      </c>
      <c r="P1191" t="str">
        <f t="shared" si="129"/>
        <v>"Michael Stoecklmayr";"The Exorcist";"0"</v>
      </c>
      <c r="U1191" t="str">
        <f t="shared" si="130"/>
        <v>Michael Stoecklmayr</v>
      </c>
      <c r="V1191" t="str">
        <f t="shared" si="131"/>
        <v>The Exorcist</v>
      </c>
      <c r="W1191">
        <f t="shared" si="132"/>
        <v>0</v>
      </c>
    </row>
    <row r="1192" spans="1:23" x14ac:dyDescent="0.2">
      <c r="A1192" s="6" t="s">
        <v>57</v>
      </c>
      <c r="B1192" s="6">
        <v>1972</v>
      </c>
      <c r="C1192" s="6"/>
      <c r="D1192" s="6" t="s">
        <v>87</v>
      </c>
      <c r="E1192" s="6" t="s">
        <v>3</v>
      </c>
      <c r="F1192" s="6">
        <v>0</v>
      </c>
      <c r="G1192" s="6"/>
      <c r="H1192" s="6">
        <v>0</v>
      </c>
      <c r="I1192" s="6"/>
      <c r="J1192" s="6"/>
      <c r="K1192" s="6"/>
      <c r="L1192" s="6" t="str">
        <f t="shared" si="133"/>
        <v>Michael Stoecklmayr</v>
      </c>
      <c r="M1192" s="6" t="str">
        <f t="shared" si="134"/>
        <v>The Godfather (Brando, Pacino)</v>
      </c>
      <c r="N1192" s="9">
        <f t="shared" si="135"/>
        <v>0</v>
      </c>
      <c r="P1192" t="str">
        <f t="shared" si="129"/>
        <v>"Michael Stoecklmayr";"The Godfather";"0"</v>
      </c>
      <c r="U1192" t="str">
        <f t="shared" si="130"/>
        <v>Michael Stoecklmayr</v>
      </c>
      <c r="V1192" t="str">
        <f t="shared" si="131"/>
        <v>The Godfather</v>
      </c>
      <c r="W1192">
        <f t="shared" si="132"/>
        <v>0</v>
      </c>
    </row>
    <row r="1193" spans="1:23" x14ac:dyDescent="0.2">
      <c r="A1193" s="6" t="s">
        <v>58</v>
      </c>
      <c r="B1193" s="6">
        <v>1994</v>
      </c>
      <c r="C1193" s="6"/>
      <c r="D1193" s="6" t="s">
        <v>87</v>
      </c>
      <c r="E1193" s="6" t="s">
        <v>2</v>
      </c>
      <c r="F1193" s="6">
        <v>1</v>
      </c>
      <c r="G1193" s="6">
        <v>4</v>
      </c>
      <c r="H1193" s="6">
        <v>4</v>
      </c>
      <c r="I1193" s="6"/>
      <c r="J1193" s="6"/>
      <c r="K1193" s="6"/>
      <c r="L1193" s="6" t="str">
        <f t="shared" si="133"/>
        <v>Michael Stoecklmayr</v>
      </c>
      <c r="M1193" s="6" t="str">
        <f t="shared" si="134"/>
        <v>The Lion King (Disney)</v>
      </c>
      <c r="N1193" s="9">
        <f t="shared" si="135"/>
        <v>4</v>
      </c>
      <c r="P1193" t="str">
        <f t="shared" si="129"/>
        <v>"Michael Stoecklmayr";"The Lion King";"4"</v>
      </c>
      <c r="U1193" t="str">
        <f t="shared" si="130"/>
        <v>Michael Stoecklmayr</v>
      </c>
      <c r="V1193" t="str">
        <f t="shared" si="131"/>
        <v>The Lion King</v>
      </c>
      <c r="W1193">
        <f t="shared" si="132"/>
        <v>1</v>
      </c>
    </row>
    <row r="1194" spans="1:23" x14ac:dyDescent="0.2">
      <c r="A1194" s="6" t="s">
        <v>59</v>
      </c>
      <c r="B1194" s="6">
        <v>1999</v>
      </c>
      <c r="C1194" s="6"/>
      <c r="D1194" s="6" t="s">
        <v>87</v>
      </c>
      <c r="E1194" s="6" t="s">
        <v>2</v>
      </c>
      <c r="F1194" s="6">
        <v>1</v>
      </c>
      <c r="G1194" s="6">
        <v>5</v>
      </c>
      <c r="H1194" s="6">
        <v>5</v>
      </c>
      <c r="I1194" s="6"/>
      <c r="J1194" s="6"/>
      <c r="K1194" s="6"/>
      <c r="L1194" s="6" t="str">
        <f t="shared" si="133"/>
        <v>Michael Stoecklmayr</v>
      </c>
      <c r="M1194" s="6" t="str">
        <f t="shared" si="134"/>
        <v>The Matrix (Reeves, Fishburn)</v>
      </c>
      <c r="N1194" s="9">
        <f t="shared" si="135"/>
        <v>5</v>
      </c>
      <c r="P1194" t="str">
        <f t="shared" si="129"/>
        <v>"Michael Stoecklmayr";"The Matrix";"5"</v>
      </c>
      <c r="U1194" t="str">
        <f t="shared" si="130"/>
        <v>Michael Stoecklmayr</v>
      </c>
      <c r="V1194" t="str">
        <f t="shared" si="131"/>
        <v>The Matrix</v>
      </c>
      <c r="W1194">
        <f t="shared" si="132"/>
        <v>1</v>
      </c>
    </row>
    <row r="1195" spans="1:23" x14ac:dyDescent="0.2">
      <c r="A1195" s="6" t="s">
        <v>60</v>
      </c>
      <c r="B1195" s="6">
        <v>1980</v>
      </c>
      <c r="C1195" s="6"/>
      <c r="D1195" s="6" t="s">
        <v>87</v>
      </c>
      <c r="E1195" s="6" t="s">
        <v>3</v>
      </c>
      <c r="F1195" s="6">
        <v>0</v>
      </c>
      <c r="G1195" s="6"/>
      <c r="H1195" s="6">
        <v>0</v>
      </c>
      <c r="I1195" s="6"/>
      <c r="J1195" s="6"/>
      <c r="K1195" s="6"/>
      <c r="L1195" s="6" t="str">
        <f t="shared" si="133"/>
        <v>Michael Stoecklmayr</v>
      </c>
      <c r="M1195" s="6" t="str">
        <f t="shared" si="134"/>
        <v>The Shining (Nicholson, Duvall)</v>
      </c>
      <c r="N1195" s="9">
        <f t="shared" si="135"/>
        <v>0</v>
      </c>
      <c r="P1195" t="str">
        <f t="shared" si="129"/>
        <v>"Michael Stoecklmayr";"The Shining";"0"</v>
      </c>
      <c r="U1195" t="str">
        <f t="shared" si="130"/>
        <v>Michael Stoecklmayr</v>
      </c>
      <c r="V1195" t="str">
        <f t="shared" si="131"/>
        <v>The Shining</v>
      </c>
      <c r="W1195">
        <f t="shared" si="132"/>
        <v>0</v>
      </c>
    </row>
    <row r="1196" spans="1:23" x14ac:dyDescent="0.2">
      <c r="A1196" s="6" t="s">
        <v>61</v>
      </c>
      <c r="B1196" s="6">
        <v>1984</v>
      </c>
      <c r="C1196" s="6"/>
      <c r="D1196" s="6" t="s">
        <v>87</v>
      </c>
      <c r="E1196" s="6" t="s">
        <v>2</v>
      </c>
      <c r="F1196" s="6">
        <v>1</v>
      </c>
      <c r="G1196" s="6">
        <v>4</v>
      </c>
      <c r="H1196" s="6">
        <v>4</v>
      </c>
      <c r="I1196" s="6"/>
      <c r="J1196" s="6"/>
      <c r="K1196" s="6"/>
      <c r="L1196" s="6" t="str">
        <f t="shared" si="133"/>
        <v>Michael Stoecklmayr</v>
      </c>
      <c r="M1196" s="6" t="str">
        <f t="shared" si="134"/>
        <v>The Terminator (Schwarzenegger, Hamilton)</v>
      </c>
      <c r="N1196" s="9">
        <f t="shared" si="135"/>
        <v>4</v>
      </c>
      <c r="P1196" t="str">
        <f t="shared" si="129"/>
        <v>"Michael Stoecklmayr";"The Terminator";"4"</v>
      </c>
      <c r="U1196" t="str">
        <f t="shared" si="130"/>
        <v>Michael Stoecklmayr</v>
      </c>
      <c r="V1196" t="str">
        <f t="shared" si="131"/>
        <v>The Terminator</v>
      </c>
      <c r="W1196">
        <f t="shared" si="132"/>
        <v>1</v>
      </c>
    </row>
    <row r="1197" spans="1:23" x14ac:dyDescent="0.2">
      <c r="A1197" s="6" t="s">
        <v>62</v>
      </c>
      <c r="B1197" s="6">
        <v>1986</v>
      </c>
      <c r="C1197" s="6"/>
      <c r="D1197" s="6" t="s">
        <v>87</v>
      </c>
      <c r="E1197" s="6" t="s">
        <v>2</v>
      </c>
      <c r="F1197" s="6">
        <v>1</v>
      </c>
      <c r="G1197" s="6">
        <v>4</v>
      </c>
      <c r="H1197" s="6">
        <v>4</v>
      </c>
      <c r="I1197" s="6"/>
      <c r="J1197" s="6"/>
      <c r="K1197" s="6"/>
      <c r="L1197" s="6" t="str">
        <f t="shared" si="133"/>
        <v>Michael Stoecklmayr</v>
      </c>
      <c r="M1197" s="6" t="str">
        <f t="shared" si="134"/>
        <v>Top Gun (Cruise, McGillis)</v>
      </c>
      <c r="N1197" s="9">
        <f t="shared" si="135"/>
        <v>4</v>
      </c>
      <c r="P1197" t="str">
        <f t="shared" si="129"/>
        <v>"Michael Stoecklmayr";"Top Gun";"4"</v>
      </c>
      <c r="U1197" t="str">
        <f t="shared" si="130"/>
        <v>Michael Stoecklmayr</v>
      </c>
      <c r="V1197" t="str">
        <f t="shared" si="131"/>
        <v>Top Gun</v>
      </c>
      <c r="W1197">
        <f t="shared" si="132"/>
        <v>1</v>
      </c>
    </row>
    <row r="1198" spans="1:23" x14ac:dyDescent="0.2">
      <c r="A1198" s="6" t="s">
        <v>63</v>
      </c>
      <c r="B1198" s="6">
        <v>1995</v>
      </c>
      <c r="C1198" s="6"/>
      <c r="D1198" s="6" t="s">
        <v>87</v>
      </c>
      <c r="E1198" s="6" t="s">
        <v>2</v>
      </c>
      <c r="F1198" s="6">
        <v>1</v>
      </c>
      <c r="G1198" s="6">
        <v>4</v>
      </c>
      <c r="H1198" s="6">
        <v>4</v>
      </c>
      <c r="I1198" s="6"/>
      <c r="J1198" s="6"/>
      <c r="K1198" s="6"/>
      <c r="L1198" s="6" t="str">
        <f t="shared" si="133"/>
        <v>Michael Stoecklmayr</v>
      </c>
      <c r="M1198" s="6" t="str">
        <f t="shared" si="134"/>
        <v>Toy Story (Pixar)</v>
      </c>
      <c r="N1198" s="9">
        <f t="shared" si="135"/>
        <v>4</v>
      </c>
      <c r="P1198" t="str">
        <f t="shared" si="129"/>
        <v>"Michael Stoecklmayr";"Toy Story";"4"</v>
      </c>
      <c r="U1198" t="str">
        <f t="shared" si="130"/>
        <v>Michael Stoecklmayr</v>
      </c>
      <c r="V1198" t="str">
        <f t="shared" si="131"/>
        <v>Toy Story</v>
      </c>
      <c r="W1198">
        <f t="shared" si="132"/>
        <v>1</v>
      </c>
    </row>
    <row r="1199" spans="1:23" x14ac:dyDescent="0.2">
      <c r="A1199" s="6" t="s">
        <v>8</v>
      </c>
      <c r="B1199" s="6">
        <v>1968</v>
      </c>
      <c r="C1199" s="6"/>
      <c r="D1199" s="6" t="s">
        <v>88</v>
      </c>
      <c r="E1199" s="6" t="s">
        <v>3</v>
      </c>
      <c r="F1199" s="6">
        <v>0</v>
      </c>
      <c r="G1199" s="6"/>
      <c r="H1199" s="6">
        <v>0</v>
      </c>
      <c r="I1199" s="6"/>
      <c r="J1199" s="6"/>
      <c r="K1199" s="6"/>
      <c r="L1199" s="6" t="str">
        <f t="shared" si="133"/>
        <v>Kathrin Walker</v>
      </c>
      <c r="M1199" s="6" t="str">
        <f t="shared" si="134"/>
        <v>2001: A Space Odyssey (Duella, Lockwood)</v>
      </c>
      <c r="N1199" s="9">
        <f t="shared" si="135"/>
        <v>0</v>
      </c>
      <c r="P1199" t="str">
        <f t="shared" si="129"/>
        <v>"Kathrin Walker";"2001: A Space Odyssey";"0"</v>
      </c>
      <c r="U1199" t="str">
        <f t="shared" si="130"/>
        <v>Kathrin Walker</v>
      </c>
      <c r="V1199" t="str">
        <f t="shared" si="131"/>
        <v>2001: A Space Odyssey</v>
      </c>
      <c r="W1199">
        <f t="shared" si="132"/>
        <v>0</v>
      </c>
    </row>
    <row r="1200" spans="1:23" x14ac:dyDescent="0.2">
      <c r="A1200" s="6" t="s">
        <v>9</v>
      </c>
      <c r="B1200" s="6">
        <v>1971</v>
      </c>
      <c r="C1200" s="6"/>
      <c r="D1200" s="6" t="s">
        <v>88</v>
      </c>
      <c r="E1200" s="6" t="s">
        <v>2</v>
      </c>
      <c r="F1200" s="6">
        <v>1</v>
      </c>
      <c r="G1200" s="6">
        <v>3</v>
      </c>
      <c r="H1200" s="6">
        <v>3</v>
      </c>
      <c r="I1200" s="6"/>
      <c r="J1200" s="6"/>
      <c r="K1200" s="6"/>
      <c r="L1200" s="6" t="str">
        <f t="shared" si="133"/>
        <v>Kathrin Walker</v>
      </c>
      <c r="M1200" s="6" t="str">
        <f t="shared" si="134"/>
        <v>A Clockwork Orange (McDowell, Magee)</v>
      </c>
      <c r="N1200" s="9">
        <f t="shared" si="135"/>
        <v>3</v>
      </c>
      <c r="P1200" t="str">
        <f t="shared" si="129"/>
        <v>"Kathrin Walker";"A Clockwork Orange";"3"</v>
      </c>
      <c r="U1200" t="str">
        <f t="shared" si="130"/>
        <v>Kathrin Walker</v>
      </c>
      <c r="V1200" t="str">
        <f t="shared" si="131"/>
        <v>A Clockwork Orange</v>
      </c>
      <c r="W1200">
        <f t="shared" si="132"/>
        <v>1</v>
      </c>
    </row>
    <row r="1201" spans="1:23" x14ac:dyDescent="0.2">
      <c r="A1201" s="6" t="s">
        <v>10</v>
      </c>
      <c r="B1201" s="6">
        <v>2018</v>
      </c>
      <c r="C1201" s="6"/>
      <c r="D1201" s="6" t="s">
        <v>88</v>
      </c>
      <c r="E1201" s="6" t="s">
        <v>3</v>
      </c>
      <c r="F1201" s="6">
        <v>0</v>
      </c>
      <c r="G1201" s="6"/>
      <c r="H1201" s="6">
        <v>0</v>
      </c>
      <c r="I1201" s="6"/>
      <c r="J1201" s="6"/>
      <c r="K1201" s="6"/>
      <c r="L1201" s="6" t="str">
        <f t="shared" si="133"/>
        <v>Kathrin Walker</v>
      </c>
      <c r="M1201" s="6" t="str">
        <f t="shared" si="134"/>
        <v>A star is born (Gaga, Cooper)</v>
      </c>
      <c r="N1201" s="9">
        <f t="shared" si="135"/>
        <v>0</v>
      </c>
      <c r="P1201" t="str">
        <f t="shared" si="129"/>
        <v>"Kathrin Walker";"A star is born";"0"</v>
      </c>
      <c r="U1201" t="str">
        <f t="shared" si="130"/>
        <v>Kathrin Walker</v>
      </c>
      <c r="V1201" t="str">
        <f t="shared" si="131"/>
        <v>A star is born</v>
      </c>
      <c r="W1201">
        <f t="shared" si="132"/>
        <v>0</v>
      </c>
    </row>
    <row r="1202" spans="1:23" x14ac:dyDescent="0.2">
      <c r="A1202" s="6" t="s">
        <v>11</v>
      </c>
      <c r="B1202" s="6">
        <v>2005</v>
      </c>
      <c r="C1202" s="6"/>
      <c r="D1202" s="6" t="s">
        <v>88</v>
      </c>
      <c r="E1202" s="6" t="s">
        <v>3</v>
      </c>
      <c r="F1202" s="6">
        <v>0</v>
      </c>
      <c r="G1202" s="6"/>
      <c r="H1202" s="6">
        <v>0</v>
      </c>
      <c r="I1202" s="6"/>
      <c r="J1202" s="6"/>
      <c r="K1202" s="6"/>
      <c r="L1202" s="6" t="str">
        <f t="shared" si="133"/>
        <v>Kathrin Walker</v>
      </c>
      <c r="M1202" s="6" t="str">
        <f t="shared" si="134"/>
        <v>Aeon Flux (Theron, Csokas)</v>
      </c>
      <c r="N1202" s="9">
        <f t="shared" si="135"/>
        <v>0</v>
      </c>
      <c r="P1202" t="str">
        <f t="shared" si="129"/>
        <v>"Kathrin Walker";"Aeon Flux";"0"</v>
      </c>
      <c r="U1202" t="str">
        <f t="shared" si="130"/>
        <v>Kathrin Walker</v>
      </c>
      <c r="V1202" t="str">
        <f t="shared" si="131"/>
        <v>Aeon Flux</v>
      </c>
      <c r="W1202">
        <f t="shared" si="132"/>
        <v>0</v>
      </c>
    </row>
    <row r="1203" spans="1:23" x14ac:dyDescent="0.2">
      <c r="A1203" s="6" t="s">
        <v>12</v>
      </c>
      <c r="B1203" s="6">
        <v>1951</v>
      </c>
      <c r="C1203" s="6"/>
      <c r="D1203" s="6" t="s">
        <v>88</v>
      </c>
      <c r="E1203" s="6" t="s">
        <v>3</v>
      </c>
      <c r="F1203" s="6">
        <v>0</v>
      </c>
      <c r="G1203" s="6"/>
      <c r="H1203" s="6">
        <v>0</v>
      </c>
      <c r="I1203" s="6"/>
      <c r="J1203" s="6"/>
      <c r="K1203" s="6"/>
      <c r="L1203" s="6" t="str">
        <f t="shared" si="133"/>
        <v>Kathrin Walker</v>
      </c>
      <c r="M1203" s="6" t="str">
        <f t="shared" si="134"/>
        <v>African Queen (Bogart, Hepburn)</v>
      </c>
      <c r="N1203" s="9">
        <f t="shared" si="135"/>
        <v>0</v>
      </c>
      <c r="P1203" t="str">
        <f t="shared" si="129"/>
        <v>"Kathrin Walker";"African Queen";"0"</v>
      </c>
      <c r="U1203" t="str">
        <f t="shared" si="130"/>
        <v>Kathrin Walker</v>
      </c>
      <c r="V1203" t="str">
        <f t="shared" si="131"/>
        <v>African Queen</v>
      </c>
      <c r="W1203">
        <f t="shared" si="132"/>
        <v>0</v>
      </c>
    </row>
    <row r="1204" spans="1:23" x14ac:dyDescent="0.2">
      <c r="A1204" s="6" t="s">
        <v>13</v>
      </c>
      <c r="B1204" s="6">
        <v>1979</v>
      </c>
      <c r="C1204" s="6"/>
      <c r="D1204" s="6" t="s">
        <v>88</v>
      </c>
      <c r="E1204" s="6" t="s">
        <v>3</v>
      </c>
      <c r="F1204" s="6">
        <v>0</v>
      </c>
      <c r="G1204" s="6"/>
      <c r="H1204" s="6">
        <v>0</v>
      </c>
      <c r="I1204" s="6"/>
      <c r="J1204" s="6"/>
      <c r="K1204" s="6"/>
      <c r="L1204" s="6" t="str">
        <f t="shared" si="133"/>
        <v>Kathrin Walker</v>
      </c>
      <c r="M1204" s="6" t="str">
        <f t="shared" si="134"/>
        <v>Alien (Weaver, Skerritt)</v>
      </c>
      <c r="N1204" s="9">
        <f t="shared" si="135"/>
        <v>0</v>
      </c>
      <c r="P1204" t="str">
        <f t="shared" si="129"/>
        <v>"Kathrin Walker";"Alien";"0"</v>
      </c>
      <c r="U1204" t="str">
        <f t="shared" si="130"/>
        <v>Kathrin Walker</v>
      </c>
      <c r="V1204" t="str">
        <f t="shared" si="131"/>
        <v>Alien</v>
      </c>
      <c r="W1204">
        <f t="shared" si="132"/>
        <v>0</v>
      </c>
    </row>
    <row r="1205" spans="1:23" x14ac:dyDescent="0.2">
      <c r="A1205" s="6" t="s">
        <v>14</v>
      </c>
      <c r="B1205" s="6">
        <v>1960</v>
      </c>
      <c r="C1205" s="6"/>
      <c r="D1205" s="6" t="s">
        <v>88</v>
      </c>
      <c r="E1205" s="6" t="s">
        <v>3</v>
      </c>
      <c r="F1205" s="6">
        <v>0</v>
      </c>
      <c r="G1205" s="6"/>
      <c r="H1205" s="6">
        <v>0</v>
      </c>
      <c r="I1205" s="6"/>
      <c r="J1205" s="6"/>
      <c r="K1205" s="6"/>
      <c r="L1205" s="6" t="str">
        <f t="shared" si="133"/>
        <v>Kathrin Walker</v>
      </c>
      <c r="M1205" s="6" t="str">
        <f t="shared" si="134"/>
        <v>Apartment (Lemmon, MacLaine)</v>
      </c>
      <c r="N1205" s="9">
        <f t="shared" si="135"/>
        <v>0</v>
      </c>
      <c r="P1205" t="str">
        <f t="shared" si="129"/>
        <v>"Kathrin Walker";"Apartment";"0"</v>
      </c>
      <c r="U1205" t="str">
        <f t="shared" si="130"/>
        <v>Kathrin Walker</v>
      </c>
      <c r="V1205" t="str">
        <f t="shared" si="131"/>
        <v>Apartment</v>
      </c>
      <c r="W1205">
        <f t="shared" si="132"/>
        <v>0</v>
      </c>
    </row>
    <row r="1206" spans="1:23" x14ac:dyDescent="0.2">
      <c r="A1206" s="6" t="s">
        <v>15</v>
      </c>
      <c r="B1206" s="6">
        <v>1979</v>
      </c>
      <c r="C1206" s="6"/>
      <c r="D1206" s="6" t="s">
        <v>88</v>
      </c>
      <c r="E1206" s="6" t="s">
        <v>3</v>
      </c>
      <c r="F1206" s="6">
        <v>0</v>
      </c>
      <c r="G1206" s="6"/>
      <c r="H1206" s="6">
        <v>0</v>
      </c>
      <c r="I1206" s="6"/>
      <c r="J1206" s="6"/>
      <c r="K1206" s="6"/>
      <c r="L1206" s="6" t="str">
        <f t="shared" si="133"/>
        <v>Kathrin Walker</v>
      </c>
      <c r="M1206" s="6" t="str">
        <f t="shared" si="134"/>
        <v>Apocalypse Now (Sheen, Brando)</v>
      </c>
      <c r="N1206" s="9">
        <f t="shared" si="135"/>
        <v>0</v>
      </c>
      <c r="P1206" t="str">
        <f t="shared" si="129"/>
        <v>"Kathrin Walker";"Apocalypse Now";"0"</v>
      </c>
      <c r="U1206" t="str">
        <f t="shared" si="130"/>
        <v>Kathrin Walker</v>
      </c>
      <c r="V1206" t="str">
        <f t="shared" si="131"/>
        <v>Apocalypse Now</v>
      </c>
      <c r="W1206">
        <f t="shared" si="132"/>
        <v>0</v>
      </c>
    </row>
    <row r="1207" spans="1:23" x14ac:dyDescent="0.2">
      <c r="A1207" s="6" t="s">
        <v>16</v>
      </c>
      <c r="B1207" s="6">
        <v>1956</v>
      </c>
      <c r="C1207" s="6"/>
      <c r="D1207" s="6" t="s">
        <v>88</v>
      </c>
      <c r="E1207" s="6" t="s">
        <v>3</v>
      </c>
      <c r="F1207" s="6">
        <v>0</v>
      </c>
      <c r="G1207" s="6"/>
      <c r="H1207" s="6">
        <v>0</v>
      </c>
      <c r="I1207" s="6"/>
      <c r="J1207" s="6"/>
      <c r="K1207" s="6"/>
      <c r="L1207" s="6" t="str">
        <f t="shared" si="133"/>
        <v>Kathrin Walker</v>
      </c>
      <c r="M1207" s="6" t="str">
        <f t="shared" si="134"/>
        <v>Around The World In 80 Days (Niven, Cantinflas)</v>
      </c>
      <c r="N1207" s="9">
        <f t="shared" si="135"/>
        <v>0</v>
      </c>
      <c r="P1207" t="str">
        <f t="shared" si="129"/>
        <v>"Kathrin Walker";"Around The World In 80 Days";"0"</v>
      </c>
      <c r="U1207" t="str">
        <f t="shared" si="130"/>
        <v>Kathrin Walker</v>
      </c>
      <c r="V1207" t="str">
        <f t="shared" si="131"/>
        <v>Around The World In 80 Days</v>
      </c>
      <c r="W1207">
        <f t="shared" si="132"/>
        <v>0</v>
      </c>
    </row>
    <row r="1208" spans="1:23" x14ac:dyDescent="0.2">
      <c r="A1208" s="6" t="s">
        <v>17</v>
      </c>
      <c r="B1208" s="6">
        <v>2009</v>
      </c>
      <c r="C1208" s="6"/>
      <c r="D1208" s="6" t="s">
        <v>88</v>
      </c>
      <c r="E1208" s="6" t="s">
        <v>2</v>
      </c>
      <c r="F1208" s="6">
        <v>1</v>
      </c>
      <c r="G1208" s="6">
        <v>5</v>
      </c>
      <c r="H1208" s="6">
        <v>5</v>
      </c>
      <c r="I1208" s="6"/>
      <c r="J1208" s="6"/>
      <c r="K1208" s="6"/>
      <c r="L1208" s="6" t="str">
        <f t="shared" si="133"/>
        <v>Kathrin Walker</v>
      </c>
      <c r="M1208" s="6" t="str">
        <f t="shared" si="134"/>
        <v>Avatar (Worthington, Saldana)</v>
      </c>
      <c r="N1208" s="9">
        <f t="shared" si="135"/>
        <v>5</v>
      </c>
      <c r="P1208" t="str">
        <f t="shared" si="129"/>
        <v>"Kathrin Walker";"Avatar";"5"</v>
      </c>
      <c r="U1208" t="str">
        <f t="shared" si="130"/>
        <v>Kathrin Walker</v>
      </c>
      <c r="V1208" t="str">
        <f t="shared" si="131"/>
        <v>Avatar</v>
      </c>
      <c r="W1208">
        <f t="shared" si="132"/>
        <v>1</v>
      </c>
    </row>
    <row r="1209" spans="1:23" x14ac:dyDescent="0.2">
      <c r="A1209" s="6" t="s">
        <v>18</v>
      </c>
      <c r="B1209" s="6">
        <v>1989</v>
      </c>
      <c r="C1209" s="6"/>
      <c r="D1209" s="6" t="s">
        <v>88</v>
      </c>
      <c r="E1209" s="6" t="s">
        <v>3</v>
      </c>
      <c r="F1209" s="6">
        <v>0</v>
      </c>
      <c r="G1209" s="6"/>
      <c r="H1209" s="6">
        <v>0</v>
      </c>
      <c r="I1209" s="6"/>
      <c r="J1209" s="6"/>
      <c r="K1209" s="6"/>
      <c r="L1209" s="6" t="str">
        <f t="shared" si="133"/>
        <v>Kathrin Walker</v>
      </c>
      <c r="M1209" s="6" t="str">
        <f t="shared" si="134"/>
        <v>Batman (Keaton, Nicholson, Basinger)</v>
      </c>
      <c r="N1209" s="9">
        <f t="shared" si="135"/>
        <v>0</v>
      </c>
      <c r="P1209" t="str">
        <f t="shared" si="129"/>
        <v>"Kathrin Walker";"Batman";"0"</v>
      </c>
      <c r="U1209" t="str">
        <f t="shared" si="130"/>
        <v>Kathrin Walker</v>
      </c>
      <c r="V1209" t="str">
        <f t="shared" si="131"/>
        <v>Batman</v>
      </c>
      <c r="W1209">
        <f t="shared" si="132"/>
        <v>0</v>
      </c>
    </row>
    <row r="1210" spans="1:23" x14ac:dyDescent="0.2">
      <c r="A1210" s="6" t="s">
        <v>19</v>
      </c>
      <c r="B1210" s="6">
        <v>1982</v>
      </c>
      <c r="C1210" s="6"/>
      <c r="D1210" s="6" t="s">
        <v>88</v>
      </c>
      <c r="E1210" s="6" t="s">
        <v>3</v>
      </c>
      <c r="F1210" s="6">
        <v>0</v>
      </c>
      <c r="G1210" s="6"/>
      <c r="H1210" s="6">
        <v>0</v>
      </c>
      <c r="I1210" s="6"/>
      <c r="J1210" s="6"/>
      <c r="K1210" s="6"/>
      <c r="L1210" s="6" t="str">
        <f t="shared" si="133"/>
        <v>Kathrin Walker</v>
      </c>
      <c r="M1210" s="6" t="str">
        <f t="shared" si="134"/>
        <v>Blade Runner (Ford, Hauer)</v>
      </c>
      <c r="N1210" s="9">
        <f t="shared" si="135"/>
        <v>0</v>
      </c>
      <c r="P1210" t="str">
        <f t="shared" si="129"/>
        <v>"Kathrin Walker";"Blade Runner";"0"</v>
      </c>
      <c r="U1210" t="str">
        <f t="shared" si="130"/>
        <v>Kathrin Walker</v>
      </c>
      <c r="V1210" t="str">
        <f t="shared" si="131"/>
        <v>Blade Runner</v>
      </c>
      <c r="W1210">
        <f t="shared" si="132"/>
        <v>0</v>
      </c>
    </row>
    <row r="1211" spans="1:23" x14ac:dyDescent="0.2">
      <c r="A1211" s="6" t="s">
        <v>20</v>
      </c>
      <c r="B1211" s="6">
        <v>2018</v>
      </c>
      <c r="C1211" s="6"/>
      <c r="D1211" s="6" t="s">
        <v>88</v>
      </c>
      <c r="E1211" s="6" t="s">
        <v>2</v>
      </c>
      <c r="F1211" s="6">
        <v>1</v>
      </c>
      <c r="G1211" s="6"/>
      <c r="H1211" s="6">
        <v>0</v>
      </c>
      <c r="I1211" s="6"/>
      <c r="J1211" s="6"/>
      <c r="K1211" s="6"/>
      <c r="L1211" s="6" t="str">
        <f t="shared" si="133"/>
        <v>Kathrin Walker</v>
      </c>
      <c r="M1211" s="6" t="str">
        <f t="shared" si="134"/>
        <v>Bohemian Rhapsody (Malek, Boynton)</v>
      </c>
      <c r="N1211" s="9">
        <f t="shared" si="135"/>
        <v>0</v>
      </c>
      <c r="P1211" t="str">
        <f t="shared" si="129"/>
        <v>"Kathrin Walker";"Bohemian Rhapsody";"0"</v>
      </c>
      <c r="U1211" t="str">
        <f t="shared" si="130"/>
        <v>Kathrin Walker</v>
      </c>
      <c r="V1211" t="str">
        <f t="shared" si="131"/>
        <v>Bohemian Rhapsody</v>
      </c>
      <c r="W1211">
        <f t="shared" si="132"/>
        <v>1</v>
      </c>
    </row>
    <row r="1212" spans="1:23" x14ac:dyDescent="0.2">
      <c r="A1212" s="6" t="s">
        <v>21</v>
      </c>
      <c r="B1212" s="6">
        <v>2011</v>
      </c>
      <c r="C1212" s="6"/>
      <c r="D1212" s="6" t="s">
        <v>88</v>
      </c>
      <c r="E1212" s="6" t="s">
        <v>2</v>
      </c>
      <c r="F1212" s="6">
        <v>1</v>
      </c>
      <c r="G1212" s="6">
        <v>3</v>
      </c>
      <c r="H1212" s="6">
        <v>3</v>
      </c>
      <c r="I1212" s="6"/>
      <c r="J1212" s="6"/>
      <c r="K1212" s="6"/>
      <c r="L1212" s="6" t="str">
        <f t="shared" si="133"/>
        <v>Kathrin Walker</v>
      </c>
      <c r="M1212" s="6" t="str">
        <f t="shared" si="134"/>
        <v>Captain America (Evans, Waeving)</v>
      </c>
      <c r="N1212" s="9">
        <f t="shared" si="135"/>
        <v>3</v>
      </c>
      <c r="P1212" t="str">
        <f t="shared" si="129"/>
        <v>"Kathrin Walker";"Captain America";"3"</v>
      </c>
      <c r="U1212" t="str">
        <f t="shared" si="130"/>
        <v>Kathrin Walker</v>
      </c>
      <c r="V1212" t="str">
        <f t="shared" si="131"/>
        <v>Captain America</v>
      </c>
      <c r="W1212">
        <f t="shared" si="132"/>
        <v>1</v>
      </c>
    </row>
    <row r="1213" spans="1:23" x14ac:dyDescent="0.2">
      <c r="A1213" s="6" t="s">
        <v>22</v>
      </c>
      <c r="B1213" s="6">
        <v>2000</v>
      </c>
      <c r="C1213" s="6"/>
      <c r="D1213" s="6" t="s">
        <v>88</v>
      </c>
      <c r="E1213" s="6" t="s">
        <v>3</v>
      </c>
      <c r="F1213" s="6">
        <v>0</v>
      </c>
      <c r="G1213" s="6"/>
      <c r="H1213" s="6">
        <v>0</v>
      </c>
      <c r="I1213" s="6"/>
      <c r="J1213" s="6"/>
      <c r="K1213" s="6"/>
      <c r="L1213" s="6" t="str">
        <f t="shared" si="133"/>
        <v>Kathrin Walker</v>
      </c>
      <c r="M1213" s="6" t="str">
        <f t="shared" si="134"/>
        <v>Cast Away (Hanks, Hunt)</v>
      </c>
      <c r="N1213" s="9">
        <f t="shared" si="135"/>
        <v>0</v>
      </c>
      <c r="P1213" t="str">
        <f t="shared" si="129"/>
        <v>"Kathrin Walker";"Cast Away";"0"</v>
      </c>
      <c r="U1213" t="str">
        <f t="shared" si="130"/>
        <v>Kathrin Walker</v>
      </c>
      <c r="V1213" t="str">
        <f t="shared" si="131"/>
        <v>Cast Away</v>
      </c>
      <c r="W1213">
        <f t="shared" si="132"/>
        <v>0</v>
      </c>
    </row>
    <row r="1214" spans="1:23" x14ac:dyDescent="0.2">
      <c r="A1214" s="6" t="s">
        <v>23</v>
      </c>
      <c r="B1214" s="6">
        <v>1958</v>
      </c>
      <c r="C1214" s="6"/>
      <c r="D1214" s="6" t="s">
        <v>88</v>
      </c>
      <c r="E1214" s="6" t="s">
        <v>3</v>
      </c>
      <c r="F1214" s="6">
        <v>0</v>
      </c>
      <c r="G1214" s="6"/>
      <c r="H1214" s="6">
        <v>0</v>
      </c>
      <c r="I1214" s="6"/>
      <c r="J1214" s="6"/>
      <c r="K1214" s="6"/>
      <c r="L1214" s="6" t="str">
        <f t="shared" si="133"/>
        <v>Kathrin Walker</v>
      </c>
      <c r="M1214" s="6" t="str">
        <f t="shared" si="134"/>
        <v>Cat On Hot Tin Roof (Taylor, Newman)</v>
      </c>
      <c r="N1214" s="9">
        <f t="shared" si="135"/>
        <v>0</v>
      </c>
      <c r="P1214" t="str">
        <f t="shared" si="129"/>
        <v>"Kathrin Walker";"Cat On Hot Tin Roof";"0"</v>
      </c>
      <c r="U1214" t="str">
        <f t="shared" si="130"/>
        <v>Kathrin Walker</v>
      </c>
      <c r="V1214" t="str">
        <f t="shared" si="131"/>
        <v>Cat On Hot Tin Roof</v>
      </c>
      <c r="W1214">
        <f t="shared" si="132"/>
        <v>0</v>
      </c>
    </row>
    <row r="1215" spans="1:23" x14ac:dyDescent="0.2">
      <c r="A1215" s="6" t="s">
        <v>24</v>
      </c>
      <c r="B1215" s="6">
        <v>1963</v>
      </c>
      <c r="C1215" s="6"/>
      <c r="D1215" s="6" t="s">
        <v>88</v>
      </c>
      <c r="E1215" s="6" t="s">
        <v>3</v>
      </c>
      <c r="F1215" s="6">
        <v>0</v>
      </c>
      <c r="G1215" s="6"/>
      <c r="H1215" s="6">
        <v>0</v>
      </c>
      <c r="I1215" s="6"/>
      <c r="J1215" s="6"/>
      <c r="K1215" s="6"/>
      <c r="L1215" s="6" t="str">
        <f t="shared" si="133"/>
        <v>Kathrin Walker</v>
      </c>
      <c r="M1215" s="6" t="str">
        <f t="shared" si="134"/>
        <v>Charade (Grant, Hepburn)</v>
      </c>
      <c r="N1215" s="9">
        <f t="shared" si="135"/>
        <v>0</v>
      </c>
      <c r="P1215" t="str">
        <f t="shared" si="129"/>
        <v>"Kathrin Walker";"Charade";"0"</v>
      </c>
      <c r="U1215" t="str">
        <f t="shared" si="130"/>
        <v>Kathrin Walker</v>
      </c>
      <c r="V1215" t="str">
        <f t="shared" si="131"/>
        <v>Charade</v>
      </c>
      <c r="W1215">
        <f t="shared" si="132"/>
        <v>0</v>
      </c>
    </row>
    <row r="1216" spans="1:23" x14ac:dyDescent="0.2">
      <c r="A1216" s="6" t="s">
        <v>25</v>
      </c>
      <c r="B1216" s="6">
        <v>2000</v>
      </c>
      <c r="C1216" s="6"/>
      <c r="D1216" s="6" t="s">
        <v>88</v>
      </c>
      <c r="E1216" s="6" t="s">
        <v>2</v>
      </c>
      <c r="F1216" s="6">
        <v>1</v>
      </c>
      <c r="G1216" s="6">
        <v>3</v>
      </c>
      <c r="H1216" s="6">
        <v>3</v>
      </c>
      <c r="I1216" s="6"/>
      <c r="J1216" s="6"/>
      <c r="K1216" s="6"/>
      <c r="L1216" s="6" t="str">
        <f t="shared" si="133"/>
        <v>Kathrin Walker</v>
      </c>
      <c r="M1216" s="6" t="str">
        <f t="shared" si="134"/>
        <v>Charlies Angels (Diaz, Barrymore, Liu)</v>
      </c>
      <c r="N1216" s="9">
        <f t="shared" si="135"/>
        <v>3</v>
      </c>
      <c r="P1216" t="str">
        <f t="shared" si="129"/>
        <v>"Kathrin Walker";"Charlies Angels";"3"</v>
      </c>
      <c r="U1216" t="str">
        <f t="shared" si="130"/>
        <v>Kathrin Walker</v>
      </c>
      <c r="V1216" t="str">
        <f t="shared" si="131"/>
        <v>Charlies Angels</v>
      </c>
      <c r="W1216">
        <f t="shared" si="132"/>
        <v>1</v>
      </c>
    </row>
    <row r="1217" spans="1:23" x14ac:dyDescent="0.2">
      <c r="A1217" s="6" t="s">
        <v>26</v>
      </c>
      <c r="B1217" s="6">
        <v>1974</v>
      </c>
      <c r="C1217" s="6"/>
      <c r="D1217" s="6" t="s">
        <v>88</v>
      </c>
      <c r="E1217" s="6" t="s">
        <v>3</v>
      </c>
      <c r="F1217" s="6">
        <v>0</v>
      </c>
      <c r="G1217" s="6"/>
      <c r="H1217" s="6">
        <v>0</v>
      </c>
      <c r="I1217" s="6"/>
      <c r="J1217" s="6"/>
      <c r="K1217" s="6"/>
      <c r="L1217" s="6" t="str">
        <f t="shared" si="133"/>
        <v>Kathrin Walker</v>
      </c>
      <c r="M1217" s="6" t="str">
        <f t="shared" si="134"/>
        <v>Chinatown (Nicholson, Dunaway)</v>
      </c>
      <c r="N1217" s="9">
        <f t="shared" si="135"/>
        <v>0</v>
      </c>
      <c r="P1217" t="str">
        <f t="shared" si="129"/>
        <v>"Kathrin Walker";"Chinatown";"0"</v>
      </c>
      <c r="U1217" t="str">
        <f t="shared" si="130"/>
        <v>Kathrin Walker</v>
      </c>
      <c r="V1217" t="str">
        <f t="shared" si="131"/>
        <v>Chinatown</v>
      </c>
      <c r="W1217">
        <f t="shared" si="132"/>
        <v>0</v>
      </c>
    </row>
    <row r="1218" spans="1:23" x14ac:dyDescent="0.2">
      <c r="A1218" s="6" t="s">
        <v>27</v>
      </c>
      <c r="B1218" s="6">
        <v>1986</v>
      </c>
      <c r="C1218" s="6"/>
      <c r="D1218" s="6" t="s">
        <v>88</v>
      </c>
      <c r="E1218" s="6" t="s">
        <v>3</v>
      </c>
      <c r="F1218" s="6">
        <v>0</v>
      </c>
      <c r="G1218" s="6"/>
      <c r="H1218" s="6">
        <v>0</v>
      </c>
      <c r="I1218" s="6"/>
      <c r="J1218" s="6"/>
      <c r="K1218" s="6"/>
      <c r="L1218" s="6" t="str">
        <f t="shared" si="133"/>
        <v>Kathrin Walker</v>
      </c>
      <c r="M1218" s="6" t="str">
        <f t="shared" si="134"/>
        <v>Clockwise (Gleese, Leatherbarrow)</v>
      </c>
      <c r="N1218" s="9">
        <f t="shared" si="135"/>
        <v>0</v>
      </c>
      <c r="P1218" t="str">
        <f t="shared" si="129"/>
        <v>"Kathrin Walker";"Clockwise";"0"</v>
      </c>
      <c r="U1218" t="str">
        <f t="shared" si="130"/>
        <v>Kathrin Walker</v>
      </c>
      <c r="V1218" t="str">
        <f t="shared" si="131"/>
        <v>Clockwise</v>
      </c>
      <c r="W1218">
        <f t="shared" si="132"/>
        <v>0</v>
      </c>
    </row>
    <row r="1219" spans="1:23" x14ac:dyDescent="0.2">
      <c r="A1219" s="6" t="s">
        <v>28</v>
      </c>
      <c r="B1219" s="6">
        <v>2011</v>
      </c>
      <c r="C1219" s="6"/>
      <c r="D1219" s="6" t="s">
        <v>88</v>
      </c>
      <c r="E1219" s="6" t="s">
        <v>3</v>
      </c>
      <c r="F1219" s="6">
        <v>0</v>
      </c>
      <c r="G1219" s="6"/>
      <c r="H1219" s="6">
        <v>0</v>
      </c>
      <c r="I1219" s="6"/>
      <c r="J1219" s="6"/>
      <c r="K1219" s="6"/>
      <c r="L1219" s="6" t="str">
        <f t="shared" si="133"/>
        <v>Kathrin Walker</v>
      </c>
      <c r="M1219" s="6" t="str">
        <f t="shared" si="134"/>
        <v>Colombiana (Saldana, Molla)</v>
      </c>
      <c r="N1219" s="9">
        <f t="shared" si="135"/>
        <v>0</v>
      </c>
      <c r="P1219" t="str">
        <f t="shared" ref="P1219:P1255" si="136">""""&amp;L1219&amp;""";"""&amp;LEFT(M1219,FIND("(",M1219)-2)&amp;""";"""&amp;SUBSTITUTE(N1219,",",".")&amp;""""</f>
        <v>"Kathrin Walker";"Colombiana";"0"</v>
      </c>
      <c r="U1219" t="str">
        <f t="shared" ref="U1219:U1255" si="137">D1219</f>
        <v>Kathrin Walker</v>
      </c>
      <c r="V1219" t="str">
        <f t="shared" ref="V1219:V1255" si="138">LEFT(A1219,FIND("(",A1219)-2)</f>
        <v>Colombiana</v>
      </c>
      <c r="W1219">
        <f t="shared" ref="W1219:W1255" si="139">F1219</f>
        <v>0</v>
      </c>
    </row>
    <row r="1220" spans="1:23" x14ac:dyDescent="0.2">
      <c r="A1220" s="6" t="s">
        <v>29</v>
      </c>
      <c r="B1220" s="6">
        <v>1962</v>
      </c>
      <c r="C1220" s="6"/>
      <c r="D1220" s="6" t="s">
        <v>88</v>
      </c>
      <c r="E1220" s="6" t="s">
        <v>3</v>
      </c>
      <c r="F1220" s="6">
        <v>0</v>
      </c>
      <c r="G1220" s="6"/>
      <c r="H1220" s="6">
        <v>0</v>
      </c>
      <c r="I1220" s="6"/>
      <c r="J1220" s="6"/>
      <c r="K1220" s="6"/>
      <c r="L1220" s="6" t="str">
        <f t="shared" ref="L1220:L1255" si="140">D1220</f>
        <v>Kathrin Walker</v>
      </c>
      <c r="M1220" s="6" t="str">
        <f t="shared" ref="M1220:M1255" si="141">A1220</f>
        <v>Doctor No (Connery, Andress)</v>
      </c>
      <c r="N1220" s="9">
        <f t="shared" ref="N1220:N1255" si="142">H1220</f>
        <v>0</v>
      </c>
      <c r="P1220" t="str">
        <f t="shared" si="136"/>
        <v>"Kathrin Walker";"Doctor No";"0"</v>
      </c>
      <c r="U1220" t="str">
        <f t="shared" si="137"/>
        <v>Kathrin Walker</v>
      </c>
      <c r="V1220" t="str">
        <f t="shared" si="138"/>
        <v>Doctor No</v>
      </c>
      <c r="W1220">
        <f t="shared" si="139"/>
        <v>0</v>
      </c>
    </row>
    <row r="1221" spans="1:23" x14ac:dyDescent="0.2">
      <c r="A1221" s="6" t="s">
        <v>30</v>
      </c>
      <c r="B1221" s="6">
        <v>1965</v>
      </c>
      <c r="C1221" s="6"/>
      <c r="D1221" s="6" t="s">
        <v>88</v>
      </c>
      <c r="E1221" s="6" t="s">
        <v>3</v>
      </c>
      <c r="F1221" s="6">
        <v>0</v>
      </c>
      <c r="G1221" s="6"/>
      <c r="H1221" s="6">
        <v>0</v>
      </c>
      <c r="I1221" s="6"/>
      <c r="J1221" s="6"/>
      <c r="K1221" s="6"/>
      <c r="L1221" s="6" t="str">
        <f t="shared" si="140"/>
        <v>Kathrin Walker</v>
      </c>
      <c r="M1221" s="6" t="str">
        <f t="shared" si="141"/>
        <v>Doctor Zhiwago (Sharif, Christie)</v>
      </c>
      <c r="N1221" s="9">
        <f t="shared" si="142"/>
        <v>0</v>
      </c>
      <c r="P1221" t="str">
        <f t="shared" si="136"/>
        <v>"Kathrin Walker";"Doctor Zhiwago";"0"</v>
      </c>
      <c r="U1221" t="str">
        <f t="shared" si="137"/>
        <v>Kathrin Walker</v>
      </c>
      <c r="V1221" t="str">
        <f t="shared" si="138"/>
        <v>Doctor Zhiwago</v>
      </c>
      <c r="W1221">
        <f t="shared" si="139"/>
        <v>0</v>
      </c>
    </row>
    <row r="1222" spans="1:23" x14ac:dyDescent="0.2">
      <c r="A1222" s="6" t="s">
        <v>31</v>
      </c>
      <c r="B1222" s="6">
        <v>1964</v>
      </c>
      <c r="C1222" s="6"/>
      <c r="D1222" s="6" t="s">
        <v>88</v>
      </c>
      <c r="E1222" s="6" t="s">
        <v>3</v>
      </c>
      <c r="F1222" s="6">
        <v>0</v>
      </c>
      <c r="G1222" s="6"/>
      <c r="H1222" s="6">
        <v>0</v>
      </c>
      <c r="I1222" s="6"/>
      <c r="J1222" s="6"/>
      <c r="K1222" s="6"/>
      <c r="L1222" s="6" t="str">
        <f t="shared" si="140"/>
        <v>Kathrin Walker</v>
      </c>
      <c r="M1222" s="6" t="str">
        <f t="shared" si="141"/>
        <v>Dr. Strangelove… (Sellers, Scott)</v>
      </c>
      <c r="N1222" s="9">
        <f t="shared" si="142"/>
        <v>0</v>
      </c>
      <c r="P1222" t="str">
        <f t="shared" si="136"/>
        <v>"Kathrin Walker";"Dr. Strangelove…";"0"</v>
      </c>
      <c r="U1222" t="str">
        <f t="shared" si="137"/>
        <v>Kathrin Walker</v>
      </c>
      <c r="V1222" t="str">
        <f t="shared" si="138"/>
        <v>Dr. Strangelove…</v>
      </c>
      <c r="W1222">
        <f t="shared" si="139"/>
        <v>0</v>
      </c>
    </row>
    <row r="1223" spans="1:23" x14ac:dyDescent="0.2">
      <c r="A1223" s="6" t="s">
        <v>32</v>
      </c>
      <c r="B1223" s="6">
        <v>2000</v>
      </c>
      <c r="C1223" s="6"/>
      <c r="D1223" s="6" t="s">
        <v>88</v>
      </c>
      <c r="E1223" s="6" t="s">
        <v>3</v>
      </c>
      <c r="F1223" s="6">
        <v>0</v>
      </c>
      <c r="G1223" s="6"/>
      <c r="H1223" s="6">
        <v>0</v>
      </c>
      <c r="I1223" s="6"/>
      <c r="J1223" s="6"/>
      <c r="K1223" s="6"/>
      <c r="L1223" s="6" t="str">
        <f t="shared" si="140"/>
        <v>Kathrin Walker</v>
      </c>
      <c r="M1223" s="6" t="str">
        <f t="shared" si="141"/>
        <v>Dr. T and the women (Gere, Hunt)</v>
      </c>
      <c r="N1223" s="9">
        <f t="shared" si="142"/>
        <v>0</v>
      </c>
      <c r="P1223" t="str">
        <f t="shared" si="136"/>
        <v>"Kathrin Walker";"Dr. T and the women";"0"</v>
      </c>
      <c r="U1223" t="str">
        <f t="shared" si="137"/>
        <v>Kathrin Walker</v>
      </c>
      <c r="V1223" t="str">
        <f t="shared" si="138"/>
        <v>Dr. T and the women</v>
      </c>
      <c r="W1223">
        <f t="shared" si="139"/>
        <v>0</v>
      </c>
    </row>
    <row r="1224" spans="1:23" x14ac:dyDescent="0.2">
      <c r="A1224" s="6" t="s">
        <v>33</v>
      </c>
      <c r="B1224" s="6">
        <v>1953</v>
      </c>
      <c r="C1224" s="6"/>
      <c r="D1224" s="6" t="s">
        <v>88</v>
      </c>
      <c r="E1224" s="6" t="s">
        <v>3</v>
      </c>
      <c r="F1224" s="6">
        <v>0</v>
      </c>
      <c r="G1224" s="6"/>
      <c r="H1224" s="6">
        <v>0</v>
      </c>
      <c r="I1224" s="6"/>
      <c r="J1224" s="6"/>
      <c r="K1224" s="6"/>
      <c r="L1224" s="6" t="str">
        <f t="shared" si="140"/>
        <v>Kathrin Walker</v>
      </c>
      <c r="M1224" s="6" t="str">
        <f t="shared" si="141"/>
        <v>Gentlemen Prefer Blondes (Monroe, Russell)</v>
      </c>
      <c r="N1224" s="9">
        <f t="shared" si="142"/>
        <v>0</v>
      </c>
      <c r="P1224" t="str">
        <f t="shared" si="136"/>
        <v>"Kathrin Walker";"Gentlemen Prefer Blondes";"0"</v>
      </c>
      <c r="U1224" t="str">
        <f t="shared" si="137"/>
        <v>Kathrin Walker</v>
      </c>
      <c r="V1224" t="str">
        <f t="shared" si="138"/>
        <v>Gentlemen Prefer Blondes</v>
      </c>
      <c r="W1224">
        <f t="shared" si="139"/>
        <v>0</v>
      </c>
    </row>
    <row r="1225" spans="1:23" x14ac:dyDescent="0.2">
      <c r="A1225" s="6" t="s">
        <v>34</v>
      </c>
      <c r="B1225" s="6">
        <v>2014</v>
      </c>
      <c r="C1225" s="6"/>
      <c r="D1225" s="6" t="s">
        <v>88</v>
      </c>
      <c r="E1225" s="6" t="s">
        <v>2</v>
      </c>
      <c r="F1225" s="6">
        <v>1</v>
      </c>
      <c r="G1225" s="6">
        <v>3</v>
      </c>
      <c r="H1225" s="6">
        <v>3</v>
      </c>
      <c r="I1225" s="6"/>
      <c r="J1225" s="6"/>
      <c r="K1225" s="6"/>
      <c r="L1225" s="6" t="str">
        <f t="shared" si="140"/>
        <v>Kathrin Walker</v>
      </c>
      <c r="M1225" s="6" t="str">
        <f t="shared" si="141"/>
        <v>Grand Budapest Hotel (Fiennes, Abraham)</v>
      </c>
      <c r="N1225" s="9">
        <f t="shared" si="142"/>
        <v>3</v>
      </c>
      <c r="P1225" t="str">
        <f t="shared" si="136"/>
        <v>"Kathrin Walker";"Grand Budapest Hotel";"3"</v>
      </c>
      <c r="U1225" t="str">
        <f t="shared" si="137"/>
        <v>Kathrin Walker</v>
      </c>
      <c r="V1225" t="str">
        <f t="shared" si="138"/>
        <v>Grand Budapest Hotel</v>
      </c>
      <c r="W1225">
        <f t="shared" si="139"/>
        <v>1</v>
      </c>
    </row>
    <row r="1226" spans="1:23" x14ac:dyDescent="0.2">
      <c r="A1226" s="6" t="s">
        <v>35</v>
      </c>
      <c r="B1226" s="6">
        <v>2001</v>
      </c>
      <c r="C1226" s="6"/>
      <c r="D1226" s="6" t="s">
        <v>88</v>
      </c>
      <c r="E1226" s="6" t="s">
        <v>2</v>
      </c>
      <c r="F1226" s="6">
        <v>1</v>
      </c>
      <c r="G1226" s="6">
        <v>5</v>
      </c>
      <c r="H1226" s="6">
        <v>5</v>
      </c>
      <c r="I1226" s="6"/>
      <c r="J1226" s="6"/>
      <c r="K1226" s="6"/>
      <c r="L1226" s="6" t="str">
        <f t="shared" si="140"/>
        <v>Kathrin Walker</v>
      </c>
      <c r="M1226" s="6" t="str">
        <f t="shared" si="141"/>
        <v>Harry Potter and the Philosopher's Stone (Radcliff, Harris)</v>
      </c>
      <c r="N1226" s="9">
        <f t="shared" si="142"/>
        <v>5</v>
      </c>
      <c r="P1226" t="str">
        <f t="shared" si="136"/>
        <v>"Kathrin Walker";"Harry Potter and the Philosopher's Stone";"5"</v>
      </c>
      <c r="U1226" t="str">
        <f t="shared" si="137"/>
        <v>Kathrin Walker</v>
      </c>
      <c r="V1226" t="str">
        <f t="shared" si="138"/>
        <v>Harry Potter and the Philosopher's Stone</v>
      </c>
      <c r="W1226">
        <f t="shared" si="139"/>
        <v>1</v>
      </c>
    </row>
    <row r="1227" spans="1:23" x14ac:dyDescent="0.2">
      <c r="A1227" s="6" t="s">
        <v>36</v>
      </c>
      <c r="B1227" s="6">
        <v>1950</v>
      </c>
      <c r="C1227" s="6"/>
      <c r="D1227" s="6" t="s">
        <v>88</v>
      </c>
      <c r="E1227" s="6" t="s">
        <v>3</v>
      </c>
      <c r="F1227" s="6">
        <v>0</v>
      </c>
      <c r="G1227" s="6"/>
      <c r="H1227" s="6">
        <v>0</v>
      </c>
      <c r="I1227" s="6"/>
      <c r="J1227" s="6"/>
      <c r="K1227" s="6"/>
      <c r="L1227" s="6" t="str">
        <f t="shared" si="140"/>
        <v>Kathrin Walker</v>
      </c>
      <c r="M1227" s="6" t="str">
        <f t="shared" si="141"/>
        <v>Harvey (Stewart, Hull)</v>
      </c>
      <c r="N1227" s="9">
        <f t="shared" si="142"/>
        <v>0</v>
      </c>
      <c r="P1227" t="str">
        <f t="shared" si="136"/>
        <v>"Kathrin Walker";"Harvey";"0"</v>
      </c>
      <c r="U1227" t="str">
        <f t="shared" si="137"/>
        <v>Kathrin Walker</v>
      </c>
      <c r="V1227" t="str">
        <f t="shared" si="138"/>
        <v>Harvey</v>
      </c>
      <c r="W1227">
        <f t="shared" si="139"/>
        <v>0</v>
      </c>
    </row>
    <row r="1228" spans="1:23" x14ac:dyDescent="0.2">
      <c r="A1228" s="6" t="s">
        <v>37</v>
      </c>
      <c r="B1228" s="6">
        <v>1962</v>
      </c>
      <c r="C1228" s="6"/>
      <c r="D1228" s="6" t="s">
        <v>88</v>
      </c>
      <c r="E1228" s="6" t="s">
        <v>3</v>
      </c>
      <c r="F1228" s="6">
        <v>0</v>
      </c>
      <c r="G1228" s="6"/>
      <c r="H1228" s="6">
        <v>0</v>
      </c>
      <c r="I1228" s="6"/>
      <c r="J1228" s="6"/>
      <c r="K1228" s="6"/>
      <c r="L1228" s="6" t="str">
        <f t="shared" si="140"/>
        <v>Kathrin Walker</v>
      </c>
      <c r="M1228" s="6" t="str">
        <f t="shared" si="141"/>
        <v>Hatari! (Wayne, Martinelli)</v>
      </c>
      <c r="N1228" s="9">
        <f t="shared" si="142"/>
        <v>0</v>
      </c>
      <c r="P1228" t="str">
        <f t="shared" si="136"/>
        <v>"Kathrin Walker";"Hatari!";"0"</v>
      </c>
      <c r="U1228" t="str">
        <f t="shared" si="137"/>
        <v>Kathrin Walker</v>
      </c>
      <c r="V1228" t="str">
        <f t="shared" si="138"/>
        <v>Hatari!</v>
      </c>
      <c r="W1228">
        <f t="shared" si="139"/>
        <v>0</v>
      </c>
    </row>
    <row r="1229" spans="1:23" x14ac:dyDescent="0.2">
      <c r="A1229" s="6" t="s">
        <v>38</v>
      </c>
      <c r="B1229" s="6">
        <v>1990</v>
      </c>
      <c r="C1229" s="6"/>
      <c r="D1229" s="6" t="s">
        <v>88</v>
      </c>
      <c r="E1229" s="6" t="s">
        <v>2</v>
      </c>
      <c r="F1229" s="6">
        <v>1</v>
      </c>
      <c r="G1229" s="6">
        <v>3</v>
      </c>
      <c r="H1229" s="6">
        <v>3</v>
      </c>
      <c r="I1229" s="6"/>
      <c r="J1229" s="6"/>
      <c r="K1229" s="6"/>
      <c r="L1229" s="6" t="str">
        <f t="shared" si="140"/>
        <v>Kathrin Walker</v>
      </c>
      <c r="M1229" s="6" t="str">
        <f t="shared" si="141"/>
        <v>Home alone (Culkin, Pesci)</v>
      </c>
      <c r="N1229" s="9">
        <f t="shared" si="142"/>
        <v>3</v>
      </c>
      <c r="P1229" t="str">
        <f t="shared" si="136"/>
        <v>"Kathrin Walker";"Home alone";"3"</v>
      </c>
      <c r="U1229" t="str">
        <f t="shared" si="137"/>
        <v>Kathrin Walker</v>
      </c>
      <c r="V1229" t="str">
        <f t="shared" si="138"/>
        <v>Home alone</v>
      </c>
      <c r="W1229">
        <f t="shared" si="139"/>
        <v>1</v>
      </c>
    </row>
    <row r="1230" spans="1:23" x14ac:dyDescent="0.2">
      <c r="A1230" s="6" t="s">
        <v>39</v>
      </c>
      <c r="B1230" s="6">
        <v>2004</v>
      </c>
      <c r="C1230" s="6"/>
      <c r="D1230" s="6" t="s">
        <v>88</v>
      </c>
      <c r="E1230" s="6" t="s">
        <v>2</v>
      </c>
      <c r="F1230" s="6">
        <v>1</v>
      </c>
      <c r="G1230" s="6">
        <v>5</v>
      </c>
      <c r="H1230" s="6">
        <v>5</v>
      </c>
      <c r="I1230" s="6"/>
      <c r="J1230" s="6"/>
      <c r="K1230" s="6"/>
      <c r="L1230" s="6" t="str">
        <f t="shared" si="140"/>
        <v>Kathrin Walker</v>
      </c>
      <c r="M1230" s="6" t="str">
        <f t="shared" si="141"/>
        <v>I, Robot (Smith, Moynahan)</v>
      </c>
      <c r="N1230" s="9">
        <f t="shared" si="142"/>
        <v>5</v>
      </c>
      <c r="P1230" t="str">
        <f t="shared" si="136"/>
        <v>"Kathrin Walker";"I, Robot";"5"</v>
      </c>
      <c r="U1230" t="str">
        <f t="shared" si="137"/>
        <v>Kathrin Walker</v>
      </c>
      <c r="V1230" t="str">
        <f t="shared" si="138"/>
        <v>I, Robot</v>
      </c>
      <c r="W1230">
        <f t="shared" si="139"/>
        <v>1</v>
      </c>
    </row>
    <row r="1231" spans="1:23" x14ac:dyDescent="0.2">
      <c r="A1231" s="6" t="s">
        <v>40</v>
      </c>
      <c r="B1231" s="6">
        <v>1967</v>
      </c>
      <c r="C1231" s="6"/>
      <c r="D1231" s="6" t="s">
        <v>88</v>
      </c>
      <c r="E1231" s="6" t="s">
        <v>3</v>
      </c>
      <c r="F1231" s="6">
        <v>0</v>
      </c>
      <c r="G1231" s="6"/>
      <c r="H1231" s="6">
        <v>0</v>
      </c>
      <c r="I1231" s="6"/>
      <c r="J1231" s="6"/>
      <c r="K1231" s="6"/>
      <c r="L1231" s="6" t="str">
        <f t="shared" si="140"/>
        <v>Kathrin Walker</v>
      </c>
      <c r="M1231" s="6" t="str">
        <f t="shared" si="141"/>
        <v>In The Heat Of The Night (Poitier, Steiger)</v>
      </c>
      <c r="N1231" s="9">
        <f t="shared" si="142"/>
        <v>0</v>
      </c>
      <c r="P1231" t="str">
        <f t="shared" si="136"/>
        <v>"Kathrin Walker";"In The Heat Of The Night";"0"</v>
      </c>
      <c r="U1231" t="str">
        <f t="shared" si="137"/>
        <v>Kathrin Walker</v>
      </c>
      <c r="V1231" t="str">
        <f t="shared" si="138"/>
        <v>In The Heat Of The Night</v>
      </c>
      <c r="W1231">
        <f t="shared" si="139"/>
        <v>0</v>
      </c>
    </row>
    <row r="1232" spans="1:23" x14ac:dyDescent="0.2">
      <c r="A1232" s="6" t="s">
        <v>41</v>
      </c>
      <c r="B1232" s="6">
        <v>2014</v>
      </c>
      <c r="C1232" s="6"/>
      <c r="D1232" s="6" t="s">
        <v>88</v>
      </c>
      <c r="E1232" s="6" t="s">
        <v>3</v>
      </c>
      <c r="F1232" s="6">
        <v>0</v>
      </c>
      <c r="G1232" s="6"/>
      <c r="H1232" s="6">
        <v>0</v>
      </c>
      <c r="I1232" s="6"/>
      <c r="J1232" s="6"/>
      <c r="K1232" s="6"/>
      <c r="L1232" s="6" t="str">
        <f t="shared" si="140"/>
        <v>Kathrin Walker</v>
      </c>
      <c r="M1232" s="6" t="str">
        <f t="shared" si="141"/>
        <v>Jack Ryan: Shadow Recruite (Pine, Costner)</v>
      </c>
      <c r="N1232" s="9">
        <f t="shared" si="142"/>
        <v>0</v>
      </c>
      <c r="P1232" t="str">
        <f t="shared" si="136"/>
        <v>"Kathrin Walker";"Jack Ryan: Shadow Recruite";"0"</v>
      </c>
      <c r="U1232" t="str">
        <f t="shared" si="137"/>
        <v>Kathrin Walker</v>
      </c>
      <c r="V1232" t="str">
        <f t="shared" si="138"/>
        <v>Jack Ryan: Shadow Recruite</v>
      </c>
      <c r="W1232">
        <f t="shared" si="139"/>
        <v>0</v>
      </c>
    </row>
    <row r="1233" spans="1:23" x14ac:dyDescent="0.2">
      <c r="A1233" s="6" t="s">
        <v>42</v>
      </c>
      <c r="B1233" s="6">
        <v>1995</v>
      </c>
      <c r="C1233" s="6"/>
      <c r="D1233" s="6" t="s">
        <v>88</v>
      </c>
      <c r="E1233" s="6" t="s">
        <v>3</v>
      </c>
      <c r="F1233" s="6">
        <v>0</v>
      </c>
      <c r="G1233" s="6"/>
      <c r="H1233" s="6">
        <v>0</v>
      </c>
      <c r="I1233" s="6"/>
      <c r="J1233" s="6"/>
      <c r="K1233" s="6"/>
      <c r="L1233" s="6" t="str">
        <f t="shared" si="140"/>
        <v>Kathrin Walker</v>
      </c>
      <c r="M1233" s="6" t="str">
        <f t="shared" si="141"/>
        <v>Jumanji (Williams, Dunst)</v>
      </c>
      <c r="N1233" s="9">
        <f t="shared" si="142"/>
        <v>0</v>
      </c>
      <c r="P1233" t="str">
        <f t="shared" si="136"/>
        <v>"Kathrin Walker";"Jumanji";"0"</v>
      </c>
      <c r="U1233" t="str">
        <f t="shared" si="137"/>
        <v>Kathrin Walker</v>
      </c>
      <c r="V1233" t="str">
        <f t="shared" si="138"/>
        <v>Jumanji</v>
      </c>
      <c r="W1233">
        <f t="shared" si="139"/>
        <v>0</v>
      </c>
    </row>
    <row r="1234" spans="1:23" x14ac:dyDescent="0.2">
      <c r="A1234" s="6" t="s">
        <v>43</v>
      </c>
      <c r="B1234" s="6">
        <v>2005</v>
      </c>
      <c r="C1234" s="6"/>
      <c r="D1234" s="6" t="s">
        <v>88</v>
      </c>
      <c r="E1234" s="6" t="s">
        <v>3</v>
      </c>
      <c r="F1234" s="6">
        <v>0</v>
      </c>
      <c r="G1234" s="6"/>
      <c r="H1234" s="6">
        <v>0</v>
      </c>
      <c r="I1234" s="6"/>
      <c r="J1234" s="6"/>
      <c r="K1234" s="6"/>
      <c r="L1234" s="6" t="str">
        <f t="shared" si="140"/>
        <v>Kathrin Walker</v>
      </c>
      <c r="M1234" s="6" t="str">
        <f t="shared" si="141"/>
        <v>King Kong (Watts, Black)</v>
      </c>
      <c r="N1234" s="9">
        <f t="shared" si="142"/>
        <v>0</v>
      </c>
      <c r="P1234" t="str">
        <f t="shared" si="136"/>
        <v>"Kathrin Walker";"King Kong";"0"</v>
      </c>
      <c r="U1234" t="str">
        <f t="shared" si="137"/>
        <v>Kathrin Walker</v>
      </c>
      <c r="V1234" t="str">
        <f t="shared" si="138"/>
        <v>King Kong</v>
      </c>
      <c r="W1234">
        <f t="shared" si="139"/>
        <v>0</v>
      </c>
    </row>
    <row r="1235" spans="1:23" x14ac:dyDescent="0.2">
      <c r="A1235" s="6" t="s">
        <v>44</v>
      </c>
      <c r="B1235" s="6">
        <v>2016</v>
      </c>
      <c r="C1235" s="6"/>
      <c r="D1235" s="6" t="s">
        <v>88</v>
      </c>
      <c r="E1235" s="6" t="s">
        <v>3</v>
      </c>
      <c r="F1235" s="6">
        <v>0</v>
      </c>
      <c r="G1235" s="6"/>
      <c r="H1235" s="6">
        <v>0</v>
      </c>
      <c r="I1235" s="6"/>
      <c r="J1235" s="6"/>
      <c r="K1235" s="6"/>
      <c r="L1235" s="6" t="str">
        <f t="shared" si="140"/>
        <v>Kathrin Walker</v>
      </c>
      <c r="M1235" s="6" t="str">
        <f t="shared" si="141"/>
        <v>La La Land (Gosling, Stone)</v>
      </c>
      <c r="N1235" s="9">
        <f t="shared" si="142"/>
        <v>0</v>
      </c>
      <c r="P1235" t="str">
        <f t="shared" si="136"/>
        <v>"Kathrin Walker";"La La Land";"0"</v>
      </c>
      <c r="U1235" t="str">
        <f t="shared" si="137"/>
        <v>Kathrin Walker</v>
      </c>
      <c r="V1235" t="str">
        <f t="shared" si="138"/>
        <v>La La Land</v>
      </c>
      <c r="W1235">
        <f t="shared" si="139"/>
        <v>0</v>
      </c>
    </row>
    <row r="1236" spans="1:23" x14ac:dyDescent="0.2">
      <c r="A1236" s="6" t="s">
        <v>45</v>
      </c>
      <c r="B1236" s="6">
        <v>2001</v>
      </c>
      <c r="C1236" s="6"/>
      <c r="D1236" s="6" t="s">
        <v>88</v>
      </c>
      <c r="E1236" s="6" t="s">
        <v>2</v>
      </c>
      <c r="F1236" s="6">
        <v>1</v>
      </c>
      <c r="G1236" s="6">
        <v>5</v>
      </c>
      <c r="H1236" s="6">
        <v>5</v>
      </c>
      <c r="I1236" s="6"/>
      <c r="J1236" s="6"/>
      <c r="K1236" s="6"/>
      <c r="L1236" s="6" t="str">
        <f t="shared" si="140"/>
        <v>Kathrin Walker</v>
      </c>
      <c r="M1236" s="6" t="str">
        <f t="shared" si="141"/>
        <v>Lord of the Rings (Woods, McKellen)</v>
      </c>
      <c r="N1236" s="9">
        <f t="shared" si="142"/>
        <v>5</v>
      </c>
      <c r="P1236" t="str">
        <f t="shared" si="136"/>
        <v>"Kathrin Walker";"Lord of the Rings";"5"</v>
      </c>
      <c r="U1236" t="str">
        <f t="shared" si="137"/>
        <v>Kathrin Walker</v>
      </c>
      <c r="V1236" t="str">
        <f t="shared" si="138"/>
        <v>Lord of the Rings</v>
      </c>
      <c r="W1236">
        <f t="shared" si="139"/>
        <v>1</v>
      </c>
    </row>
    <row r="1237" spans="1:23" x14ac:dyDescent="0.2">
      <c r="A1237" s="6" t="s">
        <v>46</v>
      </c>
      <c r="B1237" s="6">
        <v>1964</v>
      </c>
      <c r="C1237" s="6"/>
      <c r="D1237" s="6" t="s">
        <v>88</v>
      </c>
      <c r="E1237" s="6" t="s">
        <v>3</v>
      </c>
      <c r="F1237" s="6">
        <v>0</v>
      </c>
      <c r="G1237" s="6"/>
      <c r="H1237" s="6">
        <v>0</v>
      </c>
      <c r="I1237" s="6"/>
      <c r="J1237" s="6"/>
      <c r="K1237" s="6"/>
      <c r="L1237" s="6" t="str">
        <f t="shared" si="140"/>
        <v>Kathrin Walker</v>
      </c>
      <c r="M1237" s="6" t="str">
        <f t="shared" si="141"/>
        <v>Per Un Pugno Di Dollari (Eastwood, Koch)</v>
      </c>
      <c r="N1237" s="9">
        <f t="shared" si="142"/>
        <v>0</v>
      </c>
      <c r="P1237" t="str">
        <f t="shared" si="136"/>
        <v>"Kathrin Walker";"Per Un Pugno Di Dollari";"0"</v>
      </c>
      <c r="U1237" t="str">
        <f t="shared" si="137"/>
        <v>Kathrin Walker</v>
      </c>
      <c r="V1237" t="str">
        <f t="shared" si="138"/>
        <v>Per Un Pugno Di Dollari</v>
      </c>
      <c r="W1237">
        <f t="shared" si="139"/>
        <v>0</v>
      </c>
    </row>
    <row r="1238" spans="1:23" x14ac:dyDescent="0.2">
      <c r="A1238" s="6" t="s">
        <v>47</v>
      </c>
      <c r="B1238" s="6">
        <v>1954</v>
      </c>
      <c r="C1238" s="6"/>
      <c r="D1238" s="6" t="s">
        <v>88</v>
      </c>
      <c r="E1238" s="6" t="s">
        <v>3</v>
      </c>
      <c r="F1238" s="6">
        <v>0</v>
      </c>
      <c r="G1238" s="6"/>
      <c r="H1238" s="6">
        <v>0</v>
      </c>
      <c r="I1238" s="6"/>
      <c r="J1238" s="6"/>
      <c r="K1238" s="6"/>
      <c r="L1238" s="6" t="str">
        <f t="shared" si="140"/>
        <v>Kathrin Walker</v>
      </c>
      <c r="M1238" s="6" t="str">
        <f t="shared" si="141"/>
        <v>Rear Window (Stewart, Kelly)</v>
      </c>
      <c r="N1238" s="9">
        <f t="shared" si="142"/>
        <v>0</v>
      </c>
      <c r="P1238" t="str">
        <f t="shared" si="136"/>
        <v>"Kathrin Walker";"Rear Window";"0"</v>
      </c>
      <c r="U1238" t="str">
        <f t="shared" si="137"/>
        <v>Kathrin Walker</v>
      </c>
      <c r="V1238" t="str">
        <f t="shared" si="138"/>
        <v>Rear Window</v>
      </c>
      <c r="W1238">
        <f t="shared" si="139"/>
        <v>0</v>
      </c>
    </row>
    <row r="1239" spans="1:23" x14ac:dyDescent="0.2">
      <c r="A1239" s="6" t="s">
        <v>48</v>
      </c>
      <c r="B1239" s="6">
        <v>1955</v>
      </c>
      <c r="C1239" s="6"/>
      <c r="D1239" s="6" t="s">
        <v>88</v>
      </c>
      <c r="E1239" s="6" t="s">
        <v>3</v>
      </c>
      <c r="F1239" s="6">
        <v>0</v>
      </c>
      <c r="G1239" s="6"/>
      <c r="H1239" s="6">
        <v>0</v>
      </c>
      <c r="I1239" s="6"/>
      <c r="J1239" s="6"/>
      <c r="K1239" s="6"/>
      <c r="L1239" s="6" t="str">
        <f t="shared" si="140"/>
        <v>Kathrin Walker</v>
      </c>
      <c r="M1239" s="6" t="str">
        <f t="shared" si="141"/>
        <v>Rebel Without A Cause (Dean, Wood)</v>
      </c>
      <c r="N1239" s="9">
        <f t="shared" si="142"/>
        <v>0</v>
      </c>
      <c r="P1239" t="str">
        <f t="shared" si="136"/>
        <v>"Kathrin Walker";"Rebel Without A Cause";"0"</v>
      </c>
      <c r="U1239" t="str">
        <f t="shared" si="137"/>
        <v>Kathrin Walker</v>
      </c>
      <c r="V1239" t="str">
        <f t="shared" si="138"/>
        <v>Rebel Without A Cause</v>
      </c>
      <c r="W1239">
        <f t="shared" si="139"/>
        <v>0</v>
      </c>
    </row>
    <row r="1240" spans="1:23" x14ac:dyDescent="0.2">
      <c r="A1240" s="6" t="s">
        <v>66</v>
      </c>
      <c r="B1240" s="6">
        <v>2005</v>
      </c>
      <c r="C1240" s="6"/>
      <c r="D1240" s="6" t="s">
        <v>88</v>
      </c>
      <c r="E1240" s="6" t="s">
        <v>3</v>
      </c>
      <c r="F1240" s="6">
        <v>0</v>
      </c>
      <c r="G1240" s="6"/>
      <c r="H1240" s="6">
        <v>0</v>
      </c>
      <c r="I1240" s="6"/>
      <c r="J1240" s="6"/>
      <c r="K1240" s="6"/>
      <c r="L1240" s="6" t="str">
        <f t="shared" si="140"/>
        <v>Kathrin Walker</v>
      </c>
      <c r="M1240" s="6" t="str">
        <f t="shared" si="141"/>
        <v>Rumor has it (Aniston, Costner)</v>
      </c>
      <c r="N1240" s="9">
        <f t="shared" si="142"/>
        <v>0</v>
      </c>
      <c r="P1240" t="str">
        <f t="shared" si="136"/>
        <v>"Kathrin Walker";"Rumor has it";"0"</v>
      </c>
      <c r="U1240" t="str">
        <f t="shared" si="137"/>
        <v>Kathrin Walker</v>
      </c>
      <c r="V1240" t="str">
        <f t="shared" si="138"/>
        <v>Rumor has it</v>
      </c>
      <c r="W1240">
        <f t="shared" si="139"/>
        <v>0</v>
      </c>
    </row>
    <row r="1241" spans="1:23" x14ac:dyDescent="0.2">
      <c r="A1241" s="6" t="s">
        <v>49</v>
      </c>
      <c r="B1241" s="6">
        <v>1998</v>
      </c>
      <c r="C1241" s="6"/>
      <c r="D1241" s="6" t="s">
        <v>88</v>
      </c>
      <c r="E1241" s="6" t="s">
        <v>2</v>
      </c>
      <c r="F1241" s="6">
        <v>1</v>
      </c>
      <c r="G1241" s="6">
        <v>3</v>
      </c>
      <c r="H1241" s="6">
        <v>3</v>
      </c>
      <c r="I1241" s="6"/>
      <c r="J1241" s="6"/>
      <c r="K1241" s="6"/>
      <c r="L1241" s="6" t="str">
        <f t="shared" si="140"/>
        <v>Kathrin Walker</v>
      </c>
      <c r="M1241" s="6" t="str">
        <f t="shared" si="141"/>
        <v>Saving private Ryan (Hanks, Damon)</v>
      </c>
      <c r="N1241" s="9">
        <f t="shared" si="142"/>
        <v>3</v>
      </c>
      <c r="P1241" t="str">
        <f t="shared" si="136"/>
        <v>"Kathrin Walker";"Saving private Ryan";"3"</v>
      </c>
      <c r="U1241" t="str">
        <f t="shared" si="137"/>
        <v>Kathrin Walker</v>
      </c>
      <c r="V1241" t="str">
        <f t="shared" si="138"/>
        <v>Saving private Ryan</v>
      </c>
      <c r="W1241">
        <f t="shared" si="139"/>
        <v>1</v>
      </c>
    </row>
    <row r="1242" spans="1:23" x14ac:dyDescent="0.2">
      <c r="A1242" s="6" t="s">
        <v>50</v>
      </c>
      <c r="B1242" s="6">
        <v>1993</v>
      </c>
      <c r="C1242" s="6"/>
      <c r="D1242" s="6" t="s">
        <v>88</v>
      </c>
      <c r="E1242" s="6" t="s">
        <v>3</v>
      </c>
      <c r="F1242" s="6">
        <v>0</v>
      </c>
      <c r="G1242" s="6"/>
      <c r="H1242" s="6">
        <v>0</v>
      </c>
      <c r="I1242" s="6"/>
      <c r="J1242" s="6"/>
      <c r="K1242" s="6"/>
      <c r="L1242" s="6" t="str">
        <f t="shared" si="140"/>
        <v>Kathrin Walker</v>
      </c>
      <c r="M1242" s="6" t="str">
        <f t="shared" si="141"/>
        <v>Schindlers List (Neeson, Fiennes)</v>
      </c>
      <c r="N1242" s="9">
        <f t="shared" si="142"/>
        <v>0</v>
      </c>
      <c r="P1242" t="str">
        <f t="shared" si="136"/>
        <v>"Kathrin Walker";"Schindlers List";"0"</v>
      </c>
      <c r="U1242" t="str">
        <f t="shared" si="137"/>
        <v>Kathrin Walker</v>
      </c>
      <c r="V1242" t="str">
        <f t="shared" si="138"/>
        <v>Schindlers List</v>
      </c>
      <c r="W1242">
        <f t="shared" si="139"/>
        <v>0</v>
      </c>
    </row>
    <row r="1243" spans="1:23" x14ac:dyDescent="0.2">
      <c r="A1243" s="6" t="s">
        <v>51</v>
      </c>
      <c r="B1243" s="6">
        <v>1996</v>
      </c>
      <c r="C1243" s="6"/>
      <c r="D1243" s="6" t="s">
        <v>88</v>
      </c>
      <c r="E1243" s="6" t="s">
        <v>3</v>
      </c>
      <c r="F1243" s="6">
        <v>0</v>
      </c>
      <c r="G1243" s="6"/>
      <c r="H1243" s="6">
        <v>0</v>
      </c>
      <c r="I1243" s="6"/>
      <c r="J1243" s="6"/>
      <c r="K1243" s="6"/>
      <c r="L1243" s="6" t="str">
        <f t="shared" si="140"/>
        <v>Kathrin Walker</v>
      </c>
      <c r="M1243" s="6" t="str">
        <f t="shared" si="141"/>
        <v>Scream (Arquette, Campell)</v>
      </c>
      <c r="N1243" s="9">
        <f t="shared" si="142"/>
        <v>0</v>
      </c>
      <c r="P1243" t="str">
        <f t="shared" si="136"/>
        <v>"Kathrin Walker";"Scream";"0"</v>
      </c>
      <c r="U1243" t="str">
        <f t="shared" si="137"/>
        <v>Kathrin Walker</v>
      </c>
      <c r="V1243" t="str">
        <f t="shared" si="138"/>
        <v>Scream</v>
      </c>
      <c r="W1243">
        <f t="shared" si="139"/>
        <v>0</v>
      </c>
    </row>
    <row r="1244" spans="1:23" x14ac:dyDescent="0.2">
      <c r="A1244" s="6" t="s">
        <v>52</v>
      </c>
      <c r="B1244" s="6">
        <v>1977</v>
      </c>
      <c r="C1244" s="6"/>
      <c r="D1244" s="6" t="s">
        <v>88</v>
      </c>
      <c r="E1244" s="6" t="s">
        <v>2</v>
      </c>
      <c r="F1244" s="6">
        <v>1</v>
      </c>
      <c r="G1244" s="6">
        <v>5</v>
      </c>
      <c r="H1244" s="6">
        <v>5</v>
      </c>
      <c r="I1244" s="6"/>
      <c r="J1244" s="6"/>
      <c r="K1244" s="6"/>
      <c r="L1244" s="6" t="str">
        <f t="shared" si="140"/>
        <v>Kathrin Walker</v>
      </c>
      <c r="M1244" s="6" t="str">
        <f t="shared" si="141"/>
        <v>Star Wars IV: A new hope (Hamill, Ford)</v>
      </c>
      <c r="N1244" s="9">
        <f t="shared" si="142"/>
        <v>5</v>
      </c>
      <c r="P1244" t="str">
        <f t="shared" si="136"/>
        <v>"Kathrin Walker";"Star Wars IV: A new hope";"5"</v>
      </c>
      <c r="U1244" t="str">
        <f t="shared" si="137"/>
        <v>Kathrin Walker</v>
      </c>
      <c r="V1244" t="str">
        <f t="shared" si="138"/>
        <v>Star Wars IV: A new hope</v>
      </c>
      <c r="W1244">
        <f t="shared" si="139"/>
        <v>1</v>
      </c>
    </row>
    <row r="1245" spans="1:23" x14ac:dyDescent="0.2">
      <c r="A1245" s="6" t="s">
        <v>53</v>
      </c>
      <c r="B1245" s="6">
        <v>2016</v>
      </c>
      <c r="C1245" s="6"/>
      <c r="D1245" s="6" t="s">
        <v>88</v>
      </c>
      <c r="E1245" s="6" t="s">
        <v>2</v>
      </c>
      <c r="F1245" s="6">
        <v>1</v>
      </c>
      <c r="G1245" s="6">
        <v>1</v>
      </c>
      <c r="H1245" s="6">
        <v>1</v>
      </c>
      <c r="I1245" s="6"/>
      <c r="J1245" s="6"/>
      <c r="K1245" s="6"/>
      <c r="L1245" s="6" t="str">
        <f t="shared" si="140"/>
        <v>Kathrin Walker</v>
      </c>
      <c r="M1245" s="6" t="str">
        <f t="shared" si="141"/>
        <v>Suicide Squad (Smith, Robbie)</v>
      </c>
      <c r="N1245" s="9">
        <f t="shared" si="142"/>
        <v>1</v>
      </c>
      <c r="P1245" t="str">
        <f t="shared" si="136"/>
        <v>"Kathrin Walker";"Suicide Squad";"1"</v>
      </c>
      <c r="U1245" t="str">
        <f t="shared" si="137"/>
        <v>Kathrin Walker</v>
      </c>
      <c r="V1245" t="str">
        <f t="shared" si="138"/>
        <v>Suicide Squad</v>
      </c>
      <c r="W1245">
        <f t="shared" si="139"/>
        <v>1</v>
      </c>
    </row>
    <row r="1246" spans="1:23" x14ac:dyDescent="0.2">
      <c r="A1246" s="6" t="s">
        <v>54</v>
      </c>
      <c r="B1246" s="6">
        <v>2010</v>
      </c>
      <c r="C1246" s="6"/>
      <c r="D1246" s="6" t="s">
        <v>88</v>
      </c>
      <c r="E1246" s="6" t="s">
        <v>2</v>
      </c>
      <c r="F1246" s="6">
        <v>1</v>
      </c>
      <c r="G1246" s="6">
        <v>3</v>
      </c>
      <c r="H1246" s="6">
        <v>3</v>
      </c>
      <c r="I1246" s="6"/>
      <c r="J1246" s="6"/>
      <c r="K1246" s="6"/>
      <c r="L1246" s="6" t="str">
        <f t="shared" si="140"/>
        <v>Kathrin Walker</v>
      </c>
      <c r="M1246" s="6" t="str">
        <f t="shared" si="141"/>
        <v>Tangled (Disney)</v>
      </c>
      <c r="N1246" s="9">
        <f t="shared" si="142"/>
        <v>3</v>
      </c>
      <c r="P1246" t="str">
        <f t="shared" si="136"/>
        <v>"Kathrin Walker";"Tangled";"3"</v>
      </c>
      <c r="U1246" t="str">
        <f t="shared" si="137"/>
        <v>Kathrin Walker</v>
      </c>
      <c r="V1246" t="str">
        <f t="shared" si="138"/>
        <v>Tangled</v>
      </c>
      <c r="W1246">
        <f t="shared" si="139"/>
        <v>1</v>
      </c>
    </row>
    <row r="1247" spans="1:23" x14ac:dyDescent="0.2">
      <c r="A1247" s="6" t="s">
        <v>55</v>
      </c>
      <c r="B1247" s="6">
        <v>2012</v>
      </c>
      <c r="C1247" s="6"/>
      <c r="D1247" s="6" t="s">
        <v>88</v>
      </c>
      <c r="E1247" s="6" t="s">
        <v>2</v>
      </c>
      <c r="F1247" s="6">
        <v>1</v>
      </c>
      <c r="G1247" s="6">
        <v>5</v>
      </c>
      <c r="H1247" s="6">
        <v>5</v>
      </c>
      <c r="I1247" s="6"/>
      <c r="J1247" s="6"/>
      <c r="K1247" s="6"/>
      <c r="L1247" s="6" t="str">
        <f t="shared" si="140"/>
        <v>Kathrin Walker</v>
      </c>
      <c r="M1247" s="6" t="str">
        <f t="shared" si="141"/>
        <v>The Avengers (Downey Jr. Evans)</v>
      </c>
      <c r="N1247" s="9">
        <f t="shared" si="142"/>
        <v>5</v>
      </c>
      <c r="P1247" t="str">
        <f t="shared" si="136"/>
        <v>"Kathrin Walker";"The Avengers";"5"</v>
      </c>
      <c r="U1247" t="str">
        <f t="shared" si="137"/>
        <v>Kathrin Walker</v>
      </c>
      <c r="V1247" t="str">
        <f t="shared" si="138"/>
        <v>The Avengers</v>
      </c>
      <c r="W1247">
        <f t="shared" si="139"/>
        <v>1</v>
      </c>
    </row>
    <row r="1248" spans="1:23" x14ac:dyDescent="0.2">
      <c r="A1248" s="6" t="s">
        <v>56</v>
      </c>
      <c r="B1248" s="6">
        <v>1973</v>
      </c>
      <c r="C1248" s="6"/>
      <c r="D1248" s="6" t="s">
        <v>88</v>
      </c>
      <c r="E1248" s="6" t="s">
        <v>3</v>
      </c>
      <c r="F1248" s="6">
        <v>0</v>
      </c>
      <c r="G1248" s="6"/>
      <c r="H1248" s="6">
        <v>0</v>
      </c>
      <c r="I1248" s="6"/>
      <c r="J1248" s="6"/>
      <c r="K1248" s="6"/>
      <c r="L1248" s="6" t="str">
        <f t="shared" si="140"/>
        <v>Kathrin Walker</v>
      </c>
      <c r="M1248" s="6" t="str">
        <f t="shared" si="141"/>
        <v>The Exorcist (von Sydow, Blair)</v>
      </c>
      <c r="N1248" s="9">
        <f t="shared" si="142"/>
        <v>0</v>
      </c>
      <c r="P1248" t="str">
        <f t="shared" si="136"/>
        <v>"Kathrin Walker";"The Exorcist";"0"</v>
      </c>
      <c r="U1248" t="str">
        <f t="shared" si="137"/>
        <v>Kathrin Walker</v>
      </c>
      <c r="V1248" t="str">
        <f t="shared" si="138"/>
        <v>The Exorcist</v>
      </c>
      <c r="W1248">
        <f t="shared" si="139"/>
        <v>0</v>
      </c>
    </row>
    <row r="1249" spans="1:23" x14ac:dyDescent="0.2">
      <c r="A1249" s="6" t="s">
        <v>57</v>
      </c>
      <c r="B1249" s="6">
        <v>1972</v>
      </c>
      <c r="C1249" s="6"/>
      <c r="D1249" s="6" t="s">
        <v>88</v>
      </c>
      <c r="E1249" s="6" t="s">
        <v>3</v>
      </c>
      <c r="F1249" s="6">
        <v>0</v>
      </c>
      <c r="G1249" s="6"/>
      <c r="H1249" s="6">
        <v>0</v>
      </c>
      <c r="I1249" s="6"/>
      <c r="J1249" s="6"/>
      <c r="K1249" s="6"/>
      <c r="L1249" s="6" t="str">
        <f t="shared" si="140"/>
        <v>Kathrin Walker</v>
      </c>
      <c r="M1249" s="6" t="str">
        <f t="shared" si="141"/>
        <v>The Godfather (Brando, Pacino)</v>
      </c>
      <c r="N1249" s="9">
        <f t="shared" si="142"/>
        <v>0</v>
      </c>
      <c r="P1249" t="str">
        <f t="shared" si="136"/>
        <v>"Kathrin Walker";"The Godfather";"0"</v>
      </c>
      <c r="U1249" t="str">
        <f t="shared" si="137"/>
        <v>Kathrin Walker</v>
      </c>
      <c r="V1249" t="str">
        <f t="shared" si="138"/>
        <v>The Godfather</v>
      </c>
      <c r="W1249">
        <f t="shared" si="139"/>
        <v>0</v>
      </c>
    </row>
    <row r="1250" spans="1:23" x14ac:dyDescent="0.2">
      <c r="A1250" s="6" t="s">
        <v>58</v>
      </c>
      <c r="B1250" s="6">
        <v>1994</v>
      </c>
      <c r="C1250" s="6"/>
      <c r="D1250" s="6" t="s">
        <v>88</v>
      </c>
      <c r="E1250" s="6" t="s">
        <v>2</v>
      </c>
      <c r="F1250" s="6">
        <v>1</v>
      </c>
      <c r="G1250" s="6">
        <v>5</v>
      </c>
      <c r="H1250" s="6">
        <v>5</v>
      </c>
      <c r="I1250" s="6"/>
      <c r="J1250" s="6"/>
      <c r="K1250" s="6"/>
      <c r="L1250" s="6" t="str">
        <f t="shared" si="140"/>
        <v>Kathrin Walker</v>
      </c>
      <c r="M1250" s="6" t="str">
        <f t="shared" si="141"/>
        <v>The Lion King (Disney)</v>
      </c>
      <c r="N1250" s="9">
        <f t="shared" si="142"/>
        <v>5</v>
      </c>
      <c r="P1250" t="str">
        <f t="shared" si="136"/>
        <v>"Kathrin Walker";"The Lion King";"5"</v>
      </c>
      <c r="U1250" t="str">
        <f t="shared" si="137"/>
        <v>Kathrin Walker</v>
      </c>
      <c r="V1250" t="str">
        <f t="shared" si="138"/>
        <v>The Lion King</v>
      </c>
      <c r="W1250">
        <f t="shared" si="139"/>
        <v>1</v>
      </c>
    </row>
    <row r="1251" spans="1:23" x14ac:dyDescent="0.2">
      <c r="A1251" s="6" t="s">
        <v>59</v>
      </c>
      <c r="B1251" s="6">
        <v>1999</v>
      </c>
      <c r="C1251" s="6"/>
      <c r="D1251" s="6" t="s">
        <v>88</v>
      </c>
      <c r="E1251" s="6" t="s">
        <v>2</v>
      </c>
      <c r="F1251" s="6">
        <v>1</v>
      </c>
      <c r="G1251" s="6">
        <v>1</v>
      </c>
      <c r="H1251" s="6">
        <v>1</v>
      </c>
      <c r="I1251" s="6"/>
      <c r="J1251" s="6"/>
      <c r="K1251" s="6"/>
      <c r="L1251" s="6" t="str">
        <f t="shared" si="140"/>
        <v>Kathrin Walker</v>
      </c>
      <c r="M1251" s="6" t="str">
        <f t="shared" si="141"/>
        <v>The Matrix (Reeves, Fishburn)</v>
      </c>
      <c r="N1251" s="9">
        <f t="shared" si="142"/>
        <v>1</v>
      </c>
      <c r="P1251" t="str">
        <f t="shared" si="136"/>
        <v>"Kathrin Walker";"The Matrix";"1"</v>
      </c>
      <c r="U1251" t="str">
        <f t="shared" si="137"/>
        <v>Kathrin Walker</v>
      </c>
      <c r="V1251" t="str">
        <f t="shared" si="138"/>
        <v>The Matrix</v>
      </c>
      <c r="W1251">
        <f t="shared" si="139"/>
        <v>1</v>
      </c>
    </row>
    <row r="1252" spans="1:23" x14ac:dyDescent="0.2">
      <c r="A1252" s="6" t="s">
        <v>60</v>
      </c>
      <c r="B1252" s="6">
        <v>1980</v>
      </c>
      <c r="C1252" s="6"/>
      <c r="D1252" s="6" t="s">
        <v>88</v>
      </c>
      <c r="E1252" s="6" t="s">
        <v>3</v>
      </c>
      <c r="F1252" s="6">
        <v>0</v>
      </c>
      <c r="G1252" s="6"/>
      <c r="H1252" s="6">
        <v>0</v>
      </c>
      <c r="I1252" s="6"/>
      <c r="J1252" s="6"/>
      <c r="K1252" s="6"/>
      <c r="L1252" s="6" t="str">
        <f t="shared" si="140"/>
        <v>Kathrin Walker</v>
      </c>
      <c r="M1252" s="6" t="str">
        <f t="shared" si="141"/>
        <v>The Shining (Nicholson, Duvall)</v>
      </c>
      <c r="N1252" s="9">
        <f t="shared" si="142"/>
        <v>0</v>
      </c>
      <c r="P1252" t="str">
        <f t="shared" si="136"/>
        <v>"Kathrin Walker";"The Shining";"0"</v>
      </c>
      <c r="U1252" t="str">
        <f t="shared" si="137"/>
        <v>Kathrin Walker</v>
      </c>
      <c r="V1252" t="str">
        <f t="shared" si="138"/>
        <v>The Shining</v>
      </c>
      <c r="W1252">
        <f t="shared" si="139"/>
        <v>0</v>
      </c>
    </row>
    <row r="1253" spans="1:23" x14ac:dyDescent="0.2">
      <c r="A1253" s="6" t="s">
        <v>61</v>
      </c>
      <c r="B1253" s="6">
        <v>1984</v>
      </c>
      <c r="C1253" s="6"/>
      <c r="D1253" s="6" t="s">
        <v>88</v>
      </c>
      <c r="E1253" s="6" t="s">
        <v>3</v>
      </c>
      <c r="F1253" s="6">
        <v>0</v>
      </c>
      <c r="G1253" s="6"/>
      <c r="H1253" s="6">
        <v>0</v>
      </c>
      <c r="I1253" s="6"/>
      <c r="J1253" s="6"/>
      <c r="K1253" s="6"/>
      <c r="L1253" s="6" t="str">
        <f t="shared" si="140"/>
        <v>Kathrin Walker</v>
      </c>
      <c r="M1253" s="6" t="str">
        <f t="shared" si="141"/>
        <v>The Terminator (Schwarzenegger, Hamilton)</v>
      </c>
      <c r="N1253" s="9">
        <f t="shared" si="142"/>
        <v>0</v>
      </c>
      <c r="P1253" t="str">
        <f t="shared" si="136"/>
        <v>"Kathrin Walker";"The Terminator";"0"</v>
      </c>
      <c r="U1253" t="str">
        <f t="shared" si="137"/>
        <v>Kathrin Walker</v>
      </c>
      <c r="V1253" t="str">
        <f t="shared" si="138"/>
        <v>The Terminator</v>
      </c>
      <c r="W1253">
        <f t="shared" si="139"/>
        <v>0</v>
      </c>
    </row>
    <row r="1254" spans="1:23" x14ac:dyDescent="0.2">
      <c r="A1254" s="6" t="s">
        <v>62</v>
      </c>
      <c r="B1254" s="6">
        <v>1986</v>
      </c>
      <c r="C1254" s="6"/>
      <c r="D1254" s="6" t="s">
        <v>88</v>
      </c>
      <c r="E1254" s="6" t="s">
        <v>2</v>
      </c>
      <c r="F1254" s="6">
        <v>1</v>
      </c>
      <c r="G1254" s="6">
        <v>1</v>
      </c>
      <c r="H1254" s="6">
        <v>1</v>
      </c>
      <c r="I1254" s="6"/>
      <c r="J1254" s="6"/>
      <c r="K1254" s="6"/>
      <c r="L1254" s="6" t="str">
        <f t="shared" si="140"/>
        <v>Kathrin Walker</v>
      </c>
      <c r="M1254" s="6" t="str">
        <f t="shared" si="141"/>
        <v>Top Gun (Cruise, McGillis)</v>
      </c>
      <c r="N1254" s="9">
        <f t="shared" si="142"/>
        <v>1</v>
      </c>
      <c r="P1254" t="str">
        <f t="shared" si="136"/>
        <v>"Kathrin Walker";"Top Gun";"1"</v>
      </c>
      <c r="U1254" t="str">
        <f t="shared" si="137"/>
        <v>Kathrin Walker</v>
      </c>
      <c r="V1254" t="str">
        <f t="shared" si="138"/>
        <v>Top Gun</v>
      </c>
      <c r="W1254">
        <f t="shared" si="139"/>
        <v>1</v>
      </c>
    </row>
    <row r="1255" spans="1:23" x14ac:dyDescent="0.2">
      <c r="A1255" s="6" t="s">
        <v>63</v>
      </c>
      <c r="B1255" s="6">
        <v>1995</v>
      </c>
      <c r="C1255" s="6"/>
      <c r="D1255" s="6" t="s">
        <v>88</v>
      </c>
      <c r="E1255" s="6" t="s">
        <v>2</v>
      </c>
      <c r="F1255" s="6">
        <v>1</v>
      </c>
      <c r="G1255" s="6">
        <v>5</v>
      </c>
      <c r="H1255" s="6">
        <v>5</v>
      </c>
      <c r="I1255" s="6"/>
      <c r="J1255" s="6"/>
      <c r="K1255" s="6"/>
      <c r="L1255" s="6" t="str">
        <f t="shared" si="140"/>
        <v>Kathrin Walker</v>
      </c>
      <c r="M1255" s="6" t="str">
        <f t="shared" si="141"/>
        <v>Toy Story (Pixar)</v>
      </c>
      <c r="N1255" s="9">
        <f t="shared" si="142"/>
        <v>5</v>
      </c>
      <c r="P1255" t="str">
        <f t="shared" si="136"/>
        <v>"Kathrin Walker";"Toy Story";"5"</v>
      </c>
      <c r="U1255" t="str">
        <f t="shared" si="137"/>
        <v>Kathrin Walker</v>
      </c>
      <c r="V1255" t="str">
        <f t="shared" si="138"/>
        <v>Toy Story</v>
      </c>
      <c r="W1255">
        <f t="shared" si="139"/>
        <v>1</v>
      </c>
    </row>
  </sheetData>
  <dataValidations count="3">
    <dataValidation allowBlank="1" showInputMessage="1" showErrorMessage="1" promptTitle="Enter your name here" prompt="Please enter your name here._x000a_It will be added to each film entry for you." sqref="D3" xr:uid="{54AE03D4-0D74-D54E-981A-0D1128DDD162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4D7C8C01-09D4-F245-AD3D-51068D32AD3B}">
      <formula1>0</formula1>
      <formula2>5</formula2>
    </dataValidation>
    <dataValidation type="list" allowBlank="1" showInputMessage="1" showErrorMessage="1" promptTitle="Have you seen the film?" sqref="E3:E59" xr:uid="{0341D4A1-1024-0B4D-912B-252FD2E065F5}">
      <formula1>$L$1:$L$2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65E8-D41D-2648-8F7B-F9721805B72D}">
  <dimension ref="A1:I59"/>
  <sheetViews>
    <sheetView workbookViewId="0">
      <selection activeCell="A3" sqref="A3:G59"/>
    </sheetView>
  </sheetViews>
  <sheetFormatPr baseColWidth="10" defaultRowHeight="16" x14ac:dyDescent="0.2"/>
  <cols>
    <col min="1" max="1" width="49" style="6" bestFit="1" customWidth="1"/>
    <col min="2" max="2" width="5.1640625" style="6" bestFit="1" customWidth="1"/>
    <col min="3" max="3" width="15.33203125" style="3" customWidth="1"/>
    <col min="4" max="4" width="6.5" style="3" customWidth="1"/>
    <col min="5" max="5" width="3.5" style="3" customWidth="1"/>
    <col min="6" max="7" width="5.1640625" style="4" customWidth="1"/>
    <col min="8" max="8" width="5" style="3" hidden="1" customWidth="1"/>
    <col min="9" max="9" width="4" style="3" hidden="1" customWidth="1"/>
    <col min="10" max="16384" width="10.83203125" style="3"/>
  </cols>
  <sheetData>
    <row r="1" spans="1:9" x14ac:dyDescent="0.2">
      <c r="A1" s="5" t="s">
        <v>64</v>
      </c>
      <c r="B1" s="5" t="s">
        <v>7</v>
      </c>
      <c r="C1" s="1" t="s">
        <v>0</v>
      </c>
      <c r="D1" s="1" t="s">
        <v>1</v>
      </c>
      <c r="E1" s="1"/>
      <c r="F1" s="2" t="s">
        <v>4</v>
      </c>
      <c r="H1" s="3" t="s">
        <v>5</v>
      </c>
      <c r="I1" s="3" t="s">
        <v>2</v>
      </c>
    </row>
    <row r="2" spans="1:9" x14ac:dyDescent="0.2">
      <c r="I2" s="3" t="s">
        <v>3</v>
      </c>
    </row>
    <row r="3" spans="1:9" ht="15" customHeight="1" x14ac:dyDescent="0.2">
      <c r="A3" s="7" t="s">
        <v>8</v>
      </c>
      <c r="B3" s="7">
        <v>1968</v>
      </c>
      <c r="C3" s="3" t="s">
        <v>6</v>
      </c>
      <c r="D3" s="3" t="s">
        <v>2</v>
      </c>
      <c r="E3" s="3">
        <f>IF(D3="Yes",1,0)</f>
        <v>1</v>
      </c>
      <c r="F3" s="4">
        <v>4.2</v>
      </c>
      <c r="G3" s="4">
        <f>E3*F3</f>
        <v>4.2</v>
      </c>
    </row>
    <row r="4" spans="1:9" x14ac:dyDescent="0.2">
      <c r="A4" s="7" t="s">
        <v>9</v>
      </c>
      <c r="B4" s="7">
        <v>1971</v>
      </c>
      <c r="C4" s="3" t="str">
        <f>IF(C$3="enter here","",C$3)</f>
        <v>wolf</v>
      </c>
      <c r="D4" s="3" t="s">
        <v>2</v>
      </c>
      <c r="E4" s="3">
        <f t="shared" ref="E4:E59" si="0">IF(D4="Yes",1,0)</f>
        <v>1</v>
      </c>
      <c r="F4" s="4">
        <v>4</v>
      </c>
      <c r="G4" s="4">
        <f t="shared" ref="G4:G59" si="1">E4*F4</f>
        <v>4</v>
      </c>
    </row>
    <row r="5" spans="1:9" x14ac:dyDescent="0.2">
      <c r="A5" s="6" t="s">
        <v>10</v>
      </c>
      <c r="B5" s="7">
        <v>2018</v>
      </c>
      <c r="C5" s="3" t="str">
        <f t="shared" ref="C5:C59" si="2">IF(C$3="enter here","",C$3)</f>
        <v>wolf</v>
      </c>
      <c r="D5" s="3" t="s">
        <v>3</v>
      </c>
      <c r="E5" s="3">
        <f t="shared" si="0"/>
        <v>0</v>
      </c>
      <c r="G5" s="4">
        <f t="shared" si="1"/>
        <v>0</v>
      </c>
    </row>
    <row r="6" spans="1:9" x14ac:dyDescent="0.2">
      <c r="A6" s="7" t="s">
        <v>11</v>
      </c>
      <c r="B6" s="7">
        <v>2005</v>
      </c>
      <c r="C6" s="3" t="str">
        <f t="shared" si="2"/>
        <v>wolf</v>
      </c>
      <c r="D6" s="3" t="s">
        <v>2</v>
      </c>
      <c r="E6" s="3">
        <f t="shared" si="0"/>
        <v>1</v>
      </c>
      <c r="F6" s="4">
        <v>4.5</v>
      </c>
      <c r="G6" s="4">
        <f t="shared" si="1"/>
        <v>4.5</v>
      </c>
    </row>
    <row r="7" spans="1:9" x14ac:dyDescent="0.2">
      <c r="A7" s="7" t="s">
        <v>12</v>
      </c>
      <c r="B7" s="7">
        <v>1951</v>
      </c>
      <c r="C7" s="3" t="str">
        <f t="shared" si="2"/>
        <v>wolf</v>
      </c>
      <c r="D7" s="3" t="s">
        <v>3</v>
      </c>
      <c r="E7" s="3">
        <f t="shared" si="0"/>
        <v>0</v>
      </c>
      <c r="G7" s="4">
        <f t="shared" si="1"/>
        <v>0</v>
      </c>
    </row>
    <row r="8" spans="1:9" x14ac:dyDescent="0.2">
      <c r="A8" s="6" t="s">
        <v>13</v>
      </c>
      <c r="B8" s="7">
        <v>1979</v>
      </c>
      <c r="C8" s="3" t="str">
        <f t="shared" si="2"/>
        <v>wolf</v>
      </c>
      <c r="D8" s="3" t="s">
        <v>2</v>
      </c>
      <c r="E8" s="3">
        <f t="shared" si="0"/>
        <v>1</v>
      </c>
      <c r="F8" s="4">
        <v>3.8</v>
      </c>
      <c r="G8" s="4">
        <f t="shared" si="1"/>
        <v>3.8</v>
      </c>
    </row>
    <row r="9" spans="1:9" x14ac:dyDescent="0.2">
      <c r="A9" s="7" t="s">
        <v>14</v>
      </c>
      <c r="B9" s="7">
        <v>1960</v>
      </c>
      <c r="C9" s="3" t="str">
        <f t="shared" si="2"/>
        <v>wolf</v>
      </c>
      <c r="D9" s="3" t="s">
        <v>2</v>
      </c>
      <c r="E9" s="3">
        <f t="shared" si="0"/>
        <v>1</v>
      </c>
      <c r="F9" s="4">
        <v>2</v>
      </c>
      <c r="G9" s="4">
        <f t="shared" si="1"/>
        <v>2</v>
      </c>
    </row>
    <row r="10" spans="1:9" x14ac:dyDescent="0.2">
      <c r="A10" s="6" t="s">
        <v>15</v>
      </c>
      <c r="B10" s="7">
        <v>1979</v>
      </c>
      <c r="C10" s="3" t="str">
        <f t="shared" si="2"/>
        <v>wolf</v>
      </c>
      <c r="D10" s="3" t="s">
        <v>2</v>
      </c>
      <c r="E10" s="3">
        <f t="shared" si="0"/>
        <v>1</v>
      </c>
      <c r="F10" s="4">
        <v>3.5</v>
      </c>
      <c r="G10" s="4">
        <f t="shared" si="1"/>
        <v>3.5</v>
      </c>
    </row>
    <row r="11" spans="1:9" x14ac:dyDescent="0.2">
      <c r="A11" s="7" t="s">
        <v>16</v>
      </c>
      <c r="B11" s="7">
        <v>1956</v>
      </c>
      <c r="C11" s="3" t="str">
        <f t="shared" si="2"/>
        <v>wolf</v>
      </c>
      <c r="D11" s="3" t="s">
        <v>2</v>
      </c>
      <c r="E11" s="3">
        <f t="shared" si="0"/>
        <v>1</v>
      </c>
      <c r="F11" s="4">
        <v>4.5</v>
      </c>
      <c r="G11" s="4">
        <f t="shared" si="1"/>
        <v>4.5</v>
      </c>
    </row>
    <row r="12" spans="1:9" x14ac:dyDescent="0.2">
      <c r="A12" s="6" t="s">
        <v>17</v>
      </c>
      <c r="B12" s="7">
        <v>2009</v>
      </c>
      <c r="C12" s="3" t="str">
        <f t="shared" si="2"/>
        <v>wolf</v>
      </c>
      <c r="D12" s="3" t="s">
        <v>2</v>
      </c>
      <c r="E12" s="3">
        <f t="shared" si="0"/>
        <v>1</v>
      </c>
      <c r="F12" s="4">
        <v>4.9000000000000004</v>
      </c>
      <c r="G12" s="4">
        <f t="shared" si="1"/>
        <v>4.9000000000000004</v>
      </c>
    </row>
    <row r="13" spans="1:9" x14ac:dyDescent="0.2">
      <c r="A13" s="6" t="s">
        <v>18</v>
      </c>
      <c r="B13" s="7">
        <v>1989</v>
      </c>
      <c r="C13" s="3" t="str">
        <f t="shared" si="2"/>
        <v>wolf</v>
      </c>
      <c r="D13" s="3" t="s">
        <v>2</v>
      </c>
      <c r="E13" s="3">
        <f t="shared" si="0"/>
        <v>1</v>
      </c>
      <c r="F13" s="4">
        <v>3.5</v>
      </c>
      <c r="G13" s="4">
        <f t="shared" si="1"/>
        <v>3.5</v>
      </c>
    </row>
    <row r="14" spans="1:9" x14ac:dyDescent="0.2">
      <c r="A14" s="6" t="s">
        <v>19</v>
      </c>
      <c r="B14" s="7">
        <v>1982</v>
      </c>
      <c r="C14" s="3" t="str">
        <f t="shared" si="2"/>
        <v>wolf</v>
      </c>
      <c r="D14" s="3" t="s">
        <v>2</v>
      </c>
      <c r="E14" s="3">
        <f t="shared" si="0"/>
        <v>1</v>
      </c>
      <c r="F14" s="4">
        <v>4.2</v>
      </c>
      <c r="G14" s="4">
        <f t="shared" si="1"/>
        <v>4.2</v>
      </c>
    </row>
    <row r="15" spans="1:9" x14ac:dyDescent="0.2">
      <c r="A15" s="6" t="s">
        <v>20</v>
      </c>
      <c r="B15" s="7">
        <v>2018</v>
      </c>
      <c r="C15" s="3" t="str">
        <f t="shared" si="2"/>
        <v>wolf</v>
      </c>
      <c r="D15" s="3" t="s">
        <v>3</v>
      </c>
      <c r="E15" s="3">
        <f t="shared" si="0"/>
        <v>0</v>
      </c>
      <c r="G15" s="4">
        <f t="shared" si="1"/>
        <v>0</v>
      </c>
    </row>
    <row r="16" spans="1:9" x14ac:dyDescent="0.2">
      <c r="A16" s="6" t="s">
        <v>21</v>
      </c>
      <c r="B16" s="7">
        <v>2011</v>
      </c>
      <c r="C16" s="3" t="str">
        <f t="shared" si="2"/>
        <v>wolf</v>
      </c>
      <c r="D16" s="3" t="s">
        <v>2</v>
      </c>
      <c r="E16" s="3">
        <f t="shared" si="0"/>
        <v>1</v>
      </c>
      <c r="F16" s="4">
        <v>3.7</v>
      </c>
      <c r="G16" s="4">
        <f t="shared" si="1"/>
        <v>3.7</v>
      </c>
    </row>
    <row r="17" spans="1:7" x14ac:dyDescent="0.2">
      <c r="A17" s="6" t="s">
        <v>22</v>
      </c>
      <c r="B17" s="7">
        <v>2000</v>
      </c>
      <c r="C17" s="3" t="str">
        <f t="shared" si="2"/>
        <v>wolf</v>
      </c>
      <c r="D17" s="3" t="s">
        <v>2</v>
      </c>
      <c r="E17" s="3">
        <f t="shared" si="0"/>
        <v>1</v>
      </c>
      <c r="F17" s="4">
        <v>4.3</v>
      </c>
      <c r="G17" s="4">
        <f t="shared" si="1"/>
        <v>4.3</v>
      </c>
    </row>
    <row r="18" spans="1:7" x14ac:dyDescent="0.2">
      <c r="A18" s="7" t="s">
        <v>23</v>
      </c>
      <c r="B18" s="7">
        <v>1958</v>
      </c>
      <c r="C18" s="3" t="str">
        <f t="shared" si="2"/>
        <v>wolf</v>
      </c>
      <c r="D18" s="3" t="s">
        <v>2</v>
      </c>
      <c r="E18" s="3">
        <f t="shared" si="0"/>
        <v>1</v>
      </c>
      <c r="F18" s="4">
        <v>4.2</v>
      </c>
      <c r="G18" s="4">
        <f t="shared" si="1"/>
        <v>4.2</v>
      </c>
    </row>
    <row r="19" spans="1:7" x14ac:dyDescent="0.2">
      <c r="A19" s="7" t="s">
        <v>24</v>
      </c>
      <c r="B19" s="7">
        <v>1963</v>
      </c>
      <c r="C19" s="3" t="str">
        <f t="shared" si="2"/>
        <v>wolf</v>
      </c>
      <c r="D19" s="3" t="s">
        <v>2</v>
      </c>
      <c r="E19" s="3">
        <f t="shared" si="0"/>
        <v>1</v>
      </c>
      <c r="F19" s="4">
        <v>4.2</v>
      </c>
      <c r="G19" s="4">
        <f t="shared" si="1"/>
        <v>4.2</v>
      </c>
    </row>
    <row r="20" spans="1:7" x14ac:dyDescent="0.2">
      <c r="A20" s="6" t="s">
        <v>25</v>
      </c>
      <c r="B20" s="7">
        <v>2000</v>
      </c>
      <c r="C20" s="3" t="str">
        <f t="shared" si="2"/>
        <v>wolf</v>
      </c>
      <c r="D20" s="3" t="s">
        <v>2</v>
      </c>
      <c r="E20" s="3">
        <f t="shared" si="0"/>
        <v>1</v>
      </c>
      <c r="F20" s="4">
        <v>2</v>
      </c>
      <c r="G20" s="4">
        <f t="shared" si="1"/>
        <v>2</v>
      </c>
    </row>
    <row r="21" spans="1:7" x14ac:dyDescent="0.2">
      <c r="A21" s="6" t="s">
        <v>26</v>
      </c>
      <c r="B21" s="7">
        <v>1974</v>
      </c>
      <c r="C21" s="3" t="str">
        <f t="shared" si="2"/>
        <v>wolf</v>
      </c>
      <c r="D21" s="3" t="s">
        <v>3</v>
      </c>
      <c r="E21" s="3">
        <f t="shared" si="0"/>
        <v>0</v>
      </c>
      <c r="G21" s="4">
        <f t="shared" si="1"/>
        <v>0</v>
      </c>
    </row>
    <row r="22" spans="1:7" x14ac:dyDescent="0.2">
      <c r="A22" s="7" t="s">
        <v>27</v>
      </c>
      <c r="B22" s="7">
        <v>1986</v>
      </c>
      <c r="C22" s="3" t="str">
        <f t="shared" si="2"/>
        <v>wolf</v>
      </c>
      <c r="D22" s="3" t="s">
        <v>2</v>
      </c>
      <c r="E22" s="3">
        <f t="shared" si="0"/>
        <v>1</v>
      </c>
      <c r="F22" s="4">
        <v>4.8</v>
      </c>
      <c r="G22" s="4">
        <f t="shared" si="1"/>
        <v>4.8</v>
      </c>
    </row>
    <row r="23" spans="1:7" x14ac:dyDescent="0.2">
      <c r="A23" s="7" t="s">
        <v>28</v>
      </c>
      <c r="B23" s="7">
        <v>2011</v>
      </c>
      <c r="C23" s="3" t="str">
        <f t="shared" si="2"/>
        <v>wolf</v>
      </c>
      <c r="D23" s="3" t="s">
        <v>2</v>
      </c>
      <c r="E23" s="3">
        <f t="shared" si="0"/>
        <v>1</v>
      </c>
      <c r="F23" s="4">
        <v>4.7</v>
      </c>
      <c r="G23" s="4">
        <f t="shared" si="1"/>
        <v>4.7</v>
      </c>
    </row>
    <row r="24" spans="1:7" x14ac:dyDescent="0.2">
      <c r="A24" s="7" t="s">
        <v>29</v>
      </c>
      <c r="B24" s="7">
        <v>1962</v>
      </c>
      <c r="C24" s="3" t="str">
        <f t="shared" si="2"/>
        <v>wolf</v>
      </c>
      <c r="D24" s="3" t="s">
        <v>2</v>
      </c>
      <c r="E24" s="3">
        <f t="shared" si="0"/>
        <v>1</v>
      </c>
      <c r="F24" s="4">
        <v>3.5</v>
      </c>
      <c r="G24" s="4">
        <f t="shared" si="1"/>
        <v>3.5</v>
      </c>
    </row>
    <row r="25" spans="1:7" x14ac:dyDescent="0.2">
      <c r="A25" s="7" t="s">
        <v>30</v>
      </c>
      <c r="B25" s="7">
        <v>1965</v>
      </c>
      <c r="C25" s="3" t="str">
        <f t="shared" si="2"/>
        <v>wolf</v>
      </c>
      <c r="D25" s="3" t="s">
        <v>3</v>
      </c>
      <c r="E25" s="3">
        <f t="shared" si="0"/>
        <v>0</v>
      </c>
      <c r="G25" s="4">
        <f t="shared" si="1"/>
        <v>0</v>
      </c>
    </row>
    <row r="26" spans="1:7" x14ac:dyDescent="0.2">
      <c r="A26" s="7" t="s">
        <v>31</v>
      </c>
      <c r="B26" s="7">
        <v>1964</v>
      </c>
      <c r="C26" s="3" t="str">
        <f t="shared" si="2"/>
        <v>wolf</v>
      </c>
      <c r="D26" s="3" t="s">
        <v>2</v>
      </c>
      <c r="E26" s="3">
        <f t="shared" si="0"/>
        <v>1</v>
      </c>
      <c r="F26" s="4">
        <v>3.5</v>
      </c>
      <c r="G26" s="4">
        <f t="shared" si="1"/>
        <v>3.5</v>
      </c>
    </row>
    <row r="27" spans="1:7" x14ac:dyDescent="0.2">
      <c r="A27" s="7" t="s">
        <v>32</v>
      </c>
      <c r="B27" s="7">
        <v>2000</v>
      </c>
      <c r="C27" s="3" t="str">
        <f t="shared" si="2"/>
        <v>wolf</v>
      </c>
      <c r="D27" s="3" t="s">
        <v>2</v>
      </c>
      <c r="E27" s="3">
        <f t="shared" si="0"/>
        <v>1</v>
      </c>
      <c r="F27" s="4">
        <v>3.5</v>
      </c>
      <c r="G27" s="4">
        <f t="shared" si="1"/>
        <v>3.5</v>
      </c>
    </row>
    <row r="28" spans="1:7" x14ac:dyDescent="0.2">
      <c r="A28" s="7" t="s">
        <v>33</v>
      </c>
      <c r="B28" s="7">
        <v>1953</v>
      </c>
      <c r="C28" s="3" t="str">
        <f t="shared" si="2"/>
        <v>wolf</v>
      </c>
      <c r="D28" s="3" t="s">
        <v>3</v>
      </c>
      <c r="E28" s="3">
        <f t="shared" si="0"/>
        <v>0</v>
      </c>
      <c r="G28" s="4">
        <f t="shared" si="1"/>
        <v>0</v>
      </c>
    </row>
    <row r="29" spans="1:7" x14ac:dyDescent="0.2">
      <c r="A29" s="7" t="s">
        <v>34</v>
      </c>
      <c r="B29" s="7">
        <v>2014</v>
      </c>
      <c r="C29" s="3" t="str">
        <f t="shared" si="2"/>
        <v>wolf</v>
      </c>
      <c r="D29" s="3" t="s">
        <v>3</v>
      </c>
      <c r="E29" s="3">
        <f t="shared" si="0"/>
        <v>0</v>
      </c>
      <c r="G29" s="4">
        <f t="shared" si="1"/>
        <v>0</v>
      </c>
    </row>
    <row r="30" spans="1:7" x14ac:dyDescent="0.2">
      <c r="A30" s="6" t="s">
        <v>35</v>
      </c>
      <c r="B30" s="7">
        <v>2001</v>
      </c>
      <c r="C30" s="3" t="str">
        <f t="shared" si="2"/>
        <v>wolf</v>
      </c>
      <c r="D30" s="3" t="s">
        <v>3</v>
      </c>
      <c r="E30" s="3">
        <f t="shared" si="0"/>
        <v>0</v>
      </c>
      <c r="G30" s="4">
        <f t="shared" si="1"/>
        <v>0</v>
      </c>
    </row>
    <row r="31" spans="1:7" x14ac:dyDescent="0.2">
      <c r="A31" s="7" t="s">
        <v>36</v>
      </c>
      <c r="B31" s="7">
        <v>1950</v>
      </c>
      <c r="C31" s="3" t="str">
        <f t="shared" si="2"/>
        <v>wolf</v>
      </c>
      <c r="D31" s="3" t="s">
        <v>2</v>
      </c>
      <c r="E31" s="3">
        <f t="shared" si="0"/>
        <v>1</v>
      </c>
      <c r="F31" s="4">
        <v>3.6</v>
      </c>
      <c r="G31" s="4">
        <f t="shared" si="1"/>
        <v>3.6</v>
      </c>
    </row>
    <row r="32" spans="1:7" x14ac:dyDescent="0.2">
      <c r="A32" s="7" t="s">
        <v>37</v>
      </c>
      <c r="B32" s="7">
        <v>1962</v>
      </c>
      <c r="C32" s="3" t="str">
        <f t="shared" si="2"/>
        <v>wolf</v>
      </c>
      <c r="D32" s="3" t="s">
        <v>2</v>
      </c>
      <c r="E32" s="3">
        <f t="shared" si="0"/>
        <v>1</v>
      </c>
      <c r="F32" s="4">
        <v>3.8</v>
      </c>
      <c r="G32" s="4">
        <f t="shared" si="1"/>
        <v>3.8</v>
      </c>
    </row>
    <row r="33" spans="1:7" x14ac:dyDescent="0.2">
      <c r="A33" s="6" t="s">
        <v>38</v>
      </c>
      <c r="B33" s="7">
        <v>1990</v>
      </c>
      <c r="C33" s="3" t="str">
        <f t="shared" si="2"/>
        <v>wolf</v>
      </c>
      <c r="D33" s="3" t="s">
        <v>2</v>
      </c>
      <c r="E33" s="3">
        <f t="shared" si="0"/>
        <v>1</v>
      </c>
      <c r="F33" s="4">
        <v>4</v>
      </c>
      <c r="G33" s="4">
        <f t="shared" si="1"/>
        <v>4</v>
      </c>
    </row>
    <row r="34" spans="1:7" x14ac:dyDescent="0.2">
      <c r="A34" s="7" t="s">
        <v>39</v>
      </c>
      <c r="B34" s="7">
        <v>2004</v>
      </c>
      <c r="C34" s="3" t="str">
        <f t="shared" si="2"/>
        <v>wolf</v>
      </c>
      <c r="D34" s="3" t="s">
        <v>2</v>
      </c>
      <c r="E34" s="3">
        <f t="shared" si="0"/>
        <v>1</v>
      </c>
      <c r="F34" s="4">
        <v>4.5</v>
      </c>
      <c r="G34" s="4">
        <f t="shared" si="1"/>
        <v>4.5</v>
      </c>
    </row>
    <row r="35" spans="1:7" x14ac:dyDescent="0.2">
      <c r="A35" s="7" t="s">
        <v>40</v>
      </c>
      <c r="B35" s="7">
        <v>1967</v>
      </c>
      <c r="C35" s="3" t="str">
        <f t="shared" si="2"/>
        <v>wolf</v>
      </c>
      <c r="D35" s="3" t="s">
        <v>2</v>
      </c>
      <c r="E35" s="3">
        <f t="shared" si="0"/>
        <v>1</v>
      </c>
      <c r="F35" s="4">
        <v>4.0999999999999996</v>
      </c>
      <c r="G35" s="4">
        <f t="shared" si="1"/>
        <v>4.0999999999999996</v>
      </c>
    </row>
    <row r="36" spans="1:7" x14ac:dyDescent="0.2">
      <c r="A36" s="6" t="s">
        <v>41</v>
      </c>
      <c r="B36" s="7">
        <v>2014</v>
      </c>
      <c r="C36" s="3" t="str">
        <f t="shared" si="2"/>
        <v>wolf</v>
      </c>
      <c r="D36" s="3" t="s">
        <v>2</v>
      </c>
      <c r="E36" s="3">
        <f t="shared" si="0"/>
        <v>1</v>
      </c>
      <c r="F36" s="4">
        <v>4.3</v>
      </c>
      <c r="G36" s="4">
        <f t="shared" si="1"/>
        <v>4.3</v>
      </c>
    </row>
    <row r="37" spans="1:7" x14ac:dyDescent="0.2">
      <c r="A37" s="6" t="s">
        <v>42</v>
      </c>
      <c r="B37" s="7">
        <v>1995</v>
      </c>
      <c r="C37" s="3" t="str">
        <f t="shared" si="2"/>
        <v>wolf</v>
      </c>
      <c r="D37" s="3" t="s">
        <v>2</v>
      </c>
      <c r="E37" s="3">
        <f t="shared" si="0"/>
        <v>1</v>
      </c>
      <c r="F37" s="4">
        <v>3.6</v>
      </c>
      <c r="G37" s="4">
        <f t="shared" si="1"/>
        <v>3.6</v>
      </c>
    </row>
    <row r="38" spans="1:7" x14ac:dyDescent="0.2">
      <c r="A38" s="7" t="s">
        <v>43</v>
      </c>
      <c r="B38" s="7">
        <v>2005</v>
      </c>
      <c r="C38" s="3" t="str">
        <f t="shared" si="2"/>
        <v>wolf</v>
      </c>
      <c r="D38" s="3" t="s">
        <v>3</v>
      </c>
      <c r="E38" s="3">
        <f t="shared" si="0"/>
        <v>0</v>
      </c>
      <c r="G38" s="4">
        <f t="shared" si="1"/>
        <v>0</v>
      </c>
    </row>
    <row r="39" spans="1:7" x14ac:dyDescent="0.2">
      <c r="A39" s="6" t="s">
        <v>44</v>
      </c>
      <c r="B39" s="7">
        <v>2016</v>
      </c>
      <c r="C39" s="3" t="str">
        <f t="shared" si="2"/>
        <v>wolf</v>
      </c>
      <c r="D39" s="3" t="s">
        <v>3</v>
      </c>
      <c r="E39" s="3">
        <f t="shared" si="0"/>
        <v>0</v>
      </c>
      <c r="G39" s="4">
        <f t="shared" si="1"/>
        <v>0</v>
      </c>
    </row>
    <row r="40" spans="1:7" x14ac:dyDescent="0.2">
      <c r="A40" s="6" t="s">
        <v>45</v>
      </c>
      <c r="B40" s="7">
        <v>2001</v>
      </c>
      <c r="C40" s="3" t="str">
        <f t="shared" si="2"/>
        <v>wolf</v>
      </c>
      <c r="D40" s="3" t="s">
        <v>2</v>
      </c>
      <c r="E40" s="3">
        <f t="shared" si="0"/>
        <v>1</v>
      </c>
      <c r="F40" s="4">
        <v>2</v>
      </c>
      <c r="G40" s="4">
        <f t="shared" si="1"/>
        <v>2</v>
      </c>
    </row>
    <row r="41" spans="1:7" x14ac:dyDescent="0.2">
      <c r="A41" s="7" t="s">
        <v>46</v>
      </c>
      <c r="B41" s="7">
        <v>1964</v>
      </c>
      <c r="C41" s="3" t="str">
        <f t="shared" si="2"/>
        <v>wolf</v>
      </c>
      <c r="D41" s="3" t="s">
        <v>2</v>
      </c>
      <c r="E41" s="3">
        <f t="shared" si="0"/>
        <v>1</v>
      </c>
      <c r="F41" s="4">
        <v>3</v>
      </c>
      <c r="G41" s="4">
        <f t="shared" si="1"/>
        <v>3</v>
      </c>
    </row>
    <row r="42" spans="1:7" x14ac:dyDescent="0.2">
      <c r="A42" s="7" t="s">
        <v>47</v>
      </c>
      <c r="B42" s="7">
        <v>1954</v>
      </c>
      <c r="C42" s="3" t="str">
        <f t="shared" si="2"/>
        <v>wolf</v>
      </c>
      <c r="D42" s="3" t="s">
        <v>2</v>
      </c>
      <c r="E42" s="3">
        <f t="shared" si="0"/>
        <v>1</v>
      </c>
      <c r="F42" s="4">
        <v>1</v>
      </c>
      <c r="G42" s="4">
        <f t="shared" si="1"/>
        <v>1</v>
      </c>
    </row>
    <row r="43" spans="1:7" x14ac:dyDescent="0.2">
      <c r="A43" s="7" t="s">
        <v>48</v>
      </c>
      <c r="B43" s="7">
        <v>1955</v>
      </c>
      <c r="C43" s="3" t="str">
        <f t="shared" si="2"/>
        <v>wolf</v>
      </c>
      <c r="D43" s="3" t="s">
        <v>2</v>
      </c>
      <c r="E43" s="3">
        <f t="shared" si="0"/>
        <v>1</v>
      </c>
      <c r="F43" s="4">
        <v>2.8</v>
      </c>
      <c r="G43" s="4">
        <f t="shared" si="1"/>
        <v>2.8</v>
      </c>
    </row>
    <row r="44" spans="1:7" x14ac:dyDescent="0.2">
      <c r="A44" s="7" t="s">
        <v>66</v>
      </c>
      <c r="B44" s="7">
        <v>2005</v>
      </c>
      <c r="C44" s="3" t="str">
        <f t="shared" si="2"/>
        <v>wolf</v>
      </c>
      <c r="D44" s="3" t="s">
        <v>3</v>
      </c>
      <c r="E44" s="3">
        <f t="shared" si="0"/>
        <v>0</v>
      </c>
      <c r="G44" s="4">
        <f t="shared" si="1"/>
        <v>0</v>
      </c>
    </row>
    <row r="45" spans="1:7" x14ac:dyDescent="0.2">
      <c r="A45" s="6" t="s">
        <v>49</v>
      </c>
      <c r="B45" s="7">
        <v>1998</v>
      </c>
      <c r="C45" s="3" t="str">
        <f t="shared" si="2"/>
        <v>wolf</v>
      </c>
      <c r="D45" s="3" t="s">
        <v>2</v>
      </c>
      <c r="E45" s="3">
        <f t="shared" si="0"/>
        <v>1</v>
      </c>
      <c r="F45" s="4">
        <v>2.5</v>
      </c>
      <c r="G45" s="4">
        <f t="shared" si="1"/>
        <v>2.5</v>
      </c>
    </row>
    <row r="46" spans="1:7" x14ac:dyDescent="0.2">
      <c r="A46" s="6" t="s">
        <v>50</v>
      </c>
      <c r="B46" s="7">
        <v>1993</v>
      </c>
      <c r="C46" s="3" t="str">
        <f t="shared" si="2"/>
        <v>wolf</v>
      </c>
      <c r="D46" s="3" t="s">
        <v>3</v>
      </c>
      <c r="E46" s="3">
        <f t="shared" si="0"/>
        <v>0</v>
      </c>
      <c r="G46" s="4">
        <f t="shared" si="1"/>
        <v>0</v>
      </c>
    </row>
    <row r="47" spans="1:7" x14ac:dyDescent="0.2">
      <c r="A47" s="7" t="s">
        <v>51</v>
      </c>
      <c r="B47" s="7">
        <v>1996</v>
      </c>
      <c r="C47" s="3" t="str">
        <f t="shared" si="2"/>
        <v>wolf</v>
      </c>
      <c r="D47" s="3" t="s">
        <v>3</v>
      </c>
      <c r="E47" s="3">
        <f t="shared" si="0"/>
        <v>0</v>
      </c>
      <c r="G47" s="4">
        <f t="shared" si="1"/>
        <v>0</v>
      </c>
    </row>
    <row r="48" spans="1:7" x14ac:dyDescent="0.2">
      <c r="A48" s="6" t="s">
        <v>52</v>
      </c>
      <c r="B48" s="7">
        <v>1977</v>
      </c>
      <c r="C48" s="3" t="str">
        <f t="shared" si="2"/>
        <v>wolf</v>
      </c>
      <c r="D48" s="3" t="s">
        <v>2</v>
      </c>
      <c r="E48" s="3">
        <f t="shared" si="0"/>
        <v>1</v>
      </c>
      <c r="F48" s="4">
        <v>3.2</v>
      </c>
      <c r="G48" s="4">
        <f t="shared" si="1"/>
        <v>3.2</v>
      </c>
    </row>
    <row r="49" spans="1:7" x14ac:dyDescent="0.2">
      <c r="A49" s="6" t="s">
        <v>53</v>
      </c>
      <c r="B49" s="7">
        <v>2016</v>
      </c>
      <c r="C49" s="3" t="str">
        <f t="shared" si="2"/>
        <v>wolf</v>
      </c>
      <c r="D49" s="3" t="s">
        <v>2</v>
      </c>
      <c r="E49" s="3">
        <f t="shared" si="0"/>
        <v>1</v>
      </c>
      <c r="F49" s="4">
        <v>3.5</v>
      </c>
      <c r="G49" s="4">
        <f t="shared" si="1"/>
        <v>3.5</v>
      </c>
    </row>
    <row r="50" spans="1:7" x14ac:dyDescent="0.2">
      <c r="A50" s="7" t="s">
        <v>54</v>
      </c>
      <c r="B50" s="7">
        <v>2010</v>
      </c>
      <c r="C50" s="3" t="str">
        <f t="shared" si="2"/>
        <v>wolf</v>
      </c>
      <c r="D50" s="3" t="s">
        <v>2</v>
      </c>
      <c r="E50" s="3">
        <f t="shared" si="0"/>
        <v>1</v>
      </c>
      <c r="F50" s="4">
        <v>1.5</v>
      </c>
      <c r="G50" s="4">
        <f t="shared" si="1"/>
        <v>1.5</v>
      </c>
    </row>
    <row r="51" spans="1:7" x14ac:dyDescent="0.2">
      <c r="A51" s="6" t="s">
        <v>55</v>
      </c>
      <c r="B51" s="7">
        <v>2012</v>
      </c>
      <c r="C51" s="3" t="str">
        <f t="shared" si="2"/>
        <v>wolf</v>
      </c>
      <c r="D51" s="3" t="s">
        <v>2</v>
      </c>
      <c r="E51" s="3">
        <f t="shared" si="0"/>
        <v>1</v>
      </c>
      <c r="F51" s="4">
        <v>3.8</v>
      </c>
      <c r="G51" s="4">
        <f t="shared" si="1"/>
        <v>3.8</v>
      </c>
    </row>
    <row r="52" spans="1:7" x14ac:dyDescent="0.2">
      <c r="A52" s="6" t="s">
        <v>56</v>
      </c>
      <c r="B52" s="7">
        <v>1973</v>
      </c>
      <c r="C52" s="3" t="str">
        <f t="shared" si="2"/>
        <v>wolf</v>
      </c>
      <c r="D52" s="3" t="s">
        <v>3</v>
      </c>
      <c r="E52" s="3">
        <f t="shared" si="0"/>
        <v>0</v>
      </c>
      <c r="G52" s="4">
        <f t="shared" si="1"/>
        <v>0</v>
      </c>
    </row>
    <row r="53" spans="1:7" x14ac:dyDescent="0.2">
      <c r="A53" s="6" t="s">
        <v>57</v>
      </c>
      <c r="B53" s="7">
        <v>1972</v>
      </c>
      <c r="C53" s="3" t="str">
        <f t="shared" si="2"/>
        <v>wolf</v>
      </c>
      <c r="D53" s="3" t="s">
        <v>3</v>
      </c>
      <c r="E53" s="3">
        <f t="shared" si="0"/>
        <v>0</v>
      </c>
      <c r="G53" s="4">
        <f t="shared" si="1"/>
        <v>0</v>
      </c>
    </row>
    <row r="54" spans="1:7" x14ac:dyDescent="0.2">
      <c r="A54" s="7" t="s">
        <v>58</v>
      </c>
      <c r="B54" s="7">
        <v>1994</v>
      </c>
      <c r="C54" s="3" t="str">
        <f t="shared" si="2"/>
        <v>wolf</v>
      </c>
      <c r="D54" s="3" t="s">
        <v>3</v>
      </c>
      <c r="E54" s="3">
        <f t="shared" si="0"/>
        <v>0</v>
      </c>
      <c r="G54" s="4">
        <f t="shared" si="1"/>
        <v>0</v>
      </c>
    </row>
    <row r="55" spans="1:7" x14ac:dyDescent="0.2">
      <c r="A55" s="6" t="s">
        <v>59</v>
      </c>
      <c r="B55" s="7">
        <v>1999</v>
      </c>
      <c r="C55" s="3" t="str">
        <f t="shared" si="2"/>
        <v>wolf</v>
      </c>
      <c r="D55" s="3" t="s">
        <v>2</v>
      </c>
      <c r="E55" s="3">
        <f t="shared" si="0"/>
        <v>1</v>
      </c>
      <c r="F55" s="4">
        <v>4.5999999999999996</v>
      </c>
      <c r="G55" s="4">
        <f t="shared" si="1"/>
        <v>4.5999999999999996</v>
      </c>
    </row>
    <row r="56" spans="1:7" x14ac:dyDescent="0.2">
      <c r="A56" s="6" t="s">
        <v>60</v>
      </c>
      <c r="B56" s="7">
        <v>1980</v>
      </c>
      <c r="C56" s="3" t="str">
        <f t="shared" si="2"/>
        <v>wolf</v>
      </c>
      <c r="D56" s="3" t="s">
        <v>3</v>
      </c>
      <c r="E56" s="3">
        <f t="shared" si="0"/>
        <v>0</v>
      </c>
      <c r="G56" s="4">
        <f t="shared" si="1"/>
        <v>0</v>
      </c>
    </row>
    <row r="57" spans="1:7" x14ac:dyDescent="0.2">
      <c r="A57" s="6" t="s">
        <v>61</v>
      </c>
      <c r="B57" s="7">
        <v>1984</v>
      </c>
      <c r="C57" s="3" t="str">
        <f t="shared" si="2"/>
        <v>wolf</v>
      </c>
      <c r="D57" s="3" t="s">
        <v>2</v>
      </c>
      <c r="E57" s="3">
        <f t="shared" si="0"/>
        <v>1</v>
      </c>
      <c r="F57" s="4">
        <v>4</v>
      </c>
      <c r="G57" s="4">
        <f t="shared" si="1"/>
        <v>4</v>
      </c>
    </row>
    <row r="58" spans="1:7" x14ac:dyDescent="0.2">
      <c r="A58" s="6" t="s">
        <v>62</v>
      </c>
      <c r="B58" s="7">
        <v>1986</v>
      </c>
      <c r="C58" s="3" t="str">
        <f t="shared" si="2"/>
        <v>wolf</v>
      </c>
      <c r="D58" s="3" t="s">
        <v>2</v>
      </c>
      <c r="E58" s="3">
        <f t="shared" si="0"/>
        <v>1</v>
      </c>
      <c r="F58" s="4">
        <v>3.7</v>
      </c>
      <c r="G58" s="4">
        <f t="shared" si="1"/>
        <v>3.7</v>
      </c>
    </row>
    <row r="59" spans="1:7" x14ac:dyDescent="0.2">
      <c r="A59" s="6" t="s">
        <v>63</v>
      </c>
      <c r="B59" s="7">
        <v>1995</v>
      </c>
      <c r="C59" s="3" t="str">
        <f t="shared" si="2"/>
        <v>wolf</v>
      </c>
      <c r="D59" s="3" t="s">
        <v>2</v>
      </c>
      <c r="E59" s="3">
        <f t="shared" si="0"/>
        <v>1</v>
      </c>
      <c r="F59" s="4">
        <v>4</v>
      </c>
      <c r="G59" s="4">
        <f t="shared" si="1"/>
        <v>4</v>
      </c>
    </row>
  </sheetData>
  <sortState xmlns:xlrd2="http://schemas.microsoft.com/office/spreadsheetml/2017/richdata2" ref="A3:O59">
    <sortCondition ref="A3:A59"/>
  </sortState>
  <dataConsolidate/>
  <dataValidations count="3">
    <dataValidation type="list" allowBlank="1" showInputMessage="1" showErrorMessage="1" promptTitle="Have you seen the film?" sqref="D3:D59" xr:uid="{8FEC6768-E832-6445-9FCE-F24078318C79}">
      <formula1>$I$1:$I$2</formula1>
    </dataValidation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F3" xr:uid="{97498146-AE9D-8640-86D4-67F4780D842C}">
      <formula1>0</formula1>
      <formula2>5</formula2>
    </dataValidation>
    <dataValidation allowBlank="1" showInputMessage="1" showErrorMessage="1" promptTitle="Enter your name here" prompt="Please enter your name here._x000a_It will be added to each film entry for you." sqref="C3" xr:uid="{F14594B8-8177-4448-B501-5D73CCD21C2A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C916-901A-3F45-843A-A4A9327C29F7}">
  <dimension ref="A1:I59"/>
  <sheetViews>
    <sheetView workbookViewId="0">
      <selection activeCell="A3" sqref="A3:G59"/>
    </sheetView>
  </sheetViews>
  <sheetFormatPr baseColWidth="10" defaultRowHeight="16" x14ac:dyDescent="0.2"/>
  <cols>
    <col min="1" max="1" width="49" style="6" bestFit="1" customWidth="1"/>
    <col min="2" max="2" width="5.1640625" style="6" bestFit="1" customWidth="1"/>
    <col min="3" max="3" width="15.33203125" style="3" customWidth="1"/>
    <col min="4" max="4" width="6.5" style="3" customWidth="1"/>
    <col min="5" max="5" width="3.5" style="3" customWidth="1"/>
    <col min="6" max="7" width="5.1640625" style="4" customWidth="1"/>
    <col min="8" max="8" width="5" style="3" hidden="1" customWidth="1"/>
    <col min="9" max="9" width="4" style="3" hidden="1" customWidth="1"/>
    <col min="10" max="16384" width="10.83203125" style="3"/>
  </cols>
  <sheetData>
    <row r="1" spans="1:9" x14ac:dyDescent="0.2">
      <c r="A1" s="5" t="s">
        <v>64</v>
      </c>
      <c r="B1" s="5" t="s">
        <v>7</v>
      </c>
      <c r="C1" s="1" t="s">
        <v>0</v>
      </c>
      <c r="D1" s="1" t="s">
        <v>1</v>
      </c>
      <c r="E1" s="1"/>
      <c r="F1" s="2" t="s">
        <v>4</v>
      </c>
      <c r="H1" s="3" t="s">
        <v>5</v>
      </c>
      <c r="I1" s="3" t="s">
        <v>2</v>
      </c>
    </row>
    <row r="2" spans="1:9" x14ac:dyDescent="0.2">
      <c r="I2" s="3" t="s">
        <v>3</v>
      </c>
    </row>
    <row r="3" spans="1:9" ht="15" customHeight="1" x14ac:dyDescent="0.2">
      <c r="A3" s="7" t="s">
        <v>8</v>
      </c>
      <c r="B3" s="7">
        <v>1968</v>
      </c>
      <c r="C3" s="3" t="s">
        <v>65</v>
      </c>
      <c r="D3" s="3" t="s">
        <v>2</v>
      </c>
      <c r="E3" s="3">
        <f>IF(D3="Yes",1,0)</f>
        <v>1</v>
      </c>
      <c r="F3" s="4">
        <v>3</v>
      </c>
      <c r="G3" s="4">
        <f>E3*F3</f>
        <v>3</v>
      </c>
    </row>
    <row r="4" spans="1:9" x14ac:dyDescent="0.2">
      <c r="A4" s="7" t="s">
        <v>9</v>
      </c>
      <c r="B4" s="7">
        <v>1971</v>
      </c>
      <c r="C4" s="3" t="str">
        <f>IF(C$3="enter here","",C$3)</f>
        <v>michi</v>
      </c>
      <c r="D4" s="3" t="s">
        <v>3</v>
      </c>
      <c r="E4" s="3">
        <f t="shared" ref="E4:E59" si="0">IF(D4="Yes",1,0)</f>
        <v>0</v>
      </c>
      <c r="G4" s="4">
        <f t="shared" ref="G4:G59" si="1">E4*F4</f>
        <v>0</v>
      </c>
    </row>
    <row r="5" spans="1:9" x14ac:dyDescent="0.2">
      <c r="A5" s="6" t="s">
        <v>10</v>
      </c>
      <c r="B5" s="7">
        <v>2018</v>
      </c>
      <c r="C5" s="3" t="str">
        <f t="shared" ref="C5:C59" si="2">IF(C$3="enter here","",C$3)</f>
        <v>michi</v>
      </c>
      <c r="D5" s="3" t="s">
        <v>3</v>
      </c>
      <c r="E5" s="3">
        <f t="shared" si="0"/>
        <v>0</v>
      </c>
      <c r="G5" s="4">
        <f t="shared" si="1"/>
        <v>0</v>
      </c>
    </row>
    <row r="6" spans="1:9" x14ac:dyDescent="0.2">
      <c r="A6" s="7" t="s">
        <v>11</v>
      </c>
      <c r="B6" s="7">
        <v>2005</v>
      </c>
      <c r="C6" s="3" t="str">
        <f t="shared" si="2"/>
        <v>michi</v>
      </c>
      <c r="D6" s="3" t="s">
        <v>2</v>
      </c>
      <c r="E6" s="3">
        <f t="shared" si="0"/>
        <v>1</v>
      </c>
      <c r="F6" s="4">
        <v>2</v>
      </c>
      <c r="G6" s="4">
        <f t="shared" si="1"/>
        <v>2</v>
      </c>
    </row>
    <row r="7" spans="1:9" x14ac:dyDescent="0.2">
      <c r="A7" s="7" t="s">
        <v>12</v>
      </c>
      <c r="B7" s="7">
        <v>1951</v>
      </c>
      <c r="C7" s="3" t="str">
        <f t="shared" si="2"/>
        <v>michi</v>
      </c>
      <c r="D7" s="3" t="s">
        <v>2</v>
      </c>
      <c r="E7" s="3">
        <f t="shared" si="0"/>
        <v>1</v>
      </c>
      <c r="F7" s="4">
        <v>5</v>
      </c>
      <c r="G7" s="4">
        <f t="shared" si="1"/>
        <v>5</v>
      </c>
    </row>
    <row r="8" spans="1:9" x14ac:dyDescent="0.2">
      <c r="A8" s="6" t="s">
        <v>13</v>
      </c>
      <c r="B8" s="7">
        <v>1979</v>
      </c>
      <c r="C8" s="3" t="str">
        <f t="shared" si="2"/>
        <v>michi</v>
      </c>
      <c r="D8" s="3" t="s">
        <v>2</v>
      </c>
      <c r="E8" s="3">
        <f t="shared" si="0"/>
        <v>1</v>
      </c>
      <c r="F8" s="4">
        <v>2</v>
      </c>
      <c r="G8" s="4">
        <f t="shared" si="1"/>
        <v>2</v>
      </c>
    </row>
    <row r="9" spans="1:9" x14ac:dyDescent="0.2">
      <c r="A9" s="7" t="s">
        <v>14</v>
      </c>
      <c r="B9" s="7">
        <v>1960</v>
      </c>
      <c r="C9" s="3" t="str">
        <f t="shared" si="2"/>
        <v>michi</v>
      </c>
      <c r="D9" s="3" t="s">
        <v>2</v>
      </c>
      <c r="E9" s="3">
        <f t="shared" si="0"/>
        <v>1</v>
      </c>
      <c r="F9" s="4">
        <v>4</v>
      </c>
      <c r="G9" s="4">
        <f t="shared" si="1"/>
        <v>4</v>
      </c>
    </row>
    <row r="10" spans="1:9" x14ac:dyDescent="0.2">
      <c r="A10" s="6" t="s">
        <v>15</v>
      </c>
      <c r="B10" s="7">
        <v>1979</v>
      </c>
      <c r="C10" s="3" t="str">
        <f t="shared" si="2"/>
        <v>michi</v>
      </c>
      <c r="D10" s="3" t="s">
        <v>2</v>
      </c>
      <c r="E10" s="3">
        <f t="shared" si="0"/>
        <v>1</v>
      </c>
      <c r="F10" s="4">
        <v>3</v>
      </c>
      <c r="G10" s="4">
        <f t="shared" si="1"/>
        <v>3</v>
      </c>
    </row>
    <row r="11" spans="1:9" x14ac:dyDescent="0.2">
      <c r="A11" s="7" t="s">
        <v>16</v>
      </c>
      <c r="B11" s="7">
        <v>1956</v>
      </c>
      <c r="C11" s="3" t="str">
        <f t="shared" si="2"/>
        <v>michi</v>
      </c>
      <c r="D11" s="3" t="s">
        <v>2</v>
      </c>
      <c r="E11" s="3">
        <f t="shared" si="0"/>
        <v>1</v>
      </c>
      <c r="F11" s="4">
        <v>3</v>
      </c>
      <c r="G11" s="4">
        <f t="shared" si="1"/>
        <v>3</v>
      </c>
    </row>
    <row r="12" spans="1:9" x14ac:dyDescent="0.2">
      <c r="A12" s="6" t="s">
        <v>17</v>
      </c>
      <c r="B12" s="7">
        <v>2009</v>
      </c>
      <c r="C12" s="3" t="str">
        <f t="shared" si="2"/>
        <v>michi</v>
      </c>
      <c r="D12" s="3" t="s">
        <v>2</v>
      </c>
      <c r="E12" s="3">
        <f t="shared" si="0"/>
        <v>1</v>
      </c>
      <c r="F12" s="4">
        <v>5</v>
      </c>
      <c r="G12" s="4">
        <f t="shared" si="1"/>
        <v>5</v>
      </c>
    </row>
    <row r="13" spans="1:9" x14ac:dyDescent="0.2">
      <c r="A13" s="6" t="s">
        <v>18</v>
      </c>
      <c r="B13" s="7">
        <v>1989</v>
      </c>
      <c r="C13" s="3" t="str">
        <f t="shared" si="2"/>
        <v>michi</v>
      </c>
      <c r="D13" s="3" t="s">
        <v>2</v>
      </c>
      <c r="E13" s="3">
        <f t="shared" si="0"/>
        <v>1</v>
      </c>
      <c r="F13" s="4">
        <v>2</v>
      </c>
      <c r="G13" s="4">
        <f t="shared" si="1"/>
        <v>2</v>
      </c>
    </row>
    <row r="14" spans="1:9" x14ac:dyDescent="0.2">
      <c r="A14" s="6" t="s">
        <v>19</v>
      </c>
      <c r="B14" s="7">
        <v>1982</v>
      </c>
      <c r="C14" s="3" t="str">
        <f t="shared" si="2"/>
        <v>michi</v>
      </c>
      <c r="D14" s="3" t="s">
        <v>2</v>
      </c>
      <c r="E14" s="3">
        <f t="shared" si="0"/>
        <v>1</v>
      </c>
      <c r="F14" s="4">
        <v>3</v>
      </c>
      <c r="G14" s="4">
        <f t="shared" si="1"/>
        <v>3</v>
      </c>
    </row>
    <row r="15" spans="1:9" x14ac:dyDescent="0.2">
      <c r="A15" s="6" t="s">
        <v>20</v>
      </c>
      <c r="B15" s="7">
        <v>2018</v>
      </c>
      <c r="C15" s="3" t="str">
        <f t="shared" si="2"/>
        <v>michi</v>
      </c>
      <c r="D15" s="3" t="s">
        <v>3</v>
      </c>
      <c r="E15" s="3">
        <f t="shared" si="0"/>
        <v>0</v>
      </c>
      <c r="G15" s="4">
        <f t="shared" si="1"/>
        <v>0</v>
      </c>
    </row>
    <row r="16" spans="1:9" x14ac:dyDescent="0.2">
      <c r="A16" s="6" t="s">
        <v>21</v>
      </c>
      <c r="B16" s="7">
        <v>2011</v>
      </c>
      <c r="C16" s="3" t="str">
        <f t="shared" si="2"/>
        <v>michi</v>
      </c>
      <c r="D16" s="3" t="s">
        <v>2</v>
      </c>
      <c r="E16" s="3">
        <f t="shared" si="0"/>
        <v>1</v>
      </c>
      <c r="F16" s="4">
        <v>2</v>
      </c>
      <c r="G16" s="4">
        <f t="shared" si="1"/>
        <v>2</v>
      </c>
    </row>
    <row r="17" spans="1:7" x14ac:dyDescent="0.2">
      <c r="A17" s="6" t="s">
        <v>22</v>
      </c>
      <c r="B17" s="7">
        <v>2000</v>
      </c>
      <c r="C17" s="3" t="str">
        <f t="shared" si="2"/>
        <v>michi</v>
      </c>
      <c r="D17" s="3" t="s">
        <v>2</v>
      </c>
      <c r="E17" s="3">
        <f t="shared" si="0"/>
        <v>1</v>
      </c>
      <c r="F17" s="4">
        <v>4</v>
      </c>
      <c r="G17" s="4">
        <f t="shared" si="1"/>
        <v>4</v>
      </c>
    </row>
    <row r="18" spans="1:7" x14ac:dyDescent="0.2">
      <c r="A18" s="7" t="s">
        <v>23</v>
      </c>
      <c r="B18" s="7">
        <v>1958</v>
      </c>
      <c r="C18" s="3" t="str">
        <f t="shared" si="2"/>
        <v>michi</v>
      </c>
      <c r="D18" s="3" t="s">
        <v>3</v>
      </c>
      <c r="E18" s="3">
        <f t="shared" si="0"/>
        <v>0</v>
      </c>
      <c r="G18" s="4">
        <f t="shared" si="1"/>
        <v>0</v>
      </c>
    </row>
    <row r="19" spans="1:7" x14ac:dyDescent="0.2">
      <c r="A19" s="7" t="s">
        <v>24</v>
      </c>
      <c r="B19" s="7">
        <v>1963</v>
      </c>
      <c r="C19" s="3" t="str">
        <f t="shared" si="2"/>
        <v>michi</v>
      </c>
      <c r="D19" s="3" t="s">
        <v>2</v>
      </c>
      <c r="E19" s="3">
        <f t="shared" si="0"/>
        <v>1</v>
      </c>
      <c r="F19" s="4">
        <v>3</v>
      </c>
      <c r="G19" s="4">
        <f t="shared" si="1"/>
        <v>3</v>
      </c>
    </row>
    <row r="20" spans="1:7" x14ac:dyDescent="0.2">
      <c r="A20" s="6" t="s">
        <v>25</v>
      </c>
      <c r="B20" s="7">
        <v>2000</v>
      </c>
      <c r="C20" s="3" t="str">
        <f t="shared" si="2"/>
        <v>michi</v>
      </c>
      <c r="D20" s="3" t="s">
        <v>2</v>
      </c>
      <c r="E20" s="3">
        <f t="shared" si="0"/>
        <v>1</v>
      </c>
      <c r="F20" s="4">
        <v>3</v>
      </c>
      <c r="G20" s="4">
        <f t="shared" si="1"/>
        <v>3</v>
      </c>
    </row>
    <row r="21" spans="1:7" x14ac:dyDescent="0.2">
      <c r="A21" s="6" t="s">
        <v>26</v>
      </c>
      <c r="B21" s="7">
        <v>1974</v>
      </c>
      <c r="C21" s="3" t="str">
        <f t="shared" si="2"/>
        <v>michi</v>
      </c>
      <c r="D21" s="3" t="s">
        <v>2</v>
      </c>
      <c r="E21" s="3">
        <f t="shared" si="0"/>
        <v>1</v>
      </c>
      <c r="F21" s="4">
        <v>5</v>
      </c>
      <c r="G21" s="4">
        <f t="shared" si="1"/>
        <v>5</v>
      </c>
    </row>
    <row r="22" spans="1:7" x14ac:dyDescent="0.2">
      <c r="A22" s="7" t="s">
        <v>27</v>
      </c>
      <c r="B22" s="7">
        <v>1986</v>
      </c>
      <c r="C22" s="3" t="str">
        <f t="shared" si="2"/>
        <v>michi</v>
      </c>
      <c r="D22" s="3" t="s">
        <v>2</v>
      </c>
      <c r="E22" s="3">
        <f t="shared" si="0"/>
        <v>1</v>
      </c>
      <c r="F22" s="4">
        <v>5</v>
      </c>
      <c r="G22" s="4">
        <f t="shared" si="1"/>
        <v>5</v>
      </c>
    </row>
    <row r="23" spans="1:7" x14ac:dyDescent="0.2">
      <c r="A23" s="7" t="s">
        <v>28</v>
      </c>
      <c r="B23" s="7">
        <v>2011</v>
      </c>
      <c r="C23" s="3" t="str">
        <f t="shared" si="2"/>
        <v>michi</v>
      </c>
      <c r="D23" s="3" t="s">
        <v>2</v>
      </c>
      <c r="E23" s="3">
        <f t="shared" si="0"/>
        <v>1</v>
      </c>
      <c r="F23" s="4">
        <v>3</v>
      </c>
      <c r="G23" s="4">
        <f t="shared" si="1"/>
        <v>3</v>
      </c>
    </row>
    <row r="24" spans="1:7" x14ac:dyDescent="0.2">
      <c r="A24" s="7" t="s">
        <v>29</v>
      </c>
      <c r="B24" s="7">
        <v>1962</v>
      </c>
      <c r="C24" s="3" t="str">
        <f t="shared" si="2"/>
        <v>michi</v>
      </c>
      <c r="D24" s="3" t="s">
        <v>2</v>
      </c>
      <c r="E24" s="3">
        <f t="shared" si="0"/>
        <v>1</v>
      </c>
      <c r="F24" s="4">
        <v>3</v>
      </c>
      <c r="G24" s="4">
        <f t="shared" si="1"/>
        <v>3</v>
      </c>
    </row>
    <row r="25" spans="1:7" x14ac:dyDescent="0.2">
      <c r="A25" s="7" t="s">
        <v>30</v>
      </c>
      <c r="B25" s="7">
        <v>1965</v>
      </c>
      <c r="C25" s="3" t="str">
        <f t="shared" si="2"/>
        <v>michi</v>
      </c>
      <c r="D25" s="3" t="s">
        <v>2</v>
      </c>
      <c r="E25" s="3">
        <f t="shared" si="0"/>
        <v>1</v>
      </c>
      <c r="F25" s="4">
        <v>5</v>
      </c>
      <c r="G25" s="4">
        <f t="shared" si="1"/>
        <v>5</v>
      </c>
    </row>
    <row r="26" spans="1:7" x14ac:dyDescent="0.2">
      <c r="A26" s="7" t="s">
        <v>31</v>
      </c>
      <c r="B26" s="7">
        <v>1964</v>
      </c>
      <c r="C26" s="3" t="str">
        <f t="shared" si="2"/>
        <v>michi</v>
      </c>
      <c r="D26" s="3" t="s">
        <v>3</v>
      </c>
      <c r="E26" s="3">
        <f t="shared" si="0"/>
        <v>0</v>
      </c>
      <c r="G26" s="4">
        <f t="shared" si="1"/>
        <v>0</v>
      </c>
    </row>
    <row r="27" spans="1:7" x14ac:dyDescent="0.2">
      <c r="A27" s="7" t="s">
        <v>32</v>
      </c>
      <c r="B27" s="7">
        <v>2000</v>
      </c>
      <c r="C27" s="3" t="str">
        <f t="shared" si="2"/>
        <v>michi</v>
      </c>
      <c r="D27" s="3" t="s">
        <v>2</v>
      </c>
      <c r="E27" s="3">
        <f t="shared" si="0"/>
        <v>1</v>
      </c>
      <c r="F27" s="4">
        <v>5</v>
      </c>
      <c r="G27" s="4">
        <f t="shared" si="1"/>
        <v>5</v>
      </c>
    </row>
    <row r="28" spans="1:7" x14ac:dyDescent="0.2">
      <c r="A28" s="7" t="s">
        <v>33</v>
      </c>
      <c r="B28" s="7">
        <v>1953</v>
      </c>
      <c r="C28" s="3" t="str">
        <f t="shared" si="2"/>
        <v>michi</v>
      </c>
      <c r="D28" s="3" t="s">
        <v>3</v>
      </c>
      <c r="E28" s="3">
        <f t="shared" si="0"/>
        <v>0</v>
      </c>
      <c r="G28" s="4">
        <f t="shared" si="1"/>
        <v>0</v>
      </c>
    </row>
    <row r="29" spans="1:7" x14ac:dyDescent="0.2">
      <c r="A29" s="7" t="s">
        <v>34</v>
      </c>
      <c r="B29" s="7">
        <v>2014</v>
      </c>
      <c r="C29" s="3" t="str">
        <f t="shared" si="2"/>
        <v>michi</v>
      </c>
      <c r="D29" s="3" t="s">
        <v>3</v>
      </c>
      <c r="E29" s="3">
        <f t="shared" si="0"/>
        <v>0</v>
      </c>
      <c r="G29" s="4">
        <f t="shared" si="1"/>
        <v>0</v>
      </c>
    </row>
    <row r="30" spans="1:7" x14ac:dyDescent="0.2">
      <c r="A30" s="6" t="s">
        <v>35</v>
      </c>
      <c r="B30" s="7">
        <v>2001</v>
      </c>
      <c r="C30" s="3" t="str">
        <f t="shared" si="2"/>
        <v>michi</v>
      </c>
      <c r="D30" s="3" t="s">
        <v>2</v>
      </c>
      <c r="E30" s="3">
        <f t="shared" si="0"/>
        <v>1</v>
      </c>
      <c r="F30" s="4">
        <v>5</v>
      </c>
      <c r="G30" s="4">
        <f t="shared" si="1"/>
        <v>5</v>
      </c>
    </row>
    <row r="31" spans="1:7" x14ac:dyDescent="0.2">
      <c r="A31" s="7" t="s">
        <v>36</v>
      </c>
      <c r="B31" s="7">
        <v>1950</v>
      </c>
      <c r="C31" s="3" t="str">
        <f t="shared" si="2"/>
        <v>michi</v>
      </c>
      <c r="D31" s="3" t="s">
        <v>2</v>
      </c>
      <c r="E31" s="3">
        <f t="shared" si="0"/>
        <v>1</v>
      </c>
      <c r="F31" s="4">
        <v>5</v>
      </c>
      <c r="G31" s="4">
        <f t="shared" si="1"/>
        <v>5</v>
      </c>
    </row>
    <row r="32" spans="1:7" x14ac:dyDescent="0.2">
      <c r="A32" s="7" t="s">
        <v>37</v>
      </c>
      <c r="B32" s="7">
        <v>1962</v>
      </c>
      <c r="C32" s="3" t="str">
        <f t="shared" si="2"/>
        <v>michi</v>
      </c>
      <c r="D32" s="3" t="s">
        <v>2</v>
      </c>
      <c r="E32" s="3">
        <f t="shared" si="0"/>
        <v>1</v>
      </c>
      <c r="F32" s="4">
        <v>3</v>
      </c>
      <c r="G32" s="4">
        <f t="shared" si="1"/>
        <v>3</v>
      </c>
    </row>
    <row r="33" spans="1:7" x14ac:dyDescent="0.2">
      <c r="A33" s="6" t="s">
        <v>38</v>
      </c>
      <c r="B33" s="7">
        <v>1990</v>
      </c>
      <c r="C33" s="3" t="str">
        <f t="shared" si="2"/>
        <v>michi</v>
      </c>
      <c r="D33" s="3" t="s">
        <v>2</v>
      </c>
      <c r="E33" s="3">
        <f t="shared" si="0"/>
        <v>1</v>
      </c>
      <c r="F33" s="4">
        <v>5</v>
      </c>
      <c r="G33" s="4">
        <f t="shared" si="1"/>
        <v>5</v>
      </c>
    </row>
    <row r="34" spans="1:7" x14ac:dyDescent="0.2">
      <c r="A34" s="7" t="s">
        <v>39</v>
      </c>
      <c r="B34" s="7">
        <v>2004</v>
      </c>
      <c r="C34" s="3" t="str">
        <f t="shared" si="2"/>
        <v>michi</v>
      </c>
      <c r="D34" s="3" t="s">
        <v>2</v>
      </c>
      <c r="E34" s="3">
        <f t="shared" si="0"/>
        <v>1</v>
      </c>
      <c r="F34" s="4">
        <v>5</v>
      </c>
      <c r="G34" s="4">
        <f t="shared" si="1"/>
        <v>5</v>
      </c>
    </row>
    <row r="35" spans="1:7" x14ac:dyDescent="0.2">
      <c r="A35" s="7" t="s">
        <v>40</v>
      </c>
      <c r="B35" s="7">
        <v>1967</v>
      </c>
      <c r="C35" s="3" t="str">
        <f t="shared" si="2"/>
        <v>michi</v>
      </c>
      <c r="D35" s="3" t="s">
        <v>2</v>
      </c>
      <c r="E35" s="3">
        <f t="shared" si="0"/>
        <v>1</v>
      </c>
      <c r="F35" s="4">
        <v>5</v>
      </c>
      <c r="G35" s="4">
        <f t="shared" si="1"/>
        <v>5</v>
      </c>
    </row>
    <row r="36" spans="1:7" x14ac:dyDescent="0.2">
      <c r="A36" s="6" t="s">
        <v>41</v>
      </c>
      <c r="B36" s="7">
        <v>2014</v>
      </c>
      <c r="C36" s="3" t="str">
        <f t="shared" si="2"/>
        <v>michi</v>
      </c>
      <c r="D36" s="3" t="s">
        <v>2</v>
      </c>
      <c r="E36" s="3">
        <f t="shared" si="0"/>
        <v>1</v>
      </c>
      <c r="F36" s="4">
        <v>5</v>
      </c>
      <c r="G36" s="4">
        <f t="shared" si="1"/>
        <v>5</v>
      </c>
    </row>
    <row r="37" spans="1:7" x14ac:dyDescent="0.2">
      <c r="A37" s="6" t="s">
        <v>42</v>
      </c>
      <c r="B37" s="7">
        <v>1995</v>
      </c>
      <c r="C37" s="3" t="str">
        <f t="shared" si="2"/>
        <v>michi</v>
      </c>
      <c r="D37" s="3" t="s">
        <v>2</v>
      </c>
      <c r="E37" s="3">
        <f t="shared" si="0"/>
        <v>1</v>
      </c>
      <c r="F37" s="4">
        <v>4</v>
      </c>
      <c r="G37" s="4">
        <f t="shared" si="1"/>
        <v>4</v>
      </c>
    </row>
    <row r="38" spans="1:7" x14ac:dyDescent="0.2">
      <c r="A38" s="7" t="s">
        <v>43</v>
      </c>
      <c r="B38" s="7">
        <v>2005</v>
      </c>
      <c r="C38" s="3" t="str">
        <f t="shared" si="2"/>
        <v>michi</v>
      </c>
      <c r="D38" s="3" t="s">
        <v>2</v>
      </c>
      <c r="E38" s="3">
        <f t="shared" si="0"/>
        <v>1</v>
      </c>
      <c r="F38" s="4">
        <v>2</v>
      </c>
      <c r="G38" s="4">
        <f t="shared" si="1"/>
        <v>2</v>
      </c>
    </row>
    <row r="39" spans="1:7" x14ac:dyDescent="0.2">
      <c r="A39" s="6" t="s">
        <v>44</v>
      </c>
      <c r="B39" s="7">
        <v>2016</v>
      </c>
      <c r="C39" s="3" t="str">
        <f t="shared" si="2"/>
        <v>michi</v>
      </c>
      <c r="D39" s="3" t="s">
        <v>2</v>
      </c>
      <c r="E39" s="3">
        <f t="shared" si="0"/>
        <v>1</v>
      </c>
      <c r="F39" s="4">
        <v>5</v>
      </c>
      <c r="G39" s="4">
        <f t="shared" si="1"/>
        <v>5</v>
      </c>
    </row>
    <row r="40" spans="1:7" x14ac:dyDescent="0.2">
      <c r="A40" s="6" t="s">
        <v>45</v>
      </c>
      <c r="B40" s="7">
        <v>2001</v>
      </c>
      <c r="C40" s="3" t="str">
        <f t="shared" si="2"/>
        <v>michi</v>
      </c>
      <c r="D40" s="3" t="s">
        <v>2</v>
      </c>
      <c r="E40" s="3">
        <f t="shared" si="0"/>
        <v>1</v>
      </c>
      <c r="F40" s="4">
        <v>5</v>
      </c>
      <c r="G40" s="4">
        <f t="shared" si="1"/>
        <v>5</v>
      </c>
    </row>
    <row r="41" spans="1:7" x14ac:dyDescent="0.2">
      <c r="A41" s="7" t="s">
        <v>46</v>
      </c>
      <c r="B41" s="7">
        <v>1964</v>
      </c>
      <c r="C41" s="3" t="str">
        <f t="shared" si="2"/>
        <v>michi</v>
      </c>
      <c r="D41" s="3" t="s">
        <v>2</v>
      </c>
      <c r="E41" s="3">
        <f t="shared" si="0"/>
        <v>1</v>
      </c>
      <c r="F41" s="4">
        <v>4</v>
      </c>
      <c r="G41" s="4">
        <f t="shared" si="1"/>
        <v>4</v>
      </c>
    </row>
    <row r="42" spans="1:7" x14ac:dyDescent="0.2">
      <c r="A42" s="7" t="s">
        <v>47</v>
      </c>
      <c r="B42" s="7">
        <v>1954</v>
      </c>
      <c r="C42" s="3" t="str">
        <f t="shared" si="2"/>
        <v>michi</v>
      </c>
      <c r="D42" s="3" t="s">
        <v>2</v>
      </c>
      <c r="E42" s="3">
        <f t="shared" si="0"/>
        <v>1</v>
      </c>
      <c r="F42" s="4">
        <v>5</v>
      </c>
      <c r="G42" s="4">
        <f t="shared" si="1"/>
        <v>5</v>
      </c>
    </row>
    <row r="43" spans="1:7" x14ac:dyDescent="0.2">
      <c r="A43" s="7" t="s">
        <v>48</v>
      </c>
      <c r="B43" s="7">
        <v>1955</v>
      </c>
      <c r="C43" s="3" t="str">
        <f t="shared" si="2"/>
        <v>michi</v>
      </c>
      <c r="D43" s="3" t="s">
        <v>2</v>
      </c>
      <c r="E43" s="3">
        <f t="shared" si="0"/>
        <v>1</v>
      </c>
      <c r="F43" s="4">
        <v>5</v>
      </c>
      <c r="G43" s="4">
        <f t="shared" si="1"/>
        <v>5</v>
      </c>
    </row>
    <row r="44" spans="1:7" x14ac:dyDescent="0.2">
      <c r="A44" s="7" t="s">
        <v>66</v>
      </c>
      <c r="B44" s="7">
        <v>2005</v>
      </c>
      <c r="C44" s="3" t="str">
        <f t="shared" si="2"/>
        <v>michi</v>
      </c>
      <c r="D44" s="3" t="s">
        <v>2</v>
      </c>
      <c r="E44" s="3">
        <f t="shared" si="0"/>
        <v>1</v>
      </c>
      <c r="F44" s="4">
        <v>3</v>
      </c>
      <c r="G44" s="4">
        <f t="shared" si="1"/>
        <v>3</v>
      </c>
    </row>
    <row r="45" spans="1:7" x14ac:dyDescent="0.2">
      <c r="A45" s="6" t="s">
        <v>49</v>
      </c>
      <c r="B45" s="7">
        <v>1998</v>
      </c>
      <c r="C45" s="3" t="str">
        <f t="shared" si="2"/>
        <v>michi</v>
      </c>
      <c r="D45" s="3" t="s">
        <v>3</v>
      </c>
      <c r="E45" s="3">
        <f t="shared" si="0"/>
        <v>0</v>
      </c>
      <c r="G45" s="4">
        <f t="shared" si="1"/>
        <v>0</v>
      </c>
    </row>
    <row r="46" spans="1:7" x14ac:dyDescent="0.2">
      <c r="A46" s="6" t="s">
        <v>50</v>
      </c>
      <c r="B46" s="7">
        <v>1993</v>
      </c>
      <c r="C46" s="3" t="str">
        <f t="shared" si="2"/>
        <v>michi</v>
      </c>
      <c r="D46" s="3" t="s">
        <v>3</v>
      </c>
      <c r="E46" s="3">
        <f t="shared" si="0"/>
        <v>0</v>
      </c>
      <c r="G46" s="4">
        <f t="shared" si="1"/>
        <v>0</v>
      </c>
    </row>
    <row r="47" spans="1:7" x14ac:dyDescent="0.2">
      <c r="A47" s="7" t="s">
        <v>51</v>
      </c>
      <c r="B47" s="7">
        <v>1996</v>
      </c>
      <c r="C47" s="3" t="str">
        <f t="shared" si="2"/>
        <v>michi</v>
      </c>
      <c r="D47" s="3" t="s">
        <v>2</v>
      </c>
      <c r="E47" s="3">
        <f t="shared" si="0"/>
        <v>1</v>
      </c>
      <c r="F47" s="4">
        <v>1</v>
      </c>
      <c r="G47" s="4">
        <f t="shared" si="1"/>
        <v>1</v>
      </c>
    </row>
    <row r="48" spans="1:7" x14ac:dyDescent="0.2">
      <c r="A48" s="6" t="s">
        <v>52</v>
      </c>
      <c r="B48" s="7">
        <v>1977</v>
      </c>
      <c r="C48" s="3" t="str">
        <f t="shared" si="2"/>
        <v>michi</v>
      </c>
      <c r="D48" s="3" t="s">
        <v>2</v>
      </c>
      <c r="E48" s="3">
        <f t="shared" si="0"/>
        <v>1</v>
      </c>
      <c r="F48" s="4">
        <v>2</v>
      </c>
      <c r="G48" s="4">
        <f t="shared" si="1"/>
        <v>2</v>
      </c>
    </row>
    <row r="49" spans="1:7" x14ac:dyDescent="0.2">
      <c r="A49" s="6" t="s">
        <v>53</v>
      </c>
      <c r="B49" s="7">
        <v>2016</v>
      </c>
      <c r="C49" s="3" t="str">
        <f t="shared" si="2"/>
        <v>michi</v>
      </c>
      <c r="D49" s="3" t="s">
        <v>2</v>
      </c>
      <c r="E49" s="3">
        <f t="shared" si="0"/>
        <v>1</v>
      </c>
      <c r="F49" s="4">
        <v>3</v>
      </c>
      <c r="G49" s="4">
        <f t="shared" si="1"/>
        <v>3</v>
      </c>
    </row>
    <row r="50" spans="1:7" x14ac:dyDescent="0.2">
      <c r="A50" s="7" t="s">
        <v>54</v>
      </c>
      <c r="B50" s="7">
        <v>2010</v>
      </c>
      <c r="C50" s="3" t="str">
        <f t="shared" si="2"/>
        <v>michi</v>
      </c>
      <c r="D50" s="3" t="s">
        <v>2</v>
      </c>
      <c r="E50" s="3">
        <f t="shared" si="0"/>
        <v>1</v>
      </c>
      <c r="F50" s="4">
        <v>5</v>
      </c>
      <c r="G50" s="4">
        <f t="shared" si="1"/>
        <v>5</v>
      </c>
    </row>
    <row r="51" spans="1:7" x14ac:dyDescent="0.2">
      <c r="A51" s="6" t="s">
        <v>55</v>
      </c>
      <c r="B51" s="7">
        <v>2012</v>
      </c>
      <c r="C51" s="3" t="str">
        <f t="shared" si="2"/>
        <v>michi</v>
      </c>
      <c r="D51" s="3" t="s">
        <v>2</v>
      </c>
      <c r="E51" s="3">
        <f t="shared" si="0"/>
        <v>1</v>
      </c>
      <c r="G51" s="4">
        <f t="shared" si="1"/>
        <v>0</v>
      </c>
    </row>
    <row r="52" spans="1:7" x14ac:dyDescent="0.2">
      <c r="A52" s="6" t="s">
        <v>56</v>
      </c>
      <c r="B52" s="7">
        <v>1973</v>
      </c>
      <c r="C52" s="3" t="str">
        <f t="shared" si="2"/>
        <v>michi</v>
      </c>
      <c r="D52" s="3" t="s">
        <v>3</v>
      </c>
      <c r="E52" s="3">
        <f t="shared" si="0"/>
        <v>0</v>
      </c>
      <c r="G52" s="4">
        <f t="shared" si="1"/>
        <v>0</v>
      </c>
    </row>
    <row r="53" spans="1:7" x14ac:dyDescent="0.2">
      <c r="A53" s="6" t="s">
        <v>57</v>
      </c>
      <c r="B53" s="7">
        <v>1972</v>
      </c>
      <c r="C53" s="3" t="str">
        <f t="shared" si="2"/>
        <v>michi</v>
      </c>
      <c r="D53" s="3" t="s">
        <v>2</v>
      </c>
      <c r="E53" s="3">
        <f t="shared" si="0"/>
        <v>1</v>
      </c>
      <c r="F53" s="4">
        <v>5</v>
      </c>
      <c r="G53" s="4">
        <f t="shared" si="1"/>
        <v>5</v>
      </c>
    </row>
    <row r="54" spans="1:7" x14ac:dyDescent="0.2">
      <c r="A54" s="7" t="s">
        <v>58</v>
      </c>
      <c r="B54" s="7">
        <v>1994</v>
      </c>
      <c r="C54" s="3" t="str">
        <f t="shared" si="2"/>
        <v>michi</v>
      </c>
      <c r="D54" s="3" t="s">
        <v>2</v>
      </c>
      <c r="E54" s="3">
        <f t="shared" si="0"/>
        <v>1</v>
      </c>
      <c r="F54" s="4">
        <v>5</v>
      </c>
      <c r="G54" s="4">
        <f t="shared" si="1"/>
        <v>5</v>
      </c>
    </row>
    <row r="55" spans="1:7" x14ac:dyDescent="0.2">
      <c r="A55" s="6" t="s">
        <v>59</v>
      </c>
      <c r="B55" s="7">
        <v>1999</v>
      </c>
      <c r="C55" s="3" t="str">
        <f t="shared" si="2"/>
        <v>michi</v>
      </c>
      <c r="D55" s="3" t="s">
        <v>2</v>
      </c>
      <c r="E55" s="3">
        <f t="shared" si="0"/>
        <v>1</v>
      </c>
      <c r="F55" s="4">
        <v>5</v>
      </c>
      <c r="G55" s="4">
        <f t="shared" si="1"/>
        <v>5</v>
      </c>
    </row>
    <row r="56" spans="1:7" x14ac:dyDescent="0.2">
      <c r="A56" s="6" t="s">
        <v>60</v>
      </c>
      <c r="B56" s="7">
        <v>1980</v>
      </c>
      <c r="C56" s="3" t="str">
        <f t="shared" si="2"/>
        <v>michi</v>
      </c>
      <c r="D56" s="3" t="s">
        <v>2</v>
      </c>
      <c r="E56" s="3">
        <f t="shared" si="0"/>
        <v>1</v>
      </c>
      <c r="F56" s="4">
        <v>5</v>
      </c>
      <c r="G56" s="4">
        <f t="shared" si="1"/>
        <v>5</v>
      </c>
    </row>
    <row r="57" spans="1:7" x14ac:dyDescent="0.2">
      <c r="A57" s="6" t="s">
        <v>61</v>
      </c>
      <c r="B57" s="7">
        <v>1984</v>
      </c>
      <c r="C57" s="3" t="str">
        <f t="shared" si="2"/>
        <v>michi</v>
      </c>
      <c r="D57" s="3" t="s">
        <v>2</v>
      </c>
      <c r="E57" s="3">
        <f t="shared" si="0"/>
        <v>1</v>
      </c>
      <c r="F57" s="4">
        <v>3</v>
      </c>
      <c r="G57" s="4">
        <f t="shared" si="1"/>
        <v>3</v>
      </c>
    </row>
    <row r="58" spans="1:7" x14ac:dyDescent="0.2">
      <c r="A58" s="6" t="s">
        <v>62</v>
      </c>
      <c r="B58" s="7">
        <v>1986</v>
      </c>
      <c r="C58" s="3" t="str">
        <f t="shared" si="2"/>
        <v>michi</v>
      </c>
      <c r="D58" s="3" t="s">
        <v>2</v>
      </c>
      <c r="E58" s="3">
        <f t="shared" si="0"/>
        <v>1</v>
      </c>
      <c r="F58" s="4">
        <v>2</v>
      </c>
      <c r="G58" s="4">
        <f t="shared" si="1"/>
        <v>2</v>
      </c>
    </row>
    <row r="59" spans="1:7" x14ac:dyDescent="0.2">
      <c r="A59" s="6" t="s">
        <v>63</v>
      </c>
      <c r="B59" s="7">
        <v>1995</v>
      </c>
      <c r="C59" s="3" t="str">
        <f t="shared" si="2"/>
        <v>michi</v>
      </c>
      <c r="D59" s="3" t="s">
        <v>2</v>
      </c>
      <c r="E59" s="3">
        <f t="shared" si="0"/>
        <v>1</v>
      </c>
      <c r="F59" s="4">
        <v>3</v>
      </c>
      <c r="G59" s="4">
        <f t="shared" si="1"/>
        <v>3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C3" xr:uid="{2CEA60A4-74BC-014D-A2EA-919AD2A5B381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F3" xr:uid="{F05E0F42-2E87-5C4A-AAA3-2E59FC989BBD}">
      <formula1>0</formula1>
      <formula2>5</formula2>
    </dataValidation>
    <dataValidation type="list" allowBlank="1" showInputMessage="1" showErrorMessage="1" promptTitle="Have you seen the film?" sqref="D3:D59" xr:uid="{E8A0EDBE-8877-9F48-A5E0-86065D5422FC}">
      <formula1>$I$1:$I$2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A7DD-BF42-1B4A-9A2C-B6CB7F906D56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67</v>
      </c>
      <c r="E3" s="10" t="s">
        <v>3</v>
      </c>
      <c r="F3" s="6">
        <f>IF(E3="Yes",1,0)</f>
        <v>0</v>
      </c>
      <c r="G3" s="11"/>
      <c r="H3" s="9">
        <f>F3*G3</f>
        <v>0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Tanja</v>
      </c>
      <c r="E4" s="10" t="s">
        <v>3</v>
      </c>
      <c r="F4" s="6">
        <f t="shared" ref="F4:F59" si="0">IF(E4="Yes",1,0)</f>
        <v>0</v>
      </c>
      <c r="G4" s="11"/>
      <c r="H4" s="9">
        <f t="shared" ref="H4:H59" si="1">F4*G4</f>
        <v>0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Tanja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Tanja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Tanja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Tanja</v>
      </c>
      <c r="E8" s="10" t="s">
        <v>3</v>
      </c>
      <c r="F8" s="6">
        <f t="shared" si="0"/>
        <v>0</v>
      </c>
      <c r="G8" s="11"/>
      <c r="H8" s="9">
        <f>F8*G8</f>
        <v>0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Tanja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Tanja</v>
      </c>
      <c r="E10" s="10" t="s">
        <v>3</v>
      </c>
      <c r="F10" s="6">
        <f t="shared" si="0"/>
        <v>0</v>
      </c>
      <c r="G10" s="11"/>
      <c r="H10" s="9">
        <f t="shared" si="1"/>
        <v>0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Tanja</v>
      </c>
      <c r="E11" s="10" t="s">
        <v>2</v>
      </c>
      <c r="F11" s="6">
        <f t="shared" si="0"/>
        <v>1</v>
      </c>
      <c r="G11" s="11">
        <v>3</v>
      </c>
      <c r="H11" s="9">
        <f t="shared" si="1"/>
        <v>3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Tanja</v>
      </c>
      <c r="E12" s="10" t="s">
        <v>2</v>
      </c>
      <c r="F12" s="6">
        <f t="shared" si="0"/>
        <v>1</v>
      </c>
      <c r="G12" s="11">
        <v>5</v>
      </c>
      <c r="H12" s="9">
        <f t="shared" si="1"/>
        <v>5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Tanja</v>
      </c>
      <c r="E13" s="10" t="s">
        <v>3</v>
      </c>
      <c r="F13" s="6">
        <f t="shared" si="0"/>
        <v>0</v>
      </c>
      <c r="G13" s="11"/>
      <c r="H13" s="9">
        <f t="shared" si="1"/>
        <v>0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Tanja</v>
      </c>
      <c r="E14" s="10" t="s">
        <v>3</v>
      </c>
      <c r="F14" s="6">
        <f t="shared" si="0"/>
        <v>0</v>
      </c>
      <c r="G14" s="11"/>
      <c r="H14" s="9">
        <f t="shared" si="1"/>
        <v>0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Tanja</v>
      </c>
      <c r="E15" s="10" t="s">
        <v>3</v>
      </c>
      <c r="F15" s="6">
        <f t="shared" si="0"/>
        <v>0</v>
      </c>
      <c r="G15" s="11"/>
      <c r="H15" s="9">
        <f t="shared" si="1"/>
        <v>0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Tanja</v>
      </c>
      <c r="E16" s="10" t="s">
        <v>3</v>
      </c>
      <c r="F16" s="6">
        <f t="shared" si="0"/>
        <v>0</v>
      </c>
      <c r="G16" s="11"/>
      <c r="H16" s="9">
        <f t="shared" si="1"/>
        <v>0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Tanja</v>
      </c>
      <c r="E17" s="10" t="s">
        <v>2</v>
      </c>
      <c r="F17" s="6">
        <f t="shared" si="0"/>
        <v>1</v>
      </c>
      <c r="G17" s="11">
        <v>4</v>
      </c>
      <c r="H17" s="9">
        <f t="shared" si="1"/>
        <v>4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Tanja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Tanja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Tanja</v>
      </c>
      <c r="E20" s="10" t="s">
        <v>3</v>
      </c>
      <c r="F20" s="6">
        <f t="shared" si="0"/>
        <v>0</v>
      </c>
      <c r="G20" s="11"/>
      <c r="H20" s="9">
        <f t="shared" si="1"/>
        <v>0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Tanja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Tanja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Tanja</v>
      </c>
      <c r="E23" s="10" t="s">
        <v>3</v>
      </c>
      <c r="F23" s="6">
        <f t="shared" si="0"/>
        <v>0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Tanja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Tanja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Tanja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Tanja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Tanja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Tanja</v>
      </c>
      <c r="E29" s="10" t="s">
        <v>2</v>
      </c>
      <c r="F29" s="6">
        <f t="shared" si="0"/>
        <v>1</v>
      </c>
      <c r="G29" s="11">
        <v>3</v>
      </c>
      <c r="H29" s="9">
        <f t="shared" si="1"/>
        <v>3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Tanja</v>
      </c>
      <c r="E30" s="10" t="s">
        <v>3</v>
      </c>
      <c r="F30" s="6">
        <f t="shared" si="0"/>
        <v>0</v>
      </c>
      <c r="G30" s="11"/>
      <c r="H30" s="9">
        <f t="shared" si="1"/>
        <v>0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Tanja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Tanja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Tanja</v>
      </c>
      <c r="E33" s="10" t="s">
        <v>3</v>
      </c>
      <c r="F33" s="6">
        <f t="shared" si="0"/>
        <v>0</v>
      </c>
      <c r="G33" s="11"/>
      <c r="H33" s="9">
        <f t="shared" si="1"/>
        <v>0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Tanja</v>
      </c>
      <c r="E34" s="10" t="s">
        <v>2</v>
      </c>
      <c r="F34" s="6">
        <f t="shared" si="0"/>
        <v>1</v>
      </c>
      <c r="G34" s="11">
        <v>2</v>
      </c>
      <c r="H34" s="9">
        <f t="shared" si="1"/>
        <v>2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Tanja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Tanja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Tanja</v>
      </c>
      <c r="E37" s="10" t="s">
        <v>3</v>
      </c>
      <c r="F37" s="6">
        <f t="shared" si="0"/>
        <v>0</v>
      </c>
      <c r="G37" s="11"/>
      <c r="H37" s="9">
        <f t="shared" si="1"/>
        <v>0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Tanja</v>
      </c>
      <c r="E38" s="10" t="s">
        <v>3</v>
      </c>
      <c r="F38" s="6">
        <f t="shared" si="0"/>
        <v>0</v>
      </c>
      <c r="G38" s="11"/>
      <c r="H38" s="9">
        <f t="shared" si="1"/>
        <v>0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Tanja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Tanja</v>
      </c>
      <c r="E40" s="10" t="s">
        <v>3</v>
      </c>
      <c r="F40" s="6">
        <f t="shared" si="0"/>
        <v>0</v>
      </c>
      <c r="G40" s="11"/>
      <c r="H40" s="9">
        <f t="shared" si="1"/>
        <v>0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Tanja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Tanja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Tanja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Tanja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Tanja</v>
      </c>
      <c r="E45" s="10" t="s">
        <v>3</v>
      </c>
      <c r="F45" s="6">
        <f t="shared" si="0"/>
        <v>0</v>
      </c>
      <c r="G45" s="11"/>
      <c r="H45" s="9">
        <f t="shared" si="1"/>
        <v>0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Tanja</v>
      </c>
      <c r="E46" s="10" t="s">
        <v>2</v>
      </c>
      <c r="F46" s="6">
        <f t="shared" si="0"/>
        <v>1</v>
      </c>
      <c r="G46" s="11">
        <v>3</v>
      </c>
      <c r="H46" s="9">
        <f t="shared" si="1"/>
        <v>3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Tanja</v>
      </c>
      <c r="E47" s="10" t="s">
        <v>3</v>
      </c>
      <c r="F47" s="6">
        <f t="shared" si="0"/>
        <v>0</v>
      </c>
      <c r="G47" s="11"/>
      <c r="H47" s="9">
        <f t="shared" si="1"/>
        <v>0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Tanja</v>
      </c>
      <c r="E48" s="10" t="s">
        <v>3</v>
      </c>
      <c r="F48" s="6">
        <f t="shared" si="0"/>
        <v>0</v>
      </c>
      <c r="G48" s="11"/>
      <c r="H48" s="9">
        <f t="shared" si="1"/>
        <v>0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Tanja</v>
      </c>
      <c r="E49" s="10" t="s">
        <v>3</v>
      </c>
      <c r="F49" s="6">
        <f t="shared" si="0"/>
        <v>0</v>
      </c>
      <c r="G49" s="11"/>
      <c r="H49" s="9">
        <f t="shared" si="1"/>
        <v>0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Tanja</v>
      </c>
      <c r="E50" s="10" t="s">
        <v>3</v>
      </c>
      <c r="F50" s="6">
        <f t="shared" si="0"/>
        <v>0</v>
      </c>
      <c r="G50" s="11"/>
      <c r="H50" s="9">
        <f t="shared" si="1"/>
        <v>0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Tanja</v>
      </c>
      <c r="E51" s="10" t="s">
        <v>2</v>
      </c>
      <c r="F51" s="6">
        <f t="shared" si="0"/>
        <v>1</v>
      </c>
      <c r="G51" s="11">
        <v>2</v>
      </c>
      <c r="H51" s="9">
        <f t="shared" si="1"/>
        <v>2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Tanja</v>
      </c>
      <c r="E52" s="10" t="s">
        <v>3</v>
      </c>
      <c r="F52" s="6">
        <f t="shared" si="0"/>
        <v>0</v>
      </c>
      <c r="G52" s="11"/>
      <c r="H52" s="9">
        <f t="shared" si="1"/>
        <v>0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Tanja</v>
      </c>
      <c r="E53" s="10" t="s">
        <v>3</v>
      </c>
      <c r="F53" s="6">
        <f t="shared" si="0"/>
        <v>0</v>
      </c>
      <c r="G53" s="11"/>
      <c r="H53" s="9">
        <f t="shared" si="1"/>
        <v>0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Tanja</v>
      </c>
      <c r="E54" s="10" t="s">
        <v>2</v>
      </c>
      <c r="F54" s="6">
        <f t="shared" si="0"/>
        <v>1</v>
      </c>
      <c r="G54" s="11">
        <v>5</v>
      </c>
      <c r="H54" s="9">
        <f t="shared" si="1"/>
        <v>5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Tanja</v>
      </c>
      <c r="E55" s="10" t="s">
        <v>2</v>
      </c>
      <c r="F55" s="6">
        <f t="shared" si="0"/>
        <v>1</v>
      </c>
      <c r="G55" s="11">
        <v>2</v>
      </c>
      <c r="H55" s="9">
        <f t="shared" si="1"/>
        <v>2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Tanja</v>
      </c>
      <c r="E56" s="10" t="s">
        <v>3</v>
      </c>
      <c r="F56" s="6">
        <f t="shared" si="0"/>
        <v>0</v>
      </c>
      <c r="G56" s="11"/>
      <c r="H56" s="9">
        <f t="shared" si="1"/>
        <v>0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Tanja</v>
      </c>
      <c r="E57" s="10" t="s">
        <v>3</v>
      </c>
      <c r="F57" s="6">
        <f t="shared" si="0"/>
        <v>0</v>
      </c>
      <c r="G57" s="11"/>
      <c r="H57" s="9">
        <f t="shared" si="1"/>
        <v>0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Tanja</v>
      </c>
      <c r="E58" s="10" t="s">
        <v>3</v>
      </c>
      <c r="F58" s="6">
        <f t="shared" si="0"/>
        <v>0</v>
      </c>
      <c r="G58" s="11"/>
      <c r="H58" s="9">
        <f t="shared" si="1"/>
        <v>0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Tanja</v>
      </c>
      <c r="E59" s="10" t="s">
        <v>3</v>
      </c>
      <c r="F59" s="6">
        <f t="shared" si="0"/>
        <v>0</v>
      </c>
      <c r="G59" s="11"/>
      <c r="H59" s="9">
        <f t="shared" si="1"/>
        <v>0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A59CD2AF-6A16-454A-8B26-292F3940CD00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F165FE6C-83CB-7F4D-8A0B-41C5C61FFAA7}">
      <formula1>0</formula1>
      <formula2>5</formula2>
    </dataValidation>
    <dataValidation type="list" allowBlank="1" showInputMessage="1" showErrorMessage="1" promptTitle="Have you seen the film?" sqref="E3:E59" xr:uid="{3C0FFB38-D721-2540-8482-4C420E04E3FC}">
      <formula1>$J$1:$J$2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1AB7-306D-1549-B129-9F2774C5FD81}">
  <dimension ref="A1:AMK59"/>
  <sheetViews>
    <sheetView zoomScaleNormal="100" workbookViewId="0">
      <selection activeCell="A3" sqref="A3:H59"/>
    </sheetView>
  </sheetViews>
  <sheetFormatPr baseColWidth="10" defaultColWidth="8.83203125" defaultRowHeight="16" x14ac:dyDescent="0.2"/>
  <cols>
    <col min="1" max="1" width="49" style="15" customWidth="1"/>
    <col min="2" max="2" width="5.1640625" style="15" customWidth="1"/>
    <col min="3" max="3" width="3.5" style="15" customWidth="1"/>
    <col min="4" max="4" width="15.33203125" style="15" customWidth="1"/>
    <col min="5" max="5" width="6.5" style="15" customWidth="1"/>
    <col min="6" max="6" width="3.5" style="15" customWidth="1"/>
    <col min="7" max="8" width="5.33203125" style="14" customWidth="1"/>
    <col min="9" max="9" width="5" style="15" hidden="1" customWidth="1"/>
    <col min="10" max="10" width="4" style="15" hidden="1" customWidth="1"/>
    <col min="11" max="1025" width="10.83203125" style="15" customWidth="1"/>
    <col min="1026" max="16384" width="8.83203125" style="19"/>
  </cols>
  <sheetData>
    <row r="1" spans="1:10" x14ac:dyDescent="0.2">
      <c r="A1" s="12" t="s">
        <v>64</v>
      </c>
      <c r="B1" s="12" t="s">
        <v>7</v>
      </c>
      <c r="C1" s="12"/>
      <c r="D1" s="12" t="s">
        <v>0</v>
      </c>
      <c r="E1" s="12" t="s">
        <v>1</v>
      </c>
      <c r="F1" s="12"/>
      <c r="G1" s="13" t="s">
        <v>4</v>
      </c>
      <c r="I1" s="15" t="s">
        <v>5</v>
      </c>
      <c r="J1" s="15" t="s">
        <v>2</v>
      </c>
    </row>
    <row r="2" spans="1:10" x14ac:dyDescent="0.2">
      <c r="J2" s="15" t="s">
        <v>3</v>
      </c>
    </row>
    <row r="3" spans="1:10" ht="15" customHeight="1" x14ac:dyDescent="0.2">
      <c r="A3" s="16" t="s">
        <v>8</v>
      </c>
      <c r="B3" s="16">
        <v>1968</v>
      </c>
      <c r="C3" s="16"/>
      <c r="D3" s="17" t="s">
        <v>68</v>
      </c>
      <c r="E3" s="17" t="s">
        <v>3</v>
      </c>
      <c r="F3" s="15">
        <f t="shared" ref="F3:F59" si="0">IF(E3="Yes",1,0)</f>
        <v>0</v>
      </c>
      <c r="G3" s="18"/>
      <c r="H3" s="14">
        <f t="shared" ref="H3:H59" si="1">F3*G3</f>
        <v>0</v>
      </c>
    </row>
    <row r="4" spans="1:10" x14ac:dyDescent="0.2">
      <c r="A4" s="16" t="s">
        <v>9</v>
      </c>
      <c r="B4" s="16">
        <v>1971</v>
      </c>
      <c r="C4" s="16"/>
      <c r="D4" s="15" t="str">
        <f t="shared" ref="D4:D59" si="2">IF(D$3="enter here","",D$3)</f>
        <v>Dmitry Cherepov</v>
      </c>
      <c r="E4" s="17" t="s">
        <v>2</v>
      </c>
      <c r="F4" s="15">
        <f t="shared" si="0"/>
        <v>1</v>
      </c>
      <c r="G4" s="18">
        <v>5</v>
      </c>
      <c r="H4" s="14">
        <f t="shared" si="1"/>
        <v>5</v>
      </c>
    </row>
    <row r="5" spans="1:10" x14ac:dyDescent="0.2">
      <c r="A5" s="15" t="s">
        <v>10</v>
      </c>
      <c r="B5" s="16">
        <v>2018</v>
      </c>
      <c r="C5" s="16"/>
      <c r="D5" s="15" t="str">
        <f t="shared" si="2"/>
        <v>Dmitry Cherepov</v>
      </c>
      <c r="E5" s="17" t="s">
        <v>3</v>
      </c>
      <c r="F5" s="15">
        <f t="shared" si="0"/>
        <v>0</v>
      </c>
      <c r="G5" s="18"/>
      <c r="H5" s="14">
        <f t="shared" si="1"/>
        <v>0</v>
      </c>
    </row>
    <row r="6" spans="1:10" x14ac:dyDescent="0.2">
      <c r="A6" s="16" t="s">
        <v>11</v>
      </c>
      <c r="B6" s="16">
        <v>2005</v>
      </c>
      <c r="C6" s="16"/>
      <c r="D6" s="15" t="str">
        <f t="shared" si="2"/>
        <v>Dmitry Cherepov</v>
      </c>
      <c r="E6" s="17" t="s">
        <v>3</v>
      </c>
      <c r="F6" s="15">
        <f t="shared" si="0"/>
        <v>0</v>
      </c>
      <c r="G6" s="18"/>
      <c r="H6" s="14">
        <f t="shared" si="1"/>
        <v>0</v>
      </c>
    </row>
    <row r="7" spans="1:10" x14ac:dyDescent="0.2">
      <c r="A7" s="16" t="s">
        <v>12</v>
      </c>
      <c r="B7" s="16">
        <v>1951</v>
      </c>
      <c r="C7" s="16"/>
      <c r="D7" s="15" t="str">
        <f t="shared" si="2"/>
        <v>Dmitry Cherepov</v>
      </c>
      <c r="E7" s="17" t="s">
        <v>3</v>
      </c>
      <c r="F7" s="15">
        <f t="shared" si="0"/>
        <v>0</v>
      </c>
      <c r="G7" s="18"/>
      <c r="H7" s="14">
        <f t="shared" si="1"/>
        <v>0</v>
      </c>
    </row>
    <row r="8" spans="1:10" x14ac:dyDescent="0.2">
      <c r="A8" s="15" t="s">
        <v>13</v>
      </c>
      <c r="B8" s="16">
        <v>1979</v>
      </c>
      <c r="C8" s="16"/>
      <c r="D8" s="15" t="str">
        <f t="shared" si="2"/>
        <v>Dmitry Cherepov</v>
      </c>
      <c r="E8" s="17" t="s">
        <v>3</v>
      </c>
      <c r="F8" s="15">
        <f t="shared" si="0"/>
        <v>0</v>
      </c>
      <c r="G8" s="18"/>
      <c r="H8" s="14">
        <f t="shared" si="1"/>
        <v>0</v>
      </c>
    </row>
    <row r="9" spans="1:10" x14ac:dyDescent="0.2">
      <c r="A9" s="16" t="s">
        <v>14</v>
      </c>
      <c r="B9" s="16">
        <v>1960</v>
      </c>
      <c r="C9" s="16"/>
      <c r="D9" s="15" t="str">
        <f t="shared" si="2"/>
        <v>Dmitry Cherepov</v>
      </c>
      <c r="E9" s="17" t="s">
        <v>3</v>
      </c>
      <c r="F9" s="15">
        <f t="shared" si="0"/>
        <v>0</v>
      </c>
      <c r="G9" s="18"/>
      <c r="H9" s="14">
        <f t="shared" si="1"/>
        <v>0</v>
      </c>
    </row>
    <row r="10" spans="1:10" x14ac:dyDescent="0.2">
      <c r="A10" s="15" t="s">
        <v>15</v>
      </c>
      <c r="B10" s="16">
        <v>1979</v>
      </c>
      <c r="C10" s="16"/>
      <c r="D10" s="15" t="str">
        <f t="shared" si="2"/>
        <v>Dmitry Cherepov</v>
      </c>
      <c r="E10" s="17" t="s">
        <v>3</v>
      </c>
      <c r="F10" s="15">
        <f t="shared" si="0"/>
        <v>0</v>
      </c>
      <c r="G10" s="18"/>
      <c r="H10" s="14">
        <f t="shared" si="1"/>
        <v>0</v>
      </c>
    </row>
    <row r="11" spans="1:10" x14ac:dyDescent="0.2">
      <c r="A11" s="16" t="s">
        <v>16</v>
      </c>
      <c r="B11" s="16">
        <v>1956</v>
      </c>
      <c r="C11" s="16"/>
      <c r="D11" s="15" t="str">
        <f t="shared" si="2"/>
        <v>Dmitry Cherepov</v>
      </c>
      <c r="E11" s="17" t="s">
        <v>2</v>
      </c>
      <c r="F11" s="15">
        <f t="shared" si="0"/>
        <v>1</v>
      </c>
      <c r="G11" s="18">
        <v>4</v>
      </c>
      <c r="H11" s="14">
        <f t="shared" si="1"/>
        <v>4</v>
      </c>
    </row>
    <row r="12" spans="1:10" x14ac:dyDescent="0.2">
      <c r="A12" s="15" t="s">
        <v>17</v>
      </c>
      <c r="B12" s="16">
        <v>2009</v>
      </c>
      <c r="C12" s="16"/>
      <c r="D12" s="15" t="str">
        <f t="shared" si="2"/>
        <v>Dmitry Cherepov</v>
      </c>
      <c r="E12" s="17" t="s">
        <v>2</v>
      </c>
      <c r="F12" s="15">
        <f t="shared" si="0"/>
        <v>1</v>
      </c>
      <c r="G12" s="18">
        <v>4.5</v>
      </c>
      <c r="H12" s="14">
        <f t="shared" si="1"/>
        <v>4.5</v>
      </c>
    </row>
    <row r="13" spans="1:10" x14ac:dyDescent="0.2">
      <c r="A13" s="15" t="s">
        <v>18</v>
      </c>
      <c r="B13" s="16">
        <v>1989</v>
      </c>
      <c r="C13" s="16"/>
      <c r="D13" s="15" t="str">
        <f t="shared" si="2"/>
        <v>Dmitry Cherepov</v>
      </c>
      <c r="E13" s="17" t="s">
        <v>3</v>
      </c>
      <c r="F13" s="15">
        <f t="shared" si="0"/>
        <v>0</v>
      </c>
      <c r="G13" s="18"/>
      <c r="H13" s="14">
        <f t="shared" si="1"/>
        <v>0</v>
      </c>
    </row>
    <row r="14" spans="1:10" x14ac:dyDescent="0.2">
      <c r="A14" s="15" t="s">
        <v>19</v>
      </c>
      <c r="B14" s="16">
        <v>1982</v>
      </c>
      <c r="C14" s="16"/>
      <c r="D14" s="15" t="str">
        <f t="shared" si="2"/>
        <v>Dmitry Cherepov</v>
      </c>
      <c r="E14" s="17" t="s">
        <v>2</v>
      </c>
      <c r="F14" s="15">
        <f t="shared" si="0"/>
        <v>1</v>
      </c>
      <c r="G14" s="18">
        <v>4.5</v>
      </c>
      <c r="H14" s="14">
        <f t="shared" si="1"/>
        <v>4.5</v>
      </c>
    </row>
    <row r="15" spans="1:10" x14ac:dyDescent="0.2">
      <c r="A15" s="15" t="s">
        <v>20</v>
      </c>
      <c r="B15" s="16">
        <v>2018</v>
      </c>
      <c r="C15" s="16"/>
      <c r="D15" s="15" t="str">
        <f t="shared" si="2"/>
        <v>Dmitry Cherepov</v>
      </c>
      <c r="E15" s="17" t="s">
        <v>3</v>
      </c>
      <c r="F15" s="15">
        <f t="shared" si="0"/>
        <v>0</v>
      </c>
      <c r="G15" s="18"/>
      <c r="H15" s="14">
        <f t="shared" si="1"/>
        <v>0</v>
      </c>
    </row>
    <row r="16" spans="1:10" x14ac:dyDescent="0.2">
      <c r="A16" s="15" t="s">
        <v>21</v>
      </c>
      <c r="B16" s="16">
        <v>2011</v>
      </c>
      <c r="C16" s="16"/>
      <c r="D16" s="15" t="str">
        <f t="shared" si="2"/>
        <v>Dmitry Cherepov</v>
      </c>
      <c r="E16" s="17" t="s">
        <v>3</v>
      </c>
      <c r="F16" s="15">
        <f t="shared" si="0"/>
        <v>0</v>
      </c>
      <c r="G16" s="18"/>
      <c r="H16" s="14">
        <f t="shared" si="1"/>
        <v>0</v>
      </c>
    </row>
    <row r="17" spans="1:8" x14ac:dyDescent="0.2">
      <c r="A17" s="15" t="s">
        <v>22</v>
      </c>
      <c r="B17" s="16">
        <v>2000</v>
      </c>
      <c r="C17" s="16"/>
      <c r="D17" s="15" t="str">
        <f t="shared" si="2"/>
        <v>Dmitry Cherepov</v>
      </c>
      <c r="E17" s="17" t="s">
        <v>3</v>
      </c>
      <c r="F17" s="15">
        <f t="shared" si="0"/>
        <v>0</v>
      </c>
      <c r="G17" s="18"/>
      <c r="H17" s="14">
        <f t="shared" si="1"/>
        <v>0</v>
      </c>
    </row>
    <row r="18" spans="1:8" x14ac:dyDescent="0.2">
      <c r="A18" s="16" t="s">
        <v>23</v>
      </c>
      <c r="B18" s="16">
        <v>1958</v>
      </c>
      <c r="C18" s="16"/>
      <c r="D18" s="15" t="str">
        <f t="shared" si="2"/>
        <v>Dmitry Cherepov</v>
      </c>
      <c r="E18" s="17" t="s">
        <v>3</v>
      </c>
      <c r="F18" s="15">
        <f t="shared" si="0"/>
        <v>0</v>
      </c>
      <c r="G18" s="18"/>
      <c r="H18" s="14">
        <f t="shared" si="1"/>
        <v>0</v>
      </c>
    </row>
    <row r="19" spans="1:8" x14ac:dyDescent="0.2">
      <c r="A19" s="16" t="s">
        <v>24</v>
      </c>
      <c r="B19" s="16">
        <v>1963</v>
      </c>
      <c r="C19" s="16"/>
      <c r="D19" s="15" t="str">
        <f t="shared" si="2"/>
        <v>Dmitry Cherepov</v>
      </c>
      <c r="E19" s="17" t="s">
        <v>3</v>
      </c>
      <c r="F19" s="15">
        <f t="shared" si="0"/>
        <v>0</v>
      </c>
      <c r="G19" s="18"/>
      <c r="H19" s="14">
        <f t="shared" si="1"/>
        <v>0</v>
      </c>
    </row>
    <row r="20" spans="1:8" x14ac:dyDescent="0.2">
      <c r="A20" s="15" t="s">
        <v>25</v>
      </c>
      <c r="B20" s="16">
        <v>2000</v>
      </c>
      <c r="C20" s="16"/>
      <c r="D20" s="15" t="str">
        <f t="shared" si="2"/>
        <v>Dmitry Cherepov</v>
      </c>
      <c r="E20" s="17" t="s">
        <v>3</v>
      </c>
      <c r="F20" s="15">
        <f t="shared" si="0"/>
        <v>0</v>
      </c>
      <c r="G20" s="18"/>
      <c r="H20" s="14">
        <f t="shared" si="1"/>
        <v>0</v>
      </c>
    </row>
    <row r="21" spans="1:8" x14ac:dyDescent="0.2">
      <c r="A21" s="15" t="s">
        <v>26</v>
      </c>
      <c r="B21" s="16">
        <v>1974</v>
      </c>
      <c r="C21" s="16"/>
      <c r="D21" s="15" t="str">
        <f t="shared" si="2"/>
        <v>Dmitry Cherepov</v>
      </c>
      <c r="E21" s="17" t="s">
        <v>3</v>
      </c>
      <c r="F21" s="15">
        <f t="shared" si="0"/>
        <v>0</v>
      </c>
      <c r="G21" s="18"/>
      <c r="H21" s="14">
        <f t="shared" si="1"/>
        <v>0</v>
      </c>
    </row>
    <row r="22" spans="1:8" x14ac:dyDescent="0.2">
      <c r="A22" s="16" t="s">
        <v>27</v>
      </c>
      <c r="B22" s="16">
        <v>1986</v>
      </c>
      <c r="C22" s="16"/>
      <c r="D22" s="15" t="str">
        <f t="shared" si="2"/>
        <v>Dmitry Cherepov</v>
      </c>
      <c r="E22" s="17" t="s">
        <v>3</v>
      </c>
      <c r="F22" s="15">
        <f t="shared" si="0"/>
        <v>0</v>
      </c>
      <c r="G22" s="18"/>
      <c r="H22" s="14">
        <f t="shared" si="1"/>
        <v>0</v>
      </c>
    </row>
    <row r="23" spans="1:8" x14ac:dyDescent="0.2">
      <c r="A23" s="16" t="s">
        <v>28</v>
      </c>
      <c r="B23" s="16">
        <v>2011</v>
      </c>
      <c r="C23" s="16"/>
      <c r="D23" s="15" t="str">
        <f t="shared" si="2"/>
        <v>Dmitry Cherepov</v>
      </c>
      <c r="E23" s="17" t="s">
        <v>3</v>
      </c>
      <c r="F23" s="15">
        <f t="shared" si="0"/>
        <v>0</v>
      </c>
      <c r="G23" s="18"/>
      <c r="H23" s="14">
        <f t="shared" si="1"/>
        <v>0</v>
      </c>
    </row>
    <row r="24" spans="1:8" x14ac:dyDescent="0.2">
      <c r="A24" s="16" t="s">
        <v>29</v>
      </c>
      <c r="B24" s="16">
        <v>1962</v>
      </c>
      <c r="C24" s="16"/>
      <c r="D24" s="15" t="str">
        <f t="shared" si="2"/>
        <v>Dmitry Cherepov</v>
      </c>
      <c r="E24" s="17" t="s">
        <v>3</v>
      </c>
      <c r="F24" s="15">
        <f t="shared" si="0"/>
        <v>0</v>
      </c>
      <c r="G24" s="18"/>
      <c r="H24" s="14">
        <f t="shared" si="1"/>
        <v>0</v>
      </c>
    </row>
    <row r="25" spans="1:8" x14ac:dyDescent="0.2">
      <c r="A25" s="16" t="s">
        <v>30</v>
      </c>
      <c r="B25" s="16">
        <v>1965</v>
      </c>
      <c r="C25" s="16"/>
      <c r="D25" s="15" t="str">
        <f t="shared" si="2"/>
        <v>Dmitry Cherepov</v>
      </c>
      <c r="E25" s="17" t="s">
        <v>3</v>
      </c>
      <c r="F25" s="15">
        <f t="shared" si="0"/>
        <v>0</v>
      </c>
      <c r="G25" s="18"/>
      <c r="H25" s="14">
        <f t="shared" si="1"/>
        <v>0</v>
      </c>
    </row>
    <row r="26" spans="1:8" x14ac:dyDescent="0.2">
      <c r="A26" s="16" t="s">
        <v>31</v>
      </c>
      <c r="B26" s="16">
        <v>1964</v>
      </c>
      <c r="C26" s="16"/>
      <c r="D26" s="15" t="str">
        <f t="shared" si="2"/>
        <v>Dmitry Cherepov</v>
      </c>
      <c r="E26" s="17" t="s">
        <v>3</v>
      </c>
      <c r="F26" s="15">
        <f t="shared" si="0"/>
        <v>0</v>
      </c>
      <c r="G26" s="18"/>
      <c r="H26" s="14">
        <f t="shared" si="1"/>
        <v>0</v>
      </c>
    </row>
    <row r="27" spans="1:8" x14ac:dyDescent="0.2">
      <c r="A27" s="16" t="s">
        <v>32</v>
      </c>
      <c r="B27" s="16">
        <v>2000</v>
      </c>
      <c r="C27" s="16"/>
      <c r="D27" s="15" t="str">
        <f t="shared" si="2"/>
        <v>Dmitry Cherepov</v>
      </c>
      <c r="E27" s="17" t="s">
        <v>3</v>
      </c>
      <c r="F27" s="15">
        <f t="shared" si="0"/>
        <v>0</v>
      </c>
      <c r="G27" s="18"/>
      <c r="H27" s="14">
        <f t="shared" si="1"/>
        <v>0</v>
      </c>
    </row>
    <row r="28" spans="1:8" x14ac:dyDescent="0.2">
      <c r="A28" s="16" t="s">
        <v>33</v>
      </c>
      <c r="B28" s="16">
        <v>1953</v>
      </c>
      <c r="C28" s="16"/>
      <c r="D28" s="15" t="str">
        <f t="shared" si="2"/>
        <v>Dmitry Cherepov</v>
      </c>
      <c r="E28" s="17" t="s">
        <v>3</v>
      </c>
      <c r="F28" s="15">
        <f t="shared" si="0"/>
        <v>0</v>
      </c>
      <c r="G28" s="18"/>
      <c r="H28" s="14">
        <f t="shared" si="1"/>
        <v>0</v>
      </c>
    </row>
    <row r="29" spans="1:8" x14ac:dyDescent="0.2">
      <c r="A29" s="16" t="s">
        <v>34</v>
      </c>
      <c r="B29" s="16">
        <v>2014</v>
      </c>
      <c r="C29" s="16"/>
      <c r="D29" s="15" t="str">
        <f t="shared" si="2"/>
        <v>Dmitry Cherepov</v>
      </c>
      <c r="E29" s="17" t="s">
        <v>2</v>
      </c>
      <c r="F29" s="15">
        <f t="shared" si="0"/>
        <v>1</v>
      </c>
      <c r="G29" s="18">
        <v>5</v>
      </c>
      <c r="H29" s="14">
        <f t="shared" si="1"/>
        <v>5</v>
      </c>
    </row>
    <row r="30" spans="1:8" x14ac:dyDescent="0.2">
      <c r="A30" s="15" t="s">
        <v>35</v>
      </c>
      <c r="B30" s="16">
        <v>2001</v>
      </c>
      <c r="C30" s="16"/>
      <c r="D30" s="15" t="str">
        <f t="shared" si="2"/>
        <v>Dmitry Cherepov</v>
      </c>
      <c r="E30" s="17" t="s">
        <v>2</v>
      </c>
      <c r="F30" s="15">
        <f t="shared" si="0"/>
        <v>1</v>
      </c>
      <c r="G30" s="18">
        <v>4</v>
      </c>
      <c r="H30" s="14">
        <f t="shared" si="1"/>
        <v>4</v>
      </c>
    </row>
    <row r="31" spans="1:8" x14ac:dyDescent="0.2">
      <c r="A31" s="16" t="s">
        <v>36</v>
      </c>
      <c r="B31" s="16">
        <v>1950</v>
      </c>
      <c r="C31" s="16"/>
      <c r="D31" s="15" t="str">
        <f t="shared" si="2"/>
        <v>Dmitry Cherepov</v>
      </c>
      <c r="E31" s="17" t="s">
        <v>3</v>
      </c>
      <c r="F31" s="15">
        <f t="shared" si="0"/>
        <v>0</v>
      </c>
      <c r="G31" s="18"/>
      <c r="H31" s="14">
        <f t="shared" si="1"/>
        <v>0</v>
      </c>
    </row>
    <row r="32" spans="1:8" x14ac:dyDescent="0.2">
      <c r="A32" s="16" t="s">
        <v>37</v>
      </c>
      <c r="B32" s="16">
        <v>1962</v>
      </c>
      <c r="C32" s="16"/>
      <c r="D32" s="15" t="str">
        <f t="shared" si="2"/>
        <v>Dmitry Cherepov</v>
      </c>
      <c r="E32" s="17" t="s">
        <v>3</v>
      </c>
      <c r="F32" s="15">
        <f t="shared" si="0"/>
        <v>0</v>
      </c>
      <c r="G32" s="18"/>
      <c r="H32" s="14">
        <f t="shared" si="1"/>
        <v>0</v>
      </c>
    </row>
    <row r="33" spans="1:8" x14ac:dyDescent="0.2">
      <c r="A33" s="15" t="s">
        <v>38</v>
      </c>
      <c r="B33" s="16">
        <v>1990</v>
      </c>
      <c r="C33" s="16"/>
      <c r="D33" s="15" t="str">
        <f t="shared" si="2"/>
        <v>Dmitry Cherepov</v>
      </c>
      <c r="E33" s="17" t="s">
        <v>2</v>
      </c>
      <c r="F33" s="15">
        <f t="shared" si="0"/>
        <v>1</v>
      </c>
      <c r="G33" s="18">
        <v>4</v>
      </c>
      <c r="H33" s="14">
        <f t="shared" si="1"/>
        <v>4</v>
      </c>
    </row>
    <row r="34" spans="1:8" x14ac:dyDescent="0.2">
      <c r="A34" s="16" t="s">
        <v>39</v>
      </c>
      <c r="B34" s="16">
        <v>2004</v>
      </c>
      <c r="C34" s="16"/>
      <c r="D34" s="15" t="str">
        <f t="shared" si="2"/>
        <v>Dmitry Cherepov</v>
      </c>
      <c r="E34" s="17" t="s">
        <v>2</v>
      </c>
      <c r="F34" s="15">
        <f t="shared" si="0"/>
        <v>1</v>
      </c>
      <c r="G34" s="18">
        <v>4.5</v>
      </c>
      <c r="H34" s="14">
        <f t="shared" si="1"/>
        <v>4.5</v>
      </c>
    </row>
    <row r="35" spans="1:8" x14ac:dyDescent="0.2">
      <c r="A35" s="16" t="s">
        <v>40</v>
      </c>
      <c r="B35" s="16">
        <v>1967</v>
      </c>
      <c r="C35" s="16"/>
      <c r="D35" s="15" t="str">
        <f t="shared" si="2"/>
        <v>Dmitry Cherepov</v>
      </c>
      <c r="E35" s="17" t="s">
        <v>3</v>
      </c>
      <c r="F35" s="15">
        <f t="shared" si="0"/>
        <v>0</v>
      </c>
      <c r="G35" s="18"/>
      <c r="H35" s="14">
        <f t="shared" si="1"/>
        <v>0</v>
      </c>
    </row>
    <row r="36" spans="1:8" x14ac:dyDescent="0.2">
      <c r="A36" s="15" t="s">
        <v>41</v>
      </c>
      <c r="B36" s="16">
        <v>2014</v>
      </c>
      <c r="C36" s="16"/>
      <c r="D36" s="15" t="str">
        <f t="shared" si="2"/>
        <v>Dmitry Cherepov</v>
      </c>
      <c r="E36" s="17" t="s">
        <v>3</v>
      </c>
      <c r="F36" s="15">
        <f t="shared" si="0"/>
        <v>0</v>
      </c>
      <c r="G36" s="18"/>
      <c r="H36" s="14">
        <f t="shared" si="1"/>
        <v>0</v>
      </c>
    </row>
    <row r="37" spans="1:8" x14ac:dyDescent="0.2">
      <c r="A37" s="15" t="s">
        <v>42</v>
      </c>
      <c r="B37" s="16">
        <v>1995</v>
      </c>
      <c r="C37" s="16"/>
      <c r="D37" s="15" t="str">
        <f t="shared" si="2"/>
        <v>Dmitry Cherepov</v>
      </c>
      <c r="E37" s="17" t="s">
        <v>2</v>
      </c>
      <c r="F37" s="15">
        <f t="shared" si="0"/>
        <v>1</v>
      </c>
      <c r="G37" s="18">
        <v>4</v>
      </c>
      <c r="H37" s="14">
        <f t="shared" si="1"/>
        <v>4</v>
      </c>
    </row>
    <row r="38" spans="1:8" x14ac:dyDescent="0.2">
      <c r="A38" s="16" t="s">
        <v>43</v>
      </c>
      <c r="B38" s="16">
        <v>2005</v>
      </c>
      <c r="C38" s="16"/>
      <c r="D38" s="15" t="str">
        <f t="shared" si="2"/>
        <v>Dmitry Cherepov</v>
      </c>
      <c r="E38" s="17" t="s">
        <v>2</v>
      </c>
      <c r="F38" s="15">
        <f t="shared" si="0"/>
        <v>1</v>
      </c>
      <c r="G38" s="18">
        <v>3.5</v>
      </c>
      <c r="H38" s="14">
        <f t="shared" si="1"/>
        <v>3.5</v>
      </c>
    </row>
    <row r="39" spans="1:8" x14ac:dyDescent="0.2">
      <c r="A39" s="15" t="s">
        <v>44</v>
      </c>
      <c r="B39" s="16">
        <v>2016</v>
      </c>
      <c r="C39" s="16"/>
      <c r="D39" s="15" t="str">
        <f t="shared" si="2"/>
        <v>Dmitry Cherepov</v>
      </c>
      <c r="E39" s="17" t="s">
        <v>2</v>
      </c>
      <c r="F39" s="15">
        <f t="shared" si="0"/>
        <v>1</v>
      </c>
      <c r="G39" s="18">
        <v>3.5</v>
      </c>
      <c r="H39" s="14">
        <f t="shared" si="1"/>
        <v>3.5</v>
      </c>
    </row>
    <row r="40" spans="1:8" x14ac:dyDescent="0.2">
      <c r="A40" s="15" t="s">
        <v>45</v>
      </c>
      <c r="B40" s="16">
        <v>2001</v>
      </c>
      <c r="C40" s="16"/>
      <c r="D40" s="15" t="str">
        <f t="shared" si="2"/>
        <v>Dmitry Cherepov</v>
      </c>
      <c r="E40" s="17" t="s">
        <v>2</v>
      </c>
      <c r="F40" s="15">
        <f t="shared" si="0"/>
        <v>1</v>
      </c>
      <c r="G40" s="18">
        <v>3</v>
      </c>
      <c r="H40" s="14">
        <f t="shared" si="1"/>
        <v>3</v>
      </c>
    </row>
    <row r="41" spans="1:8" x14ac:dyDescent="0.2">
      <c r="A41" s="16" t="s">
        <v>46</v>
      </c>
      <c r="B41" s="16">
        <v>1964</v>
      </c>
      <c r="C41" s="16"/>
      <c r="D41" s="15" t="str">
        <f t="shared" si="2"/>
        <v>Dmitry Cherepov</v>
      </c>
      <c r="E41" s="17" t="s">
        <v>3</v>
      </c>
      <c r="F41" s="15">
        <f t="shared" si="0"/>
        <v>0</v>
      </c>
      <c r="G41" s="18"/>
      <c r="H41" s="14">
        <f t="shared" si="1"/>
        <v>0</v>
      </c>
    </row>
    <row r="42" spans="1:8" x14ac:dyDescent="0.2">
      <c r="A42" s="16" t="s">
        <v>47</v>
      </c>
      <c r="B42" s="16">
        <v>1954</v>
      </c>
      <c r="C42" s="16"/>
      <c r="D42" s="15" t="str">
        <f t="shared" si="2"/>
        <v>Dmitry Cherepov</v>
      </c>
      <c r="E42" s="17" t="s">
        <v>3</v>
      </c>
      <c r="F42" s="15">
        <f t="shared" si="0"/>
        <v>0</v>
      </c>
      <c r="G42" s="18"/>
      <c r="H42" s="14">
        <f t="shared" si="1"/>
        <v>0</v>
      </c>
    </row>
    <row r="43" spans="1:8" x14ac:dyDescent="0.2">
      <c r="A43" s="16" t="s">
        <v>48</v>
      </c>
      <c r="B43" s="16">
        <v>1955</v>
      </c>
      <c r="C43" s="16"/>
      <c r="D43" s="15" t="str">
        <f t="shared" si="2"/>
        <v>Dmitry Cherepov</v>
      </c>
      <c r="E43" s="17" t="s">
        <v>3</v>
      </c>
      <c r="F43" s="15">
        <f t="shared" si="0"/>
        <v>0</v>
      </c>
      <c r="G43" s="18"/>
      <c r="H43" s="14">
        <f t="shared" si="1"/>
        <v>0</v>
      </c>
    </row>
    <row r="44" spans="1:8" x14ac:dyDescent="0.2">
      <c r="A44" s="16" t="s">
        <v>66</v>
      </c>
      <c r="B44" s="16">
        <v>2005</v>
      </c>
      <c r="C44" s="16"/>
      <c r="D44" s="15" t="str">
        <f t="shared" si="2"/>
        <v>Dmitry Cherepov</v>
      </c>
      <c r="E44" s="17" t="s">
        <v>3</v>
      </c>
      <c r="F44" s="15">
        <f t="shared" si="0"/>
        <v>0</v>
      </c>
      <c r="G44" s="18"/>
      <c r="H44" s="14">
        <f t="shared" si="1"/>
        <v>0</v>
      </c>
    </row>
    <row r="45" spans="1:8" x14ac:dyDescent="0.2">
      <c r="A45" s="15" t="s">
        <v>49</v>
      </c>
      <c r="B45" s="16">
        <v>1998</v>
      </c>
      <c r="C45" s="16"/>
      <c r="D45" s="15" t="str">
        <f t="shared" si="2"/>
        <v>Dmitry Cherepov</v>
      </c>
      <c r="E45" s="17" t="s">
        <v>3</v>
      </c>
      <c r="F45" s="15">
        <f t="shared" si="0"/>
        <v>0</v>
      </c>
      <c r="G45" s="18"/>
      <c r="H45" s="14">
        <f t="shared" si="1"/>
        <v>0</v>
      </c>
    </row>
    <row r="46" spans="1:8" x14ac:dyDescent="0.2">
      <c r="A46" s="15" t="s">
        <v>50</v>
      </c>
      <c r="B46" s="16">
        <v>1993</v>
      </c>
      <c r="C46" s="16"/>
      <c r="D46" s="15" t="str">
        <f t="shared" si="2"/>
        <v>Dmitry Cherepov</v>
      </c>
      <c r="E46" s="17" t="s">
        <v>3</v>
      </c>
      <c r="F46" s="15">
        <f t="shared" si="0"/>
        <v>0</v>
      </c>
      <c r="G46" s="18"/>
      <c r="H46" s="14">
        <f t="shared" si="1"/>
        <v>0</v>
      </c>
    </row>
    <row r="47" spans="1:8" x14ac:dyDescent="0.2">
      <c r="A47" s="16" t="s">
        <v>51</v>
      </c>
      <c r="B47" s="16">
        <v>1996</v>
      </c>
      <c r="C47" s="16"/>
      <c r="D47" s="15" t="str">
        <f t="shared" si="2"/>
        <v>Dmitry Cherepov</v>
      </c>
      <c r="E47" s="17" t="s">
        <v>3</v>
      </c>
      <c r="F47" s="15">
        <f t="shared" si="0"/>
        <v>0</v>
      </c>
      <c r="G47" s="18"/>
      <c r="H47" s="14">
        <f t="shared" si="1"/>
        <v>0</v>
      </c>
    </row>
    <row r="48" spans="1:8" x14ac:dyDescent="0.2">
      <c r="A48" s="15" t="s">
        <v>52</v>
      </c>
      <c r="B48" s="16">
        <v>1977</v>
      </c>
      <c r="C48" s="16"/>
      <c r="D48" s="15" t="str">
        <f t="shared" si="2"/>
        <v>Dmitry Cherepov</v>
      </c>
      <c r="E48" s="17" t="s">
        <v>3</v>
      </c>
      <c r="F48" s="15">
        <f t="shared" si="0"/>
        <v>0</v>
      </c>
      <c r="G48" s="18"/>
      <c r="H48" s="14">
        <f t="shared" si="1"/>
        <v>0</v>
      </c>
    </row>
    <row r="49" spans="1:8" x14ac:dyDescent="0.2">
      <c r="A49" s="15" t="s">
        <v>53</v>
      </c>
      <c r="B49" s="16">
        <v>2016</v>
      </c>
      <c r="C49" s="16"/>
      <c r="D49" s="15" t="str">
        <f t="shared" si="2"/>
        <v>Dmitry Cherepov</v>
      </c>
      <c r="E49" s="17" t="s">
        <v>2</v>
      </c>
      <c r="F49" s="15">
        <f t="shared" si="0"/>
        <v>1</v>
      </c>
      <c r="G49" s="18">
        <v>2</v>
      </c>
      <c r="H49" s="14">
        <f t="shared" si="1"/>
        <v>2</v>
      </c>
    </row>
    <row r="50" spans="1:8" x14ac:dyDescent="0.2">
      <c r="A50" s="16" t="s">
        <v>54</v>
      </c>
      <c r="B50" s="16">
        <v>2010</v>
      </c>
      <c r="C50" s="16"/>
      <c r="D50" s="15" t="str">
        <f t="shared" si="2"/>
        <v>Dmitry Cherepov</v>
      </c>
      <c r="E50" s="17" t="s">
        <v>3</v>
      </c>
      <c r="F50" s="15">
        <f t="shared" si="0"/>
        <v>0</v>
      </c>
      <c r="G50" s="18"/>
      <c r="H50" s="14">
        <f t="shared" si="1"/>
        <v>0</v>
      </c>
    </row>
    <row r="51" spans="1:8" x14ac:dyDescent="0.2">
      <c r="A51" s="15" t="s">
        <v>55</v>
      </c>
      <c r="B51" s="16">
        <v>2012</v>
      </c>
      <c r="C51" s="16"/>
      <c r="D51" s="15" t="str">
        <f t="shared" si="2"/>
        <v>Dmitry Cherepov</v>
      </c>
      <c r="E51" s="17" t="s">
        <v>2</v>
      </c>
      <c r="F51" s="15">
        <f t="shared" si="0"/>
        <v>1</v>
      </c>
      <c r="G51" s="18">
        <v>3</v>
      </c>
      <c r="H51" s="14">
        <f t="shared" si="1"/>
        <v>3</v>
      </c>
    </row>
    <row r="52" spans="1:8" x14ac:dyDescent="0.2">
      <c r="A52" s="15" t="s">
        <v>56</v>
      </c>
      <c r="B52" s="16">
        <v>1973</v>
      </c>
      <c r="C52" s="16"/>
      <c r="D52" s="15" t="str">
        <f t="shared" si="2"/>
        <v>Dmitry Cherepov</v>
      </c>
      <c r="E52" s="17" t="s">
        <v>3</v>
      </c>
      <c r="F52" s="15">
        <f t="shared" si="0"/>
        <v>0</v>
      </c>
      <c r="G52" s="18"/>
      <c r="H52" s="14">
        <f t="shared" si="1"/>
        <v>0</v>
      </c>
    </row>
    <row r="53" spans="1:8" x14ac:dyDescent="0.2">
      <c r="A53" s="15" t="s">
        <v>57</v>
      </c>
      <c r="B53" s="16">
        <v>1972</v>
      </c>
      <c r="C53" s="16"/>
      <c r="D53" s="15" t="str">
        <f t="shared" si="2"/>
        <v>Dmitry Cherepov</v>
      </c>
      <c r="E53" s="17" t="s">
        <v>2</v>
      </c>
      <c r="F53" s="15">
        <f t="shared" si="0"/>
        <v>1</v>
      </c>
      <c r="G53" s="18">
        <v>5</v>
      </c>
      <c r="H53" s="14">
        <f t="shared" si="1"/>
        <v>5</v>
      </c>
    </row>
    <row r="54" spans="1:8" x14ac:dyDescent="0.2">
      <c r="A54" s="16" t="s">
        <v>58</v>
      </c>
      <c r="B54" s="16">
        <v>1994</v>
      </c>
      <c r="C54" s="16"/>
      <c r="D54" s="15" t="str">
        <f t="shared" si="2"/>
        <v>Dmitry Cherepov</v>
      </c>
      <c r="E54" s="17" t="s">
        <v>3</v>
      </c>
      <c r="F54" s="15">
        <f t="shared" si="0"/>
        <v>0</v>
      </c>
      <c r="G54" s="18"/>
      <c r="H54" s="14">
        <f t="shared" si="1"/>
        <v>0</v>
      </c>
    </row>
    <row r="55" spans="1:8" x14ac:dyDescent="0.2">
      <c r="A55" s="15" t="s">
        <v>59</v>
      </c>
      <c r="B55" s="16">
        <v>1999</v>
      </c>
      <c r="C55" s="16"/>
      <c r="D55" s="15" t="str">
        <f t="shared" si="2"/>
        <v>Dmitry Cherepov</v>
      </c>
      <c r="E55" s="17" t="s">
        <v>2</v>
      </c>
      <c r="F55" s="15">
        <f t="shared" si="0"/>
        <v>1</v>
      </c>
      <c r="G55" s="18">
        <v>5</v>
      </c>
      <c r="H55" s="14">
        <f t="shared" si="1"/>
        <v>5</v>
      </c>
    </row>
    <row r="56" spans="1:8" x14ac:dyDescent="0.2">
      <c r="A56" s="15" t="s">
        <v>60</v>
      </c>
      <c r="B56" s="16">
        <v>1980</v>
      </c>
      <c r="C56" s="16"/>
      <c r="D56" s="15" t="str">
        <f t="shared" si="2"/>
        <v>Dmitry Cherepov</v>
      </c>
      <c r="E56" s="17" t="s">
        <v>2</v>
      </c>
      <c r="F56" s="15">
        <f t="shared" si="0"/>
        <v>1</v>
      </c>
      <c r="G56" s="18">
        <v>5</v>
      </c>
      <c r="H56" s="14">
        <f t="shared" si="1"/>
        <v>5</v>
      </c>
    </row>
    <row r="57" spans="1:8" x14ac:dyDescent="0.2">
      <c r="A57" s="15" t="s">
        <v>61</v>
      </c>
      <c r="B57" s="16">
        <v>1984</v>
      </c>
      <c r="C57" s="16"/>
      <c r="D57" s="15" t="str">
        <f t="shared" si="2"/>
        <v>Dmitry Cherepov</v>
      </c>
      <c r="E57" s="17" t="s">
        <v>2</v>
      </c>
      <c r="F57" s="15">
        <f t="shared" si="0"/>
        <v>1</v>
      </c>
      <c r="G57" s="18">
        <v>5</v>
      </c>
      <c r="H57" s="14">
        <f t="shared" si="1"/>
        <v>5</v>
      </c>
    </row>
    <row r="58" spans="1:8" x14ac:dyDescent="0.2">
      <c r="A58" s="15" t="s">
        <v>62</v>
      </c>
      <c r="B58" s="16">
        <v>1986</v>
      </c>
      <c r="C58" s="16"/>
      <c r="D58" s="15" t="str">
        <f t="shared" si="2"/>
        <v>Dmitry Cherepov</v>
      </c>
      <c r="E58" s="17" t="s">
        <v>3</v>
      </c>
      <c r="F58" s="15">
        <f t="shared" si="0"/>
        <v>0</v>
      </c>
      <c r="G58" s="18"/>
      <c r="H58" s="14">
        <f t="shared" si="1"/>
        <v>0</v>
      </c>
    </row>
    <row r="59" spans="1:8" x14ac:dyDescent="0.2">
      <c r="A59" s="15" t="s">
        <v>63</v>
      </c>
      <c r="B59" s="16">
        <v>1995</v>
      </c>
      <c r="C59" s="16"/>
      <c r="D59" s="15" t="str">
        <f t="shared" si="2"/>
        <v>Dmitry Cherepov</v>
      </c>
      <c r="E59" s="17" t="s">
        <v>2</v>
      </c>
      <c r="F59" s="15">
        <f t="shared" si="0"/>
        <v>1</v>
      </c>
      <c r="G59" s="18">
        <v>3.5</v>
      </c>
      <c r="H59" s="14">
        <f t="shared" si="1"/>
        <v>3.5</v>
      </c>
    </row>
  </sheetData>
  <dataValidations count="3">
    <dataValidation allowBlank="1" showInputMessage="1" showErrorMessage="1" promptTitle="Enter your name here" prompt="Please enter your name here._x000a_It will be added to each film entry for you." sqref="D3" xr:uid="{8CD97E08-9561-E943-B4BC-AECC3D386245}">
      <formula1>0</formula1>
      <formula2>0</formula2>
    </dataValidation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2879296B-B9D4-A548-9247-7B75C6D01222}">
      <formula1>0</formula1>
      <formula2>5</formula2>
    </dataValidation>
    <dataValidation type="list" allowBlank="1" showInputMessage="1" showErrorMessage="1" promptTitle="Have you seen the film?" sqref="E3:E59" xr:uid="{48D6CBFB-61E9-0747-975E-407B29422E4A}">
      <formula1>$J$1:$J$2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E55A-4162-4E4B-953C-9B802C2A8C53}">
  <dimension ref="A1:J59"/>
  <sheetViews>
    <sheetView topLeftCell="A4" workbookViewId="0">
      <selection activeCell="A3" sqref="A3"/>
    </sheetView>
  </sheetViews>
  <sheetFormatPr baseColWidth="10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69</v>
      </c>
      <c r="E3" s="10" t="s">
        <v>3</v>
      </c>
      <c r="F3" s="6">
        <f>IF(E3="Yes",1,0)</f>
        <v>0</v>
      </c>
      <c r="G3" s="11"/>
      <c r="H3" s="9">
        <f>F3*G3</f>
        <v>0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olka_dorn</v>
      </c>
      <c r="E4" s="10" t="s">
        <v>2</v>
      </c>
      <c r="F4" s="6">
        <f t="shared" ref="F4:F59" si="0">IF(E4="Yes",1,0)</f>
        <v>1</v>
      </c>
      <c r="G4" s="11">
        <v>5</v>
      </c>
      <c r="H4" s="9">
        <f t="shared" ref="H4:H59" si="1">F4*G4</f>
        <v>5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olka_dorn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olka_dorn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olka_dorn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olka_dorn</v>
      </c>
      <c r="E8" s="10" t="s">
        <v>3</v>
      </c>
      <c r="F8" s="6">
        <f t="shared" si="0"/>
        <v>0</v>
      </c>
      <c r="G8" s="11"/>
      <c r="H8" s="9">
        <f t="shared" si="1"/>
        <v>0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olka_dorn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olka_dorn</v>
      </c>
      <c r="E10" s="10" t="s">
        <v>3</v>
      </c>
      <c r="F10" s="6">
        <f t="shared" si="0"/>
        <v>0</v>
      </c>
      <c r="G10" s="11"/>
      <c r="H10" s="9">
        <f t="shared" si="1"/>
        <v>0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olka_dorn</v>
      </c>
      <c r="E11" s="10" t="s">
        <v>3</v>
      </c>
      <c r="F11" s="6">
        <f t="shared" si="0"/>
        <v>0</v>
      </c>
      <c r="G11" s="11"/>
      <c r="H11" s="9">
        <f t="shared" si="1"/>
        <v>0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olka_dorn</v>
      </c>
      <c r="E12" s="10" t="s">
        <v>2</v>
      </c>
      <c r="F12" s="6">
        <f t="shared" si="0"/>
        <v>1</v>
      </c>
      <c r="G12" s="11">
        <v>4</v>
      </c>
      <c r="H12" s="9">
        <f t="shared" si="1"/>
        <v>4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olka_dorn</v>
      </c>
      <c r="E13" s="10" t="s">
        <v>2</v>
      </c>
      <c r="F13" s="6">
        <f t="shared" si="0"/>
        <v>1</v>
      </c>
      <c r="G13" s="11">
        <v>5</v>
      </c>
      <c r="H13" s="9">
        <f t="shared" si="1"/>
        <v>5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olka_dorn</v>
      </c>
      <c r="E14" s="10" t="s">
        <v>3</v>
      </c>
      <c r="F14" s="6">
        <f t="shared" si="0"/>
        <v>0</v>
      </c>
      <c r="G14" s="11"/>
      <c r="H14" s="9">
        <f t="shared" si="1"/>
        <v>0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olka_dorn</v>
      </c>
      <c r="E15" s="10" t="s">
        <v>3</v>
      </c>
      <c r="F15" s="6">
        <f t="shared" si="0"/>
        <v>0</v>
      </c>
      <c r="G15" s="11"/>
      <c r="H15" s="9">
        <f t="shared" si="1"/>
        <v>0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olka_dorn</v>
      </c>
      <c r="E16" s="10" t="s">
        <v>3</v>
      </c>
      <c r="F16" s="6">
        <f t="shared" si="0"/>
        <v>0</v>
      </c>
      <c r="G16" s="11"/>
      <c r="H16" s="9">
        <f t="shared" si="1"/>
        <v>0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olka_dorn</v>
      </c>
      <c r="E17" s="10" t="s">
        <v>2</v>
      </c>
      <c r="F17" s="6">
        <f t="shared" si="0"/>
        <v>1</v>
      </c>
      <c r="G17" s="11">
        <v>4</v>
      </c>
      <c r="H17" s="9">
        <f t="shared" si="1"/>
        <v>4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olka_dorn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olka_dorn</v>
      </c>
      <c r="E19" s="10" t="s">
        <v>2</v>
      </c>
      <c r="F19" s="6">
        <f t="shared" si="0"/>
        <v>1</v>
      </c>
      <c r="G19" s="11">
        <v>5</v>
      </c>
      <c r="H19" s="9">
        <f t="shared" si="1"/>
        <v>5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olka_dorn</v>
      </c>
      <c r="E20" s="10" t="s">
        <v>2</v>
      </c>
      <c r="F20" s="6">
        <f t="shared" si="0"/>
        <v>1</v>
      </c>
      <c r="G20" s="11">
        <v>3</v>
      </c>
      <c r="H20" s="9">
        <f t="shared" si="1"/>
        <v>3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olka_dorn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olka_dorn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olka_dorn</v>
      </c>
      <c r="E23" s="10" t="s">
        <v>3</v>
      </c>
      <c r="F23" s="6">
        <f t="shared" si="0"/>
        <v>0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olka_dorn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olka_dorn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olka_dorn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olka_dorn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olka_dorn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olka_dorn</v>
      </c>
      <c r="E29" s="10" t="s">
        <v>2</v>
      </c>
      <c r="F29" s="6">
        <f t="shared" si="0"/>
        <v>1</v>
      </c>
      <c r="G29" s="11">
        <v>4</v>
      </c>
      <c r="H29" s="9">
        <f t="shared" si="1"/>
        <v>4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olka_dorn</v>
      </c>
      <c r="E30" s="10" t="s">
        <v>2</v>
      </c>
      <c r="F30" s="6">
        <f t="shared" si="0"/>
        <v>1</v>
      </c>
      <c r="G30" s="11">
        <v>5</v>
      </c>
      <c r="H30" s="9">
        <f t="shared" si="1"/>
        <v>5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olka_dorn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olka_dorn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olka_dorn</v>
      </c>
      <c r="E33" s="10" t="s">
        <v>2</v>
      </c>
      <c r="F33" s="6">
        <f t="shared" si="0"/>
        <v>1</v>
      </c>
      <c r="G33" s="11">
        <v>5</v>
      </c>
      <c r="H33" s="9">
        <f t="shared" si="1"/>
        <v>5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olka_dorn</v>
      </c>
      <c r="E34" s="10" t="s">
        <v>3</v>
      </c>
      <c r="F34" s="6">
        <f t="shared" si="0"/>
        <v>0</v>
      </c>
      <c r="G34" s="11"/>
      <c r="H34" s="9">
        <f t="shared" si="1"/>
        <v>0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olka_dorn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olka_dorn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olka_dorn</v>
      </c>
      <c r="E37" s="10" t="s">
        <v>2</v>
      </c>
      <c r="F37" s="6">
        <f t="shared" si="0"/>
        <v>1</v>
      </c>
      <c r="G37" s="11">
        <v>4</v>
      </c>
      <c r="H37" s="9">
        <f t="shared" si="1"/>
        <v>4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olka_dorn</v>
      </c>
      <c r="E38" s="10" t="s">
        <v>3</v>
      </c>
      <c r="F38" s="6">
        <f t="shared" si="0"/>
        <v>0</v>
      </c>
      <c r="G38" s="11"/>
      <c r="H38" s="9">
        <f t="shared" si="1"/>
        <v>0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olka_dorn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olka_dorn</v>
      </c>
      <c r="E40" s="10" t="s">
        <v>3</v>
      </c>
      <c r="F40" s="6">
        <f t="shared" si="0"/>
        <v>0</v>
      </c>
      <c r="G40" s="11"/>
      <c r="H40" s="9">
        <f t="shared" si="1"/>
        <v>0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olka_dorn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olka_dorn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olka_dorn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olka_dorn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olka_dorn</v>
      </c>
      <c r="E45" s="10" t="s">
        <v>2</v>
      </c>
      <c r="F45" s="6">
        <f t="shared" si="0"/>
        <v>1</v>
      </c>
      <c r="G45" s="11">
        <v>4</v>
      </c>
      <c r="H45" s="9">
        <f t="shared" si="1"/>
        <v>4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olka_dorn</v>
      </c>
      <c r="E46" s="10" t="s">
        <v>3</v>
      </c>
      <c r="F46" s="6">
        <f t="shared" si="0"/>
        <v>0</v>
      </c>
      <c r="G46" s="11"/>
      <c r="H46" s="9">
        <f t="shared" si="1"/>
        <v>0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olka_dorn</v>
      </c>
      <c r="E47" s="10" t="s">
        <v>2</v>
      </c>
      <c r="F47" s="6">
        <f t="shared" si="0"/>
        <v>1</v>
      </c>
      <c r="G47" s="11">
        <v>2</v>
      </c>
      <c r="H47" s="9">
        <f t="shared" si="1"/>
        <v>2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olka_dorn</v>
      </c>
      <c r="E48" s="10" t="s">
        <v>3</v>
      </c>
      <c r="F48" s="6">
        <f t="shared" si="0"/>
        <v>0</v>
      </c>
      <c r="G48" s="11"/>
      <c r="H48" s="9">
        <f t="shared" si="1"/>
        <v>0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olka_dorn</v>
      </c>
      <c r="E49" s="10" t="s">
        <v>3</v>
      </c>
      <c r="F49" s="6">
        <f t="shared" si="0"/>
        <v>0</v>
      </c>
      <c r="G49" s="11"/>
      <c r="H49" s="9">
        <f t="shared" si="1"/>
        <v>0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olka_dorn</v>
      </c>
      <c r="E50" s="10" t="s">
        <v>2</v>
      </c>
      <c r="F50" s="6">
        <f t="shared" si="0"/>
        <v>1</v>
      </c>
      <c r="G50" s="11">
        <v>5</v>
      </c>
      <c r="H50" s="9">
        <f t="shared" si="1"/>
        <v>5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olka_dorn</v>
      </c>
      <c r="E51" s="10" t="s">
        <v>3</v>
      </c>
      <c r="F51" s="6">
        <f t="shared" si="0"/>
        <v>0</v>
      </c>
      <c r="G51" s="11"/>
      <c r="H51" s="9">
        <f t="shared" si="1"/>
        <v>0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olka_dorn</v>
      </c>
      <c r="E52" s="10" t="s">
        <v>3</v>
      </c>
      <c r="F52" s="6">
        <f t="shared" si="0"/>
        <v>0</v>
      </c>
      <c r="G52" s="11"/>
      <c r="H52" s="9">
        <f t="shared" si="1"/>
        <v>0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olka_dorn</v>
      </c>
      <c r="E53" s="10" t="s">
        <v>3</v>
      </c>
      <c r="F53" s="6">
        <f t="shared" si="0"/>
        <v>0</v>
      </c>
      <c r="G53" s="11"/>
      <c r="H53" s="9">
        <f t="shared" si="1"/>
        <v>0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olka_dorn</v>
      </c>
      <c r="E54" s="10" t="s">
        <v>2</v>
      </c>
      <c r="F54" s="6">
        <f t="shared" si="0"/>
        <v>1</v>
      </c>
      <c r="G54" s="11">
        <v>4</v>
      </c>
      <c r="H54" s="9">
        <f t="shared" si="1"/>
        <v>4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olka_dorn</v>
      </c>
      <c r="E55" s="10" t="s">
        <v>2</v>
      </c>
      <c r="F55" s="6">
        <f t="shared" si="0"/>
        <v>1</v>
      </c>
      <c r="G55" s="11">
        <v>5</v>
      </c>
      <c r="H55" s="9">
        <f t="shared" si="1"/>
        <v>5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olka_dorn</v>
      </c>
      <c r="E56" s="10" t="s">
        <v>3</v>
      </c>
      <c r="F56" s="6">
        <f t="shared" si="0"/>
        <v>0</v>
      </c>
      <c r="G56" s="11"/>
      <c r="H56" s="9">
        <f t="shared" si="1"/>
        <v>0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olka_dorn</v>
      </c>
      <c r="E57" s="10" t="s">
        <v>3</v>
      </c>
      <c r="F57" s="6">
        <f t="shared" si="0"/>
        <v>0</v>
      </c>
      <c r="G57" s="11"/>
      <c r="H57" s="9">
        <f t="shared" si="1"/>
        <v>0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olka_dorn</v>
      </c>
      <c r="E58" s="10" t="s">
        <v>3</v>
      </c>
      <c r="F58" s="6">
        <f t="shared" si="0"/>
        <v>0</v>
      </c>
      <c r="G58" s="11"/>
      <c r="H58" s="9">
        <f t="shared" si="1"/>
        <v>0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olka_dorn</v>
      </c>
      <c r="E59" s="10" t="s">
        <v>2</v>
      </c>
      <c r="F59" s="6">
        <f t="shared" si="0"/>
        <v>1</v>
      </c>
      <c r="G59" s="11">
        <v>4</v>
      </c>
      <c r="H59" s="9">
        <f t="shared" si="1"/>
        <v>4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52F36066-48FB-7F47-BC9D-880EFCA4B73B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C7B2CA49-ED28-1849-9308-C7C878C64BEC}">
      <formula1>0</formula1>
      <formula2>5</formula2>
    </dataValidation>
    <dataValidation type="list" allowBlank="1" showInputMessage="1" showErrorMessage="1" promptTitle="Have you seen the film?" sqref="E3:E59" xr:uid="{C825D276-1D98-A042-AD78-9BB66EC8C749}">
      <formula1>$J$1:$J$2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9A8A-B034-6344-A054-5EA9A28D8ECE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70</v>
      </c>
      <c r="E3" s="10" t="s">
        <v>3</v>
      </c>
      <c r="F3" s="6">
        <f>IF(E3="Yes",1,0)</f>
        <v>0</v>
      </c>
      <c r="G3" s="11"/>
      <c r="H3" s="9">
        <f>F3*G3</f>
        <v>0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11ea-aaef</v>
      </c>
      <c r="E4" s="10" t="s">
        <v>3</v>
      </c>
      <c r="F4" s="6">
        <f t="shared" ref="F4:F59" si="0">IF(E4="Yes",1,0)</f>
        <v>0</v>
      </c>
      <c r="G4" s="11"/>
      <c r="H4" s="9">
        <f t="shared" ref="H4:H59" si="1">F4*G4</f>
        <v>0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11ea-aaef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11ea-aaef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11ea-aaef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11ea-aaef</v>
      </c>
      <c r="E8" s="10" t="s">
        <v>3</v>
      </c>
      <c r="F8" s="6">
        <f t="shared" si="0"/>
        <v>0</v>
      </c>
      <c r="G8" s="11"/>
      <c r="H8" s="9">
        <f t="shared" si="1"/>
        <v>0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11ea-aaef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11ea-aaef</v>
      </c>
      <c r="E10" s="10" t="s">
        <v>3</v>
      </c>
      <c r="F10" s="6">
        <f t="shared" si="0"/>
        <v>0</v>
      </c>
      <c r="G10" s="11"/>
      <c r="H10" s="9">
        <f t="shared" si="1"/>
        <v>0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11ea-aaef</v>
      </c>
      <c r="E11" s="10" t="s">
        <v>3</v>
      </c>
      <c r="F11" s="6">
        <f t="shared" si="0"/>
        <v>0</v>
      </c>
      <c r="G11" s="11"/>
      <c r="H11" s="9">
        <f t="shared" si="1"/>
        <v>0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11ea-aaef</v>
      </c>
      <c r="E12" s="10" t="s">
        <v>2</v>
      </c>
      <c r="F12" s="6">
        <f t="shared" si="0"/>
        <v>1</v>
      </c>
      <c r="G12" s="11">
        <v>5</v>
      </c>
      <c r="H12" s="9">
        <f t="shared" si="1"/>
        <v>5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11ea-aaef</v>
      </c>
      <c r="E13" s="10" t="s">
        <v>3</v>
      </c>
      <c r="F13" s="6">
        <f t="shared" si="0"/>
        <v>0</v>
      </c>
      <c r="G13" s="11"/>
      <c r="H13" s="9">
        <f t="shared" si="1"/>
        <v>0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11ea-aaef</v>
      </c>
      <c r="E14" s="10" t="s">
        <v>3</v>
      </c>
      <c r="F14" s="6">
        <f t="shared" si="0"/>
        <v>0</v>
      </c>
      <c r="G14" s="11"/>
      <c r="H14" s="9">
        <f t="shared" si="1"/>
        <v>0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11ea-aaef</v>
      </c>
      <c r="E15" s="10" t="s">
        <v>2</v>
      </c>
      <c r="F15" s="6">
        <f t="shared" si="0"/>
        <v>1</v>
      </c>
      <c r="G15" s="11">
        <v>3</v>
      </c>
      <c r="H15" s="9">
        <f t="shared" si="1"/>
        <v>3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11ea-aaef</v>
      </c>
      <c r="E16" s="10" t="s">
        <v>3</v>
      </c>
      <c r="F16" s="6">
        <f t="shared" si="0"/>
        <v>0</v>
      </c>
      <c r="G16" s="11"/>
      <c r="H16" s="9">
        <f t="shared" si="1"/>
        <v>0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11ea-aaef</v>
      </c>
      <c r="E17" s="10" t="s">
        <v>3</v>
      </c>
      <c r="F17" s="6">
        <f t="shared" si="0"/>
        <v>0</v>
      </c>
      <c r="G17" s="11"/>
      <c r="H17" s="9">
        <f t="shared" si="1"/>
        <v>0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11ea-aaef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11ea-aaef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11ea-aaef</v>
      </c>
      <c r="E20" s="10" t="s">
        <v>2</v>
      </c>
      <c r="F20" s="6">
        <f t="shared" si="0"/>
        <v>1</v>
      </c>
      <c r="G20" s="11">
        <v>1</v>
      </c>
      <c r="H20" s="9">
        <f t="shared" si="1"/>
        <v>1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11ea-aaef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11ea-aaef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11ea-aaef</v>
      </c>
      <c r="E23" s="10" t="s">
        <v>3</v>
      </c>
      <c r="F23" s="6">
        <f t="shared" si="0"/>
        <v>0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11ea-aaef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11ea-aaef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11ea-aaef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11ea-aaef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11ea-aaef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11ea-aaef</v>
      </c>
      <c r="E29" s="10" t="s">
        <v>3</v>
      </c>
      <c r="F29" s="6">
        <f t="shared" si="0"/>
        <v>0</v>
      </c>
      <c r="G29" s="11"/>
      <c r="H29" s="9">
        <f t="shared" si="1"/>
        <v>0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11ea-aaef</v>
      </c>
      <c r="E30" s="10" t="s">
        <v>2</v>
      </c>
      <c r="F30" s="6">
        <f t="shared" si="0"/>
        <v>1</v>
      </c>
      <c r="G30" s="11">
        <v>4</v>
      </c>
      <c r="H30" s="9">
        <f t="shared" si="1"/>
        <v>4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11ea-aaef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11ea-aaef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11ea-aaef</v>
      </c>
      <c r="E33" s="10" t="s">
        <v>2</v>
      </c>
      <c r="F33" s="6">
        <f t="shared" si="0"/>
        <v>1</v>
      </c>
      <c r="G33" s="11">
        <v>2</v>
      </c>
      <c r="H33" s="9">
        <f t="shared" si="1"/>
        <v>2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11ea-aaef</v>
      </c>
      <c r="E34" s="10" t="s">
        <v>2</v>
      </c>
      <c r="F34" s="6">
        <f t="shared" si="0"/>
        <v>1</v>
      </c>
      <c r="G34" s="11">
        <v>5</v>
      </c>
      <c r="H34" s="9">
        <f t="shared" si="1"/>
        <v>5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11ea-aaef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11ea-aaef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11ea-aaef</v>
      </c>
      <c r="E37" s="10" t="s">
        <v>3</v>
      </c>
      <c r="F37" s="6">
        <f t="shared" si="0"/>
        <v>0</v>
      </c>
      <c r="G37" s="11"/>
      <c r="H37" s="9">
        <f t="shared" si="1"/>
        <v>0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11ea-aaef</v>
      </c>
      <c r="E38" s="10" t="s">
        <v>3</v>
      </c>
      <c r="F38" s="6">
        <f t="shared" si="0"/>
        <v>0</v>
      </c>
      <c r="G38" s="11"/>
      <c r="H38" s="9">
        <f t="shared" si="1"/>
        <v>0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11ea-aaef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11ea-aaef</v>
      </c>
      <c r="E40" s="10" t="s">
        <v>2</v>
      </c>
      <c r="F40" s="6">
        <f t="shared" si="0"/>
        <v>1</v>
      </c>
      <c r="G40" s="11">
        <v>4</v>
      </c>
      <c r="H40" s="9">
        <f t="shared" si="1"/>
        <v>4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11ea-aaef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11ea-aaef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11ea-aaef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11ea-aaef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11ea-aaef</v>
      </c>
      <c r="E45" s="10" t="s">
        <v>3</v>
      </c>
      <c r="F45" s="6">
        <f t="shared" si="0"/>
        <v>0</v>
      </c>
      <c r="G45" s="11"/>
      <c r="H45" s="9">
        <f t="shared" si="1"/>
        <v>0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11ea-aaef</v>
      </c>
      <c r="E46" s="10" t="s">
        <v>3</v>
      </c>
      <c r="F46" s="6">
        <f t="shared" si="0"/>
        <v>0</v>
      </c>
      <c r="G46" s="11"/>
      <c r="H46" s="9">
        <f t="shared" si="1"/>
        <v>0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11ea-aaef</v>
      </c>
      <c r="E47" s="10" t="s">
        <v>3</v>
      </c>
      <c r="F47" s="6">
        <f t="shared" si="0"/>
        <v>0</v>
      </c>
      <c r="G47" s="11"/>
      <c r="H47" s="9">
        <f t="shared" si="1"/>
        <v>0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11ea-aaef</v>
      </c>
      <c r="E48" s="10" t="s">
        <v>3</v>
      </c>
      <c r="F48" s="6">
        <f t="shared" si="0"/>
        <v>0</v>
      </c>
      <c r="G48" s="11"/>
      <c r="H48" s="9">
        <f t="shared" si="1"/>
        <v>0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11ea-aaef</v>
      </c>
      <c r="E49" s="10" t="s">
        <v>3</v>
      </c>
      <c r="F49" s="6">
        <f t="shared" si="0"/>
        <v>0</v>
      </c>
      <c r="G49" s="11"/>
      <c r="H49" s="9">
        <f t="shared" si="1"/>
        <v>0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11ea-aaef</v>
      </c>
      <c r="E50" s="10" t="s">
        <v>2</v>
      </c>
      <c r="F50" s="6">
        <f t="shared" si="0"/>
        <v>1</v>
      </c>
      <c r="G50" s="11">
        <v>2</v>
      </c>
      <c r="H50" s="9">
        <f t="shared" si="1"/>
        <v>2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11ea-aaef</v>
      </c>
      <c r="E51" s="10" t="s">
        <v>3</v>
      </c>
      <c r="F51" s="6">
        <f t="shared" si="0"/>
        <v>0</v>
      </c>
      <c r="G51" s="11"/>
      <c r="H51" s="9">
        <f t="shared" si="1"/>
        <v>0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11ea-aaef</v>
      </c>
      <c r="E52" s="10" t="s">
        <v>3</v>
      </c>
      <c r="F52" s="6">
        <f t="shared" si="0"/>
        <v>0</v>
      </c>
      <c r="G52" s="11"/>
      <c r="H52" s="9">
        <f t="shared" si="1"/>
        <v>0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11ea-aaef</v>
      </c>
      <c r="E53" s="10" t="s">
        <v>3</v>
      </c>
      <c r="F53" s="6">
        <f t="shared" si="0"/>
        <v>0</v>
      </c>
      <c r="G53" s="11"/>
      <c r="H53" s="9">
        <f t="shared" si="1"/>
        <v>0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11ea-aaef</v>
      </c>
      <c r="E54" s="10" t="s">
        <v>2</v>
      </c>
      <c r="F54" s="6">
        <f t="shared" si="0"/>
        <v>1</v>
      </c>
      <c r="G54" s="11">
        <v>4</v>
      </c>
      <c r="H54" s="9">
        <f t="shared" si="1"/>
        <v>4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11ea-aaef</v>
      </c>
      <c r="E55" s="10" t="s">
        <v>2</v>
      </c>
      <c r="F55" s="6">
        <f t="shared" si="0"/>
        <v>1</v>
      </c>
      <c r="G55" s="11">
        <v>3</v>
      </c>
      <c r="H55" s="9">
        <f t="shared" si="1"/>
        <v>3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11ea-aaef</v>
      </c>
      <c r="E56" s="10" t="s">
        <v>3</v>
      </c>
      <c r="F56" s="6">
        <f t="shared" si="0"/>
        <v>0</v>
      </c>
      <c r="G56" s="11"/>
      <c r="H56" s="9">
        <f t="shared" si="1"/>
        <v>0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11ea-aaef</v>
      </c>
      <c r="E57" s="10" t="s">
        <v>2</v>
      </c>
      <c r="F57" s="6">
        <f t="shared" si="0"/>
        <v>1</v>
      </c>
      <c r="G57" s="11">
        <v>3</v>
      </c>
      <c r="H57" s="9">
        <f t="shared" si="1"/>
        <v>3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11ea-aaef</v>
      </c>
      <c r="E58" s="10" t="s">
        <v>3</v>
      </c>
      <c r="F58" s="6">
        <f t="shared" si="0"/>
        <v>0</v>
      </c>
      <c r="G58" s="11"/>
      <c r="H58" s="9">
        <f t="shared" si="1"/>
        <v>0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11ea-aaef</v>
      </c>
      <c r="E59" s="10" t="s">
        <v>2</v>
      </c>
      <c r="F59" s="6">
        <f t="shared" si="0"/>
        <v>1</v>
      </c>
      <c r="G59" s="11">
        <v>4</v>
      </c>
      <c r="H59" s="9">
        <f t="shared" si="1"/>
        <v>4</v>
      </c>
    </row>
  </sheetData>
  <autoFilter ref="E1:E59" xr:uid="{1F9D1289-B839-425C-AA98-CD085F87DCA8}"/>
  <dataConsolidate/>
  <dataValidations count="3">
    <dataValidation allowBlank="1" showInputMessage="1" showErrorMessage="1" promptTitle="Enter your name here" prompt="Please enter your name here._x000a_It will be added to each film entry for you." sqref="D3" xr:uid="{E00159A1-1876-E946-9944-6253EE589561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169501FA-F31A-DF45-B4C2-952D7A02CB79}">
      <formula1>0</formula1>
      <formula2>5</formula2>
    </dataValidation>
    <dataValidation type="list" allowBlank="1" showInputMessage="1" showErrorMessage="1" promptTitle="Have you seen the film?" sqref="E3:E59" xr:uid="{00EAEC47-CDFC-7240-A2A6-993472280CDE}">
      <formula1>$J$1:$J$2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1ED4-B173-AA49-B2D2-B5049719D845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71</v>
      </c>
      <c r="E3" s="10" t="s">
        <v>2</v>
      </c>
      <c r="F3" s="6">
        <f>IF(E3="Yes",1,0)</f>
        <v>1</v>
      </c>
      <c r="G3" s="11">
        <v>2</v>
      </c>
      <c r="H3" s="9">
        <f>F3*G3</f>
        <v>2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Manuel</v>
      </c>
      <c r="E4" s="10" t="s">
        <v>3</v>
      </c>
      <c r="F4" s="6">
        <f t="shared" ref="F4:F59" si="0">IF(E4="Yes",1,0)</f>
        <v>0</v>
      </c>
      <c r="G4" s="11"/>
      <c r="H4" s="9">
        <f t="shared" ref="H4:H59" si="1">F4*G4</f>
        <v>0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Manuel</v>
      </c>
      <c r="E5" s="10" t="s">
        <v>2</v>
      </c>
      <c r="F5" s="6">
        <f t="shared" si="0"/>
        <v>1</v>
      </c>
      <c r="G5" s="11">
        <v>4</v>
      </c>
      <c r="H5" s="9">
        <f t="shared" si="1"/>
        <v>4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Manuel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Manuel</v>
      </c>
      <c r="E7" s="10" t="s">
        <v>2</v>
      </c>
      <c r="F7" s="6">
        <f t="shared" si="0"/>
        <v>1</v>
      </c>
      <c r="G7" s="11">
        <v>4</v>
      </c>
      <c r="H7" s="9">
        <f t="shared" si="1"/>
        <v>4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Manuel</v>
      </c>
      <c r="E8" s="10" t="s">
        <v>3</v>
      </c>
      <c r="F8" s="6">
        <f t="shared" si="0"/>
        <v>0</v>
      </c>
      <c r="G8" s="11"/>
      <c r="H8" s="9">
        <f t="shared" si="1"/>
        <v>0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Manuel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Manuel</v>
      </c>
      <c r="E10" s="10" t="s">
        <v>2</v>
      </c>
      <c r="F10" s="6">
        <f t="shared" si="0"/>
        <v>1</v>
      </c>
      <c r="G10" s="11">
        <v>2</v>
      </c>
      <c r="H10" s="9">
        <f t="shared" si="1"/>
        <v>2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Manuel</v>
      </c>
      <c r="E11" s="10" t="s">
        <v>3</v>
      </c>
      <c r="F11" s="6">
        <f t="shared" si="0"/>
        <v>0</v>
      </c>
      <c r="G11" s="11"/>
      <c r="H11" s="9">
        <f t="shared" si="1"/>
        <v>0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Manuel</v>
      </c>
      <c r="E12" s="10" t="s">
        <v>2</v>
      </c>
      <c r="F12" s="6">
        <f t="shared" si="0"/>
        <v>1</v>
      </c>
      <c r="G12" s="11">
        <v>4</v>
      </c>
      <c r="H12" s="9">
        <f t="shared" si="1"/>
        <v>4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Manuel</v>
      </c>
      <c r="E13" s="10" t="s">
        <v>2</v>
      </c>
      <c r="F13" s="6">
        <f t="shared" si="0"/>
        <v>1</v>
      </c>
      <c r="G13" s="11">
        <v>4</v>
      </c>
      <c r="H13" s="9">
        <f t="shared" si="1"/>
        <v>4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Manuel</v>
      </c>
      <c r="E14" s="10" t="s">
        <v>2</v>
      </c>
      <c r="F14" s="6">
        <f t="shared" si="0"/>
        <v>1</v>
      </c>
      <c r="G14" s="11">
        <v>2</v>
      </c>
      <c r="H14" s="9">
        <f t="shared" si="1"/>
        <v>2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Manuel</v>
      </c>
      <c r="E15" s="10" t="s">
        <v>3</v>
      </c>
      <c r="F15" s="6">
        <f t="shared" si="0"/>
        <v>0</v>
      </c>
      <c r="G15" s="11"/>
      <c r="H15" s="9">
        <f t="shared" si="1"/>
        <v>0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Manuel</v>
      </c>
      <c r="E16" s="10" t="s">
        <v>3</v>
      </c>
      <c r="F16" s="6">
        <f t="shared" si="0"/>
        <v>0</v>
      </c>
      <c r="G16" s="11"/>
      <c r="H16" s="9">
        <f t="shared" si="1"/>
        <v>0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Manuel</v>
      </c>
      <c r="E17" s="10" t="s">
        <v>2</v>
      </c>
      <c r="F17" s="6">
        <f t="shared" si="0"/>
        <v>1</v>
      </c>
      <c r="G17" s="11">
        <v>4</v>
      </c>
      <c r="H17" s="9">
        <f t="shared" si="1"/>
        <v>4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Manuel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Manuel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Manuel</v>
      </c>
      <c r="E20" s="10" t="s">
        <v>2</v>
      </c>
      <c r="F20" s="6">
        <f t="shared" si="0"/>
        <v>1</v>
      </c>
      <c r="G20" s="11">
        <v>2</v>
      </c>
      <c r="H20" s="9">
        <f t="shared" si="1"/>
        <v>2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Manuel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Manuel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Manuel</v>
      </c>
      <c r="E23" s="10" t="s">
        <v>3</v>
      </c>
      <c r="F23" s="6">
        <f t="shared" si="0"/>
        <v>0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Manuel</v>
      </c>
      <c r="E24" s="10" t="s">
        <v>2</v>
      </c>
      <c r="F24" s="6">
        <f t="shared" si="0"/>
        <v>1</v>
      </c>
      <c r="G24" s="11">
        <v>4</v>
      </c>
      <c r="H24" s="9">
        <f t="shared" si="1"/>
        <v>4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Manuel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Manuel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Manuel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Manuel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Manuel</v>
      </c>
      <c r="E29" s="10" t="s">
        <v>3</v>
      </c>
      <c r="F29" s="6">
        <f t="shared" si="0"/>
        <v>0</v>
      </c>
      <c r="G29" s="11"/>
      <c r="H29" s="9">
        <f t="shared" si="1"/>
        <v>0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Manuel</v>
      </c>
      <c r="E30" s="10" t="s">
        <v>2</v>
      </c>
      <c r="F30" s="6">
        <f t="shared" si="0"/>
        <v>1</v>
      </c>
      <c r="G30" s="11">
        <v>3</v>
      </c>
      <c r="H30" s="9">
        <f t="shared" si="1"/>
        <v>3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Manuel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Manuel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Manuel</v>
      </c>
      <c r="E33" s="10" t="s">
        <v>2</v>
      </c>
      <c r="F33" s="6">
        <f t="shared" si="0"/>
        <v>1</v>
      </c>
      <c r="G33" s="11">
        <v>3</v>
      </c>
      <c r="H33" s="9">
        <f t="shared" si="1"/>
        <v>3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Manuel</v>
      </c>
      <c r="E34" s="10" t="s">
        <v>2</v>
      </c>
      <c r="F34" s="6">
        <f t="shared" si="0"/>
        <v>1</v>
      </c>
      <c r="G34" s="11">
        <v>4</v>
      </c>
      <c r="H34" s="9">
        <f t="shared" si="1"/>
        <v>4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Manuel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Manuel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Manuel</v>
      </c>
      <c r="E37" s="10" t="s">
        <v>3</v>
      </c>
      <c r="F37" s="6">
        <f t="shared" si="0"/>
        <v>0</v>
      </c>
      <c r="G37" s="11"/>
      <c r="H37" s="9">
        <f t="shared" si="1"/>
        <v>0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Manuel</v>
      </c>
      <c r="E38" s="10" t="s">
        <v>2</v>
      </c>
      <c r="F38" s="6">
        <f t="shared" si="0"/>
        <v>1</v>
      </c>
      <c r="G38" s="11">
        <v>2</v>
      </c>
      <c r="H38" s="9">
        <f t="shared" si="1"/>
        <v>2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Manuel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Manuel</v>
      </c>
      <c r="E40" s="10" t="s">
        <v>2</v>
      </c>
      <c r="F40" s="6">
        <f t="shared" si="0"/>
        <v>1</v>
      </c>
      <c r="G40" s="11">
        <v>5</v>
      </c>
      <c r="H40" s="9">
        <f t="shared" si="1"/>
        <v>5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Manuel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Manuel</v>
      </c>
      <c r="E42" s="10" t="s">
        <v>2</v>
      </c>
      <c r="F42" s="6">
        <f t="shared" si="0"/>
        <v>1</v>
      </c>
      <c r="G42" s="11">
        <v>4</v>
      </c>
      <c r="H42" s="9">
        <f t="shared" si="1"/>
        <v>4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Manuel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Manuel</v>
      </c>
      <c r="E44" s="10" t="s">
        <v>2</v>
      </c>
      <c r="F44" s="6">
        <f t="shared" si="0"/>
        <v>1</v>
      </c>
      <c r="G44" s="11">
        <v>3</v>
      </c>
      <c r="H44" s="9">
        <f t="shared" si="1"/>
        <v>3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Manuel</v>
      </c>
      <c r="E45" s="10" t="s">
        <v>2</v>
      </c>
      <c r="F45" s="6">
        <f t="shared" si="0"/>
        <v>1</v>
      </c>
      <c r="G45" s="11">
        <v>4</v>
      </c>
      <c r="H45" s="9">
        <f t="shared" si="1"/>
        <v>4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Manuel</v>
      </c>
      <c r="E46" s="10" t="s">
        <v>2</v>
      </c>
      <c r="F46" s="6">
        <f t="shared" si="0"/>
        <v>1</v>
      </c>
      <c r="G46" s="11">
        <v>5</v>
      </c>
      <c r="H46" s="9">
        <f t="shared" si="1"/>
        <v>5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Manuel</v>
      </c>
      <c r="E47" s="10" t="s">
        <v>2</v>
      </c>
      <c r="F47" s="6">
        <f t="shared" si="0"/>
        <v>1</v>
      </c>
      <c r="G47" s="11">
        <v>2</v>
      </c>
      <c r="H47" s="9">
        <f t="shared" si="1"/>
        <v>2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Manuel</v>
      </c>
      <c r="E48" s="10" t="s">
        <v>3</v>
      </c>
      <c r="F48" s="6">
        <f t="shared" si="0"/>
        <v>0</v>
      </c>
      <c r="G48" s="11"/>
      <c r="H48" s="9">
        <f t="shared" si="1"/>
        <v>0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Manuel</v>
      </c>
      <c r="E49" s="10" t="s">
        <v>3</v>
      </c>
      <c r="F49" s="6">
        <f t="shared" si="0"/>
        <v>0</v>
      </c>
      <c r="G49" s="11"/>
      <c r="H49" s="9">
        <f t="shared" si="1"/>
        <v>0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Manuel</v>
      </c>
      <c r="E50" s="10" t="s">
        <v>3</v>
      </c>
      <c r="F50" s="6">
        <f t="shared" si="0"/>
        <v>0</v>
      </c>
      <c r="G50" s="11"/>
      <c r="H50" s="9">
        <f t="shared" si="1"/>
        <v>0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Manuel</v>
      </c>
      <c r="E51" s="10" t="s">
        <v>2</v>
      </c>
      <c r="F51" s="6">
        <f t="shared" si="0"/>
        <v>1</v>
      </c>
      <c r="G51" s="11">
        <v>3</v>
      </c>
      <c r="H51" s="9">
        <f t="shared" si="1"/>
        <v>3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Manuel</v>
      </c>
      <c r="E52" s="10" t="s">
        <v>2</v>
      </c>
      <c r="F52" s="6">
        <f t="shared" si="0"/>
        <v>1</v>
      </c>
      <c r="G52" s="11">
        <v>4</v>
      </c>
      <c r="H52" s="9">
        <f t="shared" si="1"/>
        <v>4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Manuel</v>
      </c>
      <c r="E53" s="10" t="s">
        <v>2</v>
      </c>
      <c r="F53" s="6">
        <f t="shared" si="0"/>
        <v>1</v>
      </c>
      <c r="G53" s="11">
        <v>4</v>
      </c>
      <c r="H53" s="9">
        <f t="shared" si="1"/>
        <v>4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Manuel</v>
      </c>
      <c r="E54" s="10" t="s">
        <v>2</v>
      </c>
      <c r="F54" s="6">
        <f t="shared" si="0"/>
        <v>1</v>
      </c>
      <c r="G54" s="11">
        <v>4</v>
      </c>
      <c r="H54" s="9">
        <f t="shared" si="1"/>
        <v>4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Manuel</v>
      </c>
      <c r="E55" s="10" t="s">
        <v>2</v>
      </c>
      <c r="F55" s="6">
        <f t="shared" si="0"/>
        <v>1</v>
      </c>
      <c r="G55" s="11">
        <v>2</v>
      </c>
      <c r="H55" s="9">
        <f t="shared" si="1"/>
        <v>2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Manuel</v>
      </c>
      <c r="E56" s="10" t="s">
        <v>3</v>
      </c>
      <c r="F56" s="6">
        <f t="shared" si="0"/>
        <v>0</v>
      </c>
      <c r="G56" s="11"/>
      <c r="H56" s="9">
        <f t="shared" si="1"/>
        <v>0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Manuel</v>
      </c>
      <c r="E57" s="10" t="s">
        <v>2</v>
      </c>
      <c r="F57" s="6">
        <f t="shared" si="0"/>
        <v>1</v>
      </c>
      <c r="G57" s="11">
        <v>2</v>
      </c>
      <c r="H57" s="9">
        <f t="shared" si="1"/>
        <v>2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Manuel</v>
      </c>
      <c r="E58" s="10" t="s">
        <v>2</v>
      </c>
      <c r="F58" s="6">
        <f t="shared" si="0"/>
        <v>1</v>
      </c>
      <c r="G58" s="11">
        <v>4</v>
      </c>
      <c r="H58" s="9">
        <f t="shared" si="1"/>
        <v>4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Manuel</v>
      </c>
      <c r="E59" s="10" t="s">
        <v>2</v>
      </c>
      <c r="F59" s="6">
        <f t="shared" si="0"/>
        <v>1</v>
      </c>
      <c r="G59" s="11">
        <v>3</v>
      </c>
      <c r="H59" s="9">
        <f t="shared" si="1"/>
        <v>3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D6E72222-5B05-784D-AD11-734E27BEFF3D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1E7F5B48-496B-B047-9BA2-6F3B14486C8E}">
      <formula1>0</formula1>
      <formula2>5</formula2>
    </dataValidation>
    <dataValidation type="list" allowBlank="1" showInputMessage="1" showErrorMessage="1" promptTitle="Have you seen the film?" sqref="E3:E59" xr:uid="{0782023F-C320-894A-9D1F-05C53479E6A6}">
      <formula1>$J$1:$J$2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0634-3E61-3847-B027-00C67571FDE0}">
  <dimension ref="A1:J59"/>
  <sheetViews>
    <sheetView workbookViewId="0">
      <selection activeCell="A3" sqref="A3:H59"/>
    </sheetView>
  </sheetViews>
  <sheetFormatPr baseColWidth="10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72</v>
      </c>
      <c r="E3" s="10" t="s">
        <v>3</v>
      </c>
      <c r="F3" s="6">
        <f>IF(E3="Yes",1,0)</f>
        <v>0</v>
      </c>
      <c r="G3" s="11"/>
      <c r="H3" s="9">
        <f>F3*G3</f>
        <v>0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Stefan Gallistl</v>
      </c>
      <c r="E4" s="10" t="s">
        <v>3</v>
      </c>
      <c r="F4" s="6">
        <f t="shared" ref="F4:F59" si="0">IF(E4="Yes",1,0)</f>
        <v>0</v>
      </c>
      <c r="G4" s="11"/>
      <c r="H4" s="9">
        <f t="shared" ref="H4:H59" si="1">F4*G4</f>
        <v>0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Stefan Gallistl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Stefan Gallistl</v>
      </c>
      <c r="E6" s="10" t="s">
        <v>2</v>
      </c>
      <c r="F6" s="6">
        <f t="shared" si="0"/>
        <v>1</v>
      </c>
      <c r="G6" s="11">
        <v>4</v>
      </c>
      <c r="H6" s="9">
        <f t="shared" si="1"/>
        <v>4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Stefan Gallistl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Stefan Gallistl</v>
      </c>
      <c r="E8" s="10" t="s">
        <v>2</v>
      </c>
      <c r="F8" s="6">
        <f t="shared" si="0"/>
        <v>1</v>
      </c>
      <c r="G8" s="11">
        <v>4</v>
      </c>
      <c r="H8" s="9">
        <f t="shared" si="1"/>
        <v>4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Stefan Gallistl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Stefan Gallistl</v>
      </c>
      <c r="E10" s="10" t="s">
        <v>3</v>
      </c>
      <c r="F10" s="6">
        <f t="shared" si="0"/>
        <v>0</v>
      </c>
      <c r="G10" s="11"/>
      <c r="H10" s="9">
        <f t="shared" si="1"/>
        <v>0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Stefan Gallistl</v>
      </c>
      <c r="E11" s="10" t="s">
        <v>3</v>
      </c>
      <c r="F11" s="6">
        <f t="shared" si="0"/>
        <v>0</v>
      </c>
      <c r="G11" s="11"/>
      <c r="H11" s="9">
        <f t="shared" si="1"/>
        <v>0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Stefan Gallistl</v>
      </c>
      <c r="E12" s="10" t="s">
        <v>2</v>
      </c>
      <c r="F12" s="6">
        <f t="shared" si="0"/>
        <v>1</v>
      </c>
      <c r="G12" s="11">
        <v>5</v>
      </c>
      <c r="H12" s="9">
        <f t="shared" si="1"/>
        <v>5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Stefan Gallistl</v>
      </c>
      <c r="E13" s="10" t="s">
        <v>3</v>
      </c>
      <c r="F13" s="6">
        <f t="shared" si="0"/>
        <v>0</v>
      </c>
      <c r="G13" s="11"/>
      <c r="H13" s="9">
        <f t="shared" si="1"/>
        <v>0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Stefan Gallistl</v>
      </c>
      <c r="E14" s="10" t="s">
        <v>3</v>
      </c>
      <c r="F14" s="6">
        <f t="shared" si="0"/>
        <v>0</v>
      </c>
      <c r="G14" s="11"/>
      <c r="H14" s="9">
        <f t="shared" si="1"/>
        <v>0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Stefan Gallistl</v>
      </c>
      <c r="E15" s="10" t="s">
        <v>3</v>
      </c>
      <c r="F15" s="6">
        <f t="shared" si="0"/>
        <v>0</v>
      </c>
      <c r="G15" s="11"/>
      <c r="H15" s="9">
        <f t="shared" si="1"/>
        <v>0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Stefan Gallistl</v>
      </c>
      <c r="E16" s="10" t="s">
        <v>2</v>
      </c>
      <c r="F16" s="6">
        <f t="shared" si="0"/>
        <v>1</v>
      </c>
      <c r="G16" s="11">
        <v>4</v>
      </c>
      <c r="H16" s="9">
        <f t="shared" si="1"/>
        <v>4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Stefan Gallistl</v>
      </c>
      <c r="E17" s="10" t="s">
        <v>2</v>
      </c>
      <c r="F17" s="6">
        <f t="shared" si="0"/>
        <v>1</v>
      </c>
      <c r="G17" s="11">
        <v>5</v>
      </c>
      <c r="H17" s="9">
        <f t="shared" si="1"/>
        <v>5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Stefan Gallistl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Stefan Gallistl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Stefan Gallistl</v>
      </c>
      <c r="E20" s="10" t="s">
        <v>2</v>
      </c>
      <c r="F20" s="6">
        <f t="shared" si="0"/>
        <v>1</v>
      </c>
      <c r="G20" s="11">
        <v>3</v>
      </c>
      <c r="H20" s="9">
        <f t="shared" si="1"/>
        <v>3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Stefan Gallistl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Stefan Gallistl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Stefan Gallistl</v>
      </c>
      <c r="E23" s="10" t="s">
        <v>2</v>
      </c>
      <c r="F23" s="6">
        <f t="shared" si="0"/>
        <v>1</v>
      </c>
      <c r="G23" s="11">
        <v>3</v>
      </c>
      <c r="H23" s="9">
        <f t="shared" si="1"/>
        <v>3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Stefan Gallistl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Stefan Gallistl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Stefan Gallistl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Stefan Gallistl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Stefan Gallistl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Stefan Gallistl</v>
      </c>
      <c r="E29" s="10" t="s">
        <v>2</v>
      </c>
      <c r="F29" s="6">
        <f t="shared" si="0"/>
        <v>1</v>
      </c>
      <c r="G29" s="11">
        <v>4</v>
      </c>
      <c r="H29" s="9">
        <f t="shared" si="1"/>
        <v>4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Stefan Gallistl</v>
      </c>
      <c r="E30" s="10" t="s">
        <v>2</v>
      </c>
      <c r="F30" s="6">
        <f t="shared" si="0"/>
        <v>1</v>
      </c>
      <c r="G30" s="11">
        <v>3</v>
      </c>
      <c r="H30" s="9">
        <f t="shared" si="1"/>
        <v>3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Stefan Gallistl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Stefan Gallistl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Stefan Gallistl</v>
      </c>
      <c r="E33" s="10" t="s">
        <v>2</v>
      </c>
      <c r="F33" s="6">
        <f t="shared" si="0"/>
        <v>1</v>
      </c>
      <c r="G33" s="11">
        <v>4</v>
      </c>
      <c r="H33" s="9">
        <f t="shared" si="1"/>
        <v>4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Stefan Gallistl</v>
      </c>
      <c r="E34" s="10" t="s">
        <v>2</v>
      </c>
      <c r="F34" s="6">
        <f t="shared" si="0"/>
        <v>1</v>
      </c>
      <c r="G34" s="11">
        <v>4</v>
      </c>
      <c r="H34" s="9">
        <f t="shared" si="1"/>
        <v>4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Stefan Gallistl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Stefan Gallistl</v>
      </c>
      <c r="E36" s="10" t="s">
        <v>2</v>
      </c>
      <c r="F36" s="6">
        <f t="shared" si="0"/>
        <v>1</v>
      </c>
      <c r="G36" s="11">
        <v>3</v>
      </c>
      <c r="H36" s="9">
        <f t="shared" si="1"/>
        <v>3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Stefan Gallistl</v>
      </c>
      <c r="E37" s="10" t="s">
        <v>3</v>
      </c>
      <c r="F37" s="6">
        <f t="shared" si="0"/>
        <v>0</v>
      </c>
      <c r="G37" s="11"/>
      <c r="H37" s="9">
        <f t="shared" si="1"/>
        <v>0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Stefan Gallistl</v>
      </c>
      <c r="E38" s="10" t="s">
        <v>2</v>
      </c>
      <c r="F38" s="6">
        <f t="shared" si="0"/>
        <v>1</v>
      </c>
      <c r="G38" s="11">
        <v>4</v>
      </c>
      <c r="H38" s="9">
        <f t="shared" si="1"/>
        <v>4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Stefan Gallistl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Stefan Gallistl</v>
      </c>
      <c r="E40" s="10" t="s">
        <v>2</v>
      </c>
      <c r="F40" s="6">
        <f t="shared" si="0"/>
        <v>1</v>
      </c>
      <c r="G40" s="11">
        <v>4</v>
      </c>
      <c r="H40" s="9">
        <f t="shared" si="1"/>
        <v>4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Stefan Gallistl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Stefan Gallistl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Stefan Gallistl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Stefan Gallistl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Stefan Gallistl</v>
      </c>
      <c r="E45" s="10" t="s">
        <v>3</v>
      </c>
      <c r="F45" s="6">
        <f t="shared" si="0"/>
        <v>0</v>
      </c>
      <c r="G45" s="11"/>
      <c r="H45" s="9">
        <f t="shared" si="1"/>
        <v>0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Stefan Gallistl</v>
      </c>
      <c r="E46" s="10" t="s">
        <v>2</v>
      </c>
      <c r="F46" s="6">
        <f t="shared" si="0"/>
        <v>1</v>
      </c>
      <c r="G46" s="11">
        <v>5</v>
      </c>
      <c r="H46" s="9">
        <f t="shared" si="1"/>
        <v>5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Stefan Gallistl</v>
      </c>
      <c r="E47" s="10" t="s">
        <v>2</v>
      </c>
      <c r="F47" s="6">
        <f t="shared" si="0"/>
        <v>1</v>
      </c>
      <c r="G47" s="11">
        <v>3</v>
      </c>
      <c r="H47" s="9">
        <f t="shared" si="1"/>
        <v>3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Stefan Gallistl</v>
      </c>
      <c r="E48" s="10" t="s">
        <v>2</v>
      </c>
      <c r="F48" s="6">
        <f t="shared" si="0"/>
        <v>1</v>
      </c>
      <c r="G48" s="11">
        <v>3</v>
      </c>
      <c r="H48" s="9">
        <f t="shared" si="1"/>
        <v>3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Stefan Gallistl</v>
      </c>
      <c r="E49" s="10" t="s">
        <v>2</v>
      </c>
      <c r="F49" s="6">
        <f t="shared" si="0"/>
        <v>1</v>
      </c>
      <c r="G49" s="11">
        <v>4</v>
      </c>
      <c r="H49" s="9">
        <f t="shared" si="1"/>
        <v>4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Stefan Gallistl</v>
      </c>
      <c r="E50" s="10" t="s">
        <v>3</v>
      </c>
      <c r="F50" s="6">
        <f t="shared" si="0"/>
        <v>0</v>
      </c>
      <c r="G50" s="11"/>
      <c r="H50" s="9">
        <f t="shared" si="1"/>
        <v>0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Stefan Gallistl</v>
      </c>
      <c r="E51" s="10" t="s">
        <v>2</v>
      </c>
      <c r="F51" s="6">
        <f t="shared" si="0"/>
        <v>1</v>
      </c>
      <c r="G51" s="11">
        <v>4</v>
      </c>
      <c r="H51" s="9">
        <f t="shared" si="1"/>
        <v>4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Stefan Gallistl</v>
      </c>
      <c r="E52" s="10" t="s">
        <v>3</v>
      </c>
      <c r="F52" s="6">
        <f t="shared" si="0"/>
        <v>0</v>
      </c>
      <c r="G52" s="11"/>
      <c r="H52" s="9">
        <f t="shared" si="1"/>
        <v>0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Stefan Gallistl</v>
      </c>
      <c r="E53" s="10" t="s">
        <v>2</v>
      </c>
      <c r="F53" s="6">
        <f t="shared" si="0"/>
        <v>1</v>
      </c>
      <c r="G53" s="11">
        <v>5</v>
      </c>
      <c r="H53" s="9">
        <f t="shared" si="1"/>
        <v>5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Stefan Gallistl</v>
      </c>
      <c r="E54" s="10" t="s">
        <v>2</v>
      </c>
      <c r="F54" s="6">
        <f t="shared" si="0"/>
        <v>1</v>
      </c>
      <c r="G54" s="11">
        <v>5</v>
      </c>
      <c r="H54" s="9">
        <f t="shared" si="1"/>
        <v>5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Stefan Gallistl</v>
      </c>
      <c r="E55" s="10" t="s">
        <v>2</v>
      </c>
      <c r="F55" s="6">
        <f t="shared" si="0"/>
        <v>1</v>
      </c>
      <c r="G55" s="11">
        <v>4</v>
      </c>
      <c r="H55" s="9">
        <f t="shared" si="1"/>
        <v>4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Stefan Gallistl</v>
      </c>
      <c r="E56" s="10" t="s">
        <v>3</v>
      </c>
      <c r="F56" s="6">
        <f t="shared" si="0"/>
        <v>0</v>
      </c>
      <c r="G56" s="11"/>
      <c r="H56" s="9">
        <f t="shared" si="1"/>
        <v>0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Stefan Gallistl</v>
      </c>
      <c r="E57" s="10" t="s">
        <v>2</v>
      </c>
      <c r="F57" s="6">
        <f t="shared" si="0"/>
        <v>1</v>
      </c>
      <c r="G57" s="11">
        <v>3</v>
      </c>
      <c r="H57" s="9">
        <f t="shared" si="1"/>
        <v>3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Stefan Gallistl</v>
      </c>
      <c r="E58" s="10" t="s">
        <v>2</v>
      </c>
      <c r="F58" s="6">
        <f t="shared" si="0"/>
        <v>1</v>
      </c>
      <c r="G58" s="11">
        <v>3</v>
      </c>
      <c r="H58" s="9">
        <f t="shared" si="1"/>
        <v>3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Stefan Gallistl</v>
      </c>
      <c r="E59" s="10" t="s">
        <v>2</v>
      </c>
      <c r="F59" s="6">
        <f t="shared" si="0"/>
        <v>1</v>
      </c>
      <c r="G59" s="11">
        <v>3</v>
      </c>
      <c r="H59" s="9">
        <f t="shared" si="1"/>
        <v>3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148D2640-CF38-2545-B826-E2016C79F1DD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20A6C9C0-399F-C94B-ABF9-C82C2126943E}">
      <formula1>0</formula1>
      <formula2>5</formula2>
    </dataValidation>
    <dataValidation type="list" allowBlank="1" showInputMessage="1" showErrorMessage="1" promptTitle="Have you seen the film?" sqref="E3:E59" xr:uid="{11B790E4-EDDD-244E-89EC-1AEE63C7F851}">
      <formula1>$J$1:$J$2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6DAB-4377-784B-8ED0-B64243060E1D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73</v>
      </c>
      <c r="E3" s="10" t="s">
        <v>2</v>
      </c>
      <c r="F3" s="6">
        <f>IF(E3="Yes",1,0)</f>
        <v>1</v>
      </c>
      <c r="G3" s="11">
        <v>5</v>
      </c>
      <c r="H3" s="9">
        <f>F3*G3</f>
        <v>5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Manuel2</v>
      </c>
      <c r="E4" s="10" t="s">
        <v>2</v>
      </c>
      <c r="F4" s="6">
        <f t="shared" ref="F4:F59" si="0">IF(E4="Yes",1,0)</f>
        <v>1</v>
      </c>
      <c r="G4" s="11">
        <v>4</v>
      </c>
      <c r="H4" s="9">
        <f t="shared" ref="H4:H59" si="1">F4*G4</f>
        <v>4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Manuel2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Manuel2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Manuel2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Manuel2</v>
      </c>
      <c r="E8" s="10" t="s">
        <v>2</v>
      </c>
      <c r="F8" s="6">
        <f t="shared" si="0"/>
        <v>1</v>
      </c>
      <c r="G8" s="11">
        <v>4</v>
      </c>
      <c r="H8" s="9">
        <f t="shared" si="1"/>
        <v>4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Manuel2</v>
      </c>
      <c r="E9" s="10" t="s">
        <v>2</v>
      </c>
      <c r="F9" s="6">
        <f t="shared" si="0"/>
        <v>1</v>
      </c>
      <c r="G9" s="11">
        <v>5</v>
      </c>
      <c r="H9" s="9">
        <f t="shared" si="1"/>
        <v>5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Manuel2</v>
      </c>
      <c r="E10" s="10" t="s">
        <v>3</v>
      </c>
      <c r="F10" s="6">
        <f t="shared" si="0"/>
        <v>0</v>
      </c>
      <c r="G10" s="11"/>
      <c r="H10" s="9">
        <f t="shared" si="1"/>
        <v>0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Manuel2</v>
      </c>
      <c r="E11" s="10" t="s">
        <v>2</v>
      </c>
      <c r="F11" s="6">
        <f t="shared" si="0"/>
        <v>1</v>
      </c>
      <c r="G11" s="11">
        <v>3</v>
      </c>
      <c r="H11" s="9">
        <f t="shared" si="1"/>
        <v>3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Manuel2</v>
      </c>
      <c r="E12" s="10" t="s">
        <v>2</v>
      </c>
      <c r="F12" s="6">
        <f t="shared" si="0"/>
        <v>1</v>
      </c>
      <c r="G12" s="11">
        <v>1</v>
      </c>
      <c r="H12" s="9">
        <f t="shared" si="1"/>
        <v>1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Manuel2</v>
      </c>
      <c r="E13" s="10" t="s">
        <v>2</v>
      </c>
      <c r="F13" s="6">
        <f t="shared" si="0"/>
        <v>1</v>
      </c>
      <c r="G13" s="11">
        <v>4</v>
      </c>
      <c r="H13" s="9">
        <f t="shared" si="1"/>
        <v>4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Manuel2</v>
      </c>
      <c r="E14" s="10" t="s">
        <v>2</v>
      </c>
      <c r="F14" s="6">
        <f t="shared" si="0"/>
        <v>1</v>
      </c>
      <c r="G14" s="11">
        <v>5</v>
      </c>
      <c r="H14" s="9">
        <f t="shared" si="1"/>
        <v>5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Manuel2</v>
      </c>
      <c r="E15" s="10" t="s">
        <v>3</v>
      </c>
      <c r="F15" s="6">
        <f t="shared" si="0"/>
        <v>0</v>
      </c>
      <c r="G15" s="11"/>
      <c r="H15" s="9">
        <f t="shared" si="1"/>
        <v>0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Manuel2</v>
      </c>
      <c r="E16" s="10" t="s">
        <v>3</v>
      </c>
      <c r="F16" s="6">
        <f t="shared" si="0"/>
        <v>0</v>
      </c>
      <c r="G16" s="11"/>
      <c r="H16" s="9">
        <f t="shared" si="1"/>
        <v>0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Manuel2</v>
      </c>
      <c r="E17" s="10" t="s">
        <v>2</v>
      </c>
      <c r="F17" s="6">
        <f t="shared" si="0"/>
        <v>1</v>
      </c>
      <c r="G17" s="11">
        <v>3</v>
      </c>
      <c r="H17" s="9">
        <f t="shared" si="1"/>
        <v>3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Manuel2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Manuel2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Manuel2</v>
      </c>
      <c r="E20" s="10" t="s">
        <v>3</v>
      </c>
      <c r="F20" s="6">
        <f t="shared" si="0"/>
        <v>0</v>
      </c>
      <c r="G20" s="11"/>
      <c r="H20" s="9">
        <f t="shared" si="1"/>
        <v>0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Manuel2</v>
      </c>
      <c r="E21" s="10" t="s">
        <v>2</v>
      </c>
      <c r="F21" s="6">
        <f t="shared" si="0"/>
        <v>1</v>
      </c>
      <c r="G21" s="11">
        <v>5</v>
      </c>
      <c r="H21" s="9">
        <f t="shared" si="1"/>
        <v>5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Manuel2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Manuel2</v>
      </c>
      <c r="E23" s="10" t="s">
        <v>3</v>
      </c>
      <c r="F23" s="6">
        <f t="shared" si="0"/>
        <v>0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Manuel2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Manuel2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Manuel2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Manuel2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Manuel2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Manuel2</v>
      </c>
      <c r="E29" s="10" t="s">
        <v>2</v>
      </c>
      <c r="F29" s="6">
        <f t="shared" si="0"/>
        <v>1</v>
      </c>
      <c r="G29" s="11">
        <v>4</v>
      </c>
      <c r="H29" s="9">
        <f t="shared" si="1"/>
        <v>4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Manuel2</v>
      </c>
      <c r="E30" s="10" t="s">
        <v>2</v>
      </c>
      <c r="F30" s="6">
        <f t="shared" si="0"/>
        <v>1</v>
      </c>
      <c r="G30" s="11">
        <v>3</v>
      </c>
      <c r="H30" s="9">
        <f t="shared" si="1"/>
        <v>3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Manuel2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Manuel2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Manuel2</v>
      </c>
      <c r="E33" s="10" t="s">
        <v>2</v>
      </c>
      <c r="F33" s="6">
        <f t="shared" si="0"/>
        <v>1</v>
      </c>
      <c r="G33" s="11">
        <v>2</v>
      </c>
      <c r="H33" s="9">
        <f t="shared" si="1"/>
        <v>2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Manuel2</v>
      </c>
      <c r="E34" s="10" t="s">
        <v>3</v>
      </c>
      <c r="F34" s="6">
        <f t="shared" si="0"/>
        <v>0</v>
      </c>
      <c r="G34" s="11"/>
      <c r="H34" s="9">
        <f t="shared" si="1"/>
        <v>0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Manuel2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Manuel2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Manuel2</v>
      </c>
      <c r="E37" s="10" t="s">
        <v>2</v>
      </c>
      <c r="F37" s="6">
        <f t="shared" si="0"/>
        <v>1</v>
      </c>
      <c r="G37" s="11">
        <v>2</v>
      </c>
      <c r="H37" s="9">
        <f t="shared" si="1"/>
        <v>2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Manuel2</v>
      </c>
      <c r="E38" s="10" t="s">
        <v>3</v>
      </c>
      <c r="F38" s="6">
        <f t="shared" si="0"/>
        <v>0</v>
      </c>
      <c r="G38" s="11"/>
      <c r="H38" s="9">
        <f t="shared" si="1"/>
        <v>0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Manuel2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Manuel2</v>
      </c>
      <c r="E40" s="10" t="s">
        <v>2</v>
      </c>
      <c r="F40" s="6">
        <f t="shared" si="0"/>
        <v>1</v>
      </c>
      <c r="G40" s="11">
        <v>3</v>
      </c>
      <c r="H40" s="9">
        <f t="shared" si="1"/>
        <v>3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Manuel2</v>
      </c>
      <c r="E41" s="10" t="s">
        <v>2</v>
      </c>
      <c r="F41" s="6">
        <f t="shared" si="0"/>
        <v>1</v>
      </c>
      <c r="G41" s="11">
        <v>5</v>
      </c>
      <c r="H41" s="9">
        <f t="shared" si="1"/>
        <v>5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Manuel2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Manuel2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Manuel2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Manuel2</v>
      </c>
      <c r="E45" s="10" t="s">
        <v>3</v>
      </c>
      <c r="F45" s="6">
        <f t="shared" si="0"/>
        <v>0</v>
      </c>
      <c r="G45" s="11"/>
      <c r="H45" s="9">
        <f t="shared" si="1"/>
        <v>0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Manuel2</v>
      </c>
      <c r="E46" s="10" t="s">
        <v>2</v>
      </c>
      <c r="F46" s="6">
        <f t="shared" si="0"/>
        <v>1</v>
      </c>
      <c r="G46" s="11">
        <v>3</v>
      </c>
      <c r="H46" s="9">
        <f t="shared" si="1"/>
        <v>3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Manuel2</v>
      </c>
      <c r="E47" s="10" t="s">
        <v>2</v>
      </c>
      <c r="F47" s="6">
        <f t="shared" si="0"/>
        <v>1</v>
      </c>
      <c r="G47" s="11">
        <v>3</v>
      </c>
      <c r="H47" s="9">
        <f t="shared" si="1"/>
        <v>3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Manuel2</v>
      </c>
      <c r="E48" s="10" t="s">
        <v>2</v>
      </c>
      <c r="F48" s="6">
        <f t="shared" si="0"/>
        <v>1</v>
      </c>
      <c r="G48" s="11">
        <v>4</v>
      </c>
      <c r="H48" s="9">
        <f t="shared" si="1"/>
        <v>4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Manuel2</v>
      </c>
      <c r="E49" s="10" t="s">
        <v>3</v>
      </c>
      <c r="F49" s="6">
        <f t="shared" si="0"/>
        <v>0</v>
      </c>
      <c r="G49" s="11"/>
      <c r="H49" s="9">
        <f t="shared" si="1"/>
        <v>0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Manuel2</v>
      </c>
      <c r="E50" s="10" t="s">
        <v>2</v>
      </c>
      <c r="F50" s="6">
        <f t="shared" si="0"/>
        <v>1</v>
      </c>
      <c r="G50" s="11">
        <v>3</v>
      </c>
      <c r="H50" s="9">
        <f t="shared" si="1"/>
        <v>3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Manuel2</v>
      </c>
      <c r="E51" s="10" t="s">
        <v>3</v>
      </c>
      <c r="F51" s="6">
        <f t="shared" si="0"/>
        <v>0</v>
      </c>
      <c r="G51" s="11"/>
      <c r="H51" s="9">
        <f t="shared" si="1"/>
        <v>0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Manuel2</v>
      </c>
      <c r="E52" s="10" t="s">
        <v>2</v>
      </c>
      <c r="F52" s="6">
        <f t="shared" si="0"/>
        <v>1</v>
      </c>
      <c r="G52" s="11">
        <v>3</v>
      </c>
      <c r="H52" s="9">
        <f t="shared" si="1"/>
        <v>3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Manuel2</v>
      </c>
      <c r="E53" s="10" t="s">
        <v>2</v>
      </c>
      <c r="F53" s="6">
        <f t="shared" si="0"/>
        <v>1</v>
      </c>
      <c r="G53" s="11">
        <v>5</v>
      </c>
      <c r="H53" s="9">
        <f t="shared" si="1"/>
        <v>5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Manuel2</v>
      </c>
      <c r="E54" s="10" t="s">
        <v>2</v>
      </c>
      <c r="F54" s="6">
        <f t="shared" si="0"/>
        <v>1</v>
      </c>
      <c r="G54" s="11">
        <v>3</v>
      </c>
      <c r="H54" s="9">
        <f t="shared" si="1"/>
        <v>3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Manuel2</v>
      </c>
      <c r="E55" s="10" t="s">
        <v>2</v>
      </c>
      <c r="F55" s="6">
        <f t="shared" si="0"/>
        <v>1</v>
      </c>
      <c r="G55" s="11">
        <v>3</v>
      </c>
      <c r="H55" s="9">
        <f t="shared" si="1"/>
        <v>3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Manuel2</v>
      </c>
      <c r="E56" s="10" t="s">
        <v>2</v>
      </c>
      <c r="F56" s="6">
        <f t="shared" si="0"/>
        <v>1</v>
      </c>
      <c r="G56" s="11">
        <v>5</v>
      </c>
      <c r="H56" s="9">
        <f t="shared" si="1"/>
        <v>5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Manuel2</v>
      </c>
      <c r="E57" s="10" t="s">
        <v>2</v>
      </c>
      <c r="F57" s="6">
        <f t="shared" si="0"/>
        <v>1</v>
      </c>
      <c r="G57" s="11">
        <v>4</v>
      </c>
      <c r="H57" s="9">
        <f t="shared" si="1"/>
        <v>4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Manuel2</v>
      </c>
      <c r="E58" s="10" t="s">
        <v>2</v>
      </c>
      <c r="F58" s="6">
        <f t="shared" si="0"/>
        <v>1</v>
      </c>
      <c r="G58" s="11">
        <v>2</v>
      </c>
      <c r="H58" s="9">
        <f t="shared" si="1"/>
        <v>2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Manuel2</v>
      </c>
      <c r="E59" s="10" t="s">
        <v>2</v>
      </c>
      <c r="F59" s="6">
        <f t="shared" si="0"/>
        <v>1</v>
      </c>
      <c r="G59" s="11">
        <v>3</v>
      </c>
      <c r="H59" s="9">
        <f t="shared" si="1"/>
        <v>3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B4B625A9-8631-8A46-A079-3CBDFC1171A2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34F00F3F-385A-0048-AE65-C95183BE7417}">
      <formula1>0</formula1>
      <formula2>5</formula2>
    </dataValidation>
    <dataValidation type="list" allowBlank="1" showInputMessage="1" showErrorMessage="1" promptTitle="Have you seen the film?" sqref="E3:E59" xr:uid="{7CDF0848-C627-0948-ACEB-F3BF4A8DCFBF}">
      <formula1>$J$1:$J$2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B1E2-47A3-F94A-925E-6F5128E5EAAF}">
  <sheetPr>
    <tabColor rgb="FFFF0000"/>
  </sheetPr>
  <dimension ref="A1:AMK59"/>
  <sheetViews>
    <sheetView zoomScaleNormal="100" workbookViewId="0">
      <selection activeCell="A3" sqref="A3:H59"/>
    </sheetView>
  </sheetViews>
  <sheetFormatPr baseColWidth="10" defaultColWidth="8.83203125" defaultRowHeight="16" x14ac:dyDescent="0.2"/>
  <cols>
    <col min="1" max="1" width="49" style="15" customWidth="1"/>
    <col min="2" max="2" width="5.1640625" style="15" customWidth="1"/>
    <col min="3" max="3" width="3.5" style="15" customWidth="1"/>
    <col min="4" max="4" width="15.33203125" style="15" customWidth="1"/>
    <col min="5" max="5" width="6.5" style="15" customWidth="1"/>
    <col min="6" max="6" width="3.5" style="15" customWidth="1"/>
    <col min="7" max="8" width="5.33203125" style="14" customWidth="1"/>
    <col min="9" max="9" width="5" style="15" hidden="1" customWidth="1"/>
    <col min="10" max="10" width="4" style="15" hidden="1" customWidth="1"/>
    <col min="11" max="1025" width="10.83203125" style="15" customWidth="1"/>
    <col min="1026" max="16384" width="8.83203125" style="19"/>
  </cols>
  <sheetData>
    <row r="1" spans="1:13" x14ac:dyDescent="0.2">
      <c r="A1" s="12" t="s">
        <v>64</v>
      </c>
      <c r="B1" s="12" t="s">
        <v>7</v>
      </c>
      <c r="C1" s="12"/>
      <c r="D1" s="12" t="s">
        <v>0</v>
      </c>
      <c r="E1" s="12" t="s">
        <v>1</v>
      </c>
      <c r="F1" s="12"/>
      <c r="G1" s="13" t="s">
        <v>4</v>
      </c>
      <c r="I1" s="15" t="s">
        <v>5</v>
      </c>
      <c r="J1" s="15" t="s">
        <v>2</v>
      </c>
      <c r="L1" s="15" t="s">
        <v>89</v>
      </c>
    </row>
    <row r="2" spans="1:13" x14ac:dyDescent="0.2">
      <c r="J2" s="15" t="s">
        <v>3</v>
      </c>
    </row>
    <row r="3" spans="1:13" ht="15" customHeight="1" x14ac:dyDescent="0.2">
      <c r="A3" s="16" t="s">
        <v>8</v>
      </c>
      <c r="B3" s="16">
        <v>1968</v>
      </c>
      <c r="C3" s="16"/>
      <c r="D3" s="20" t="s">
        <v>74</v>
      </c>
      <c r="E3" s="17" t="s">
        <v>2</v>
      </c>
      <c r="F3" s="15">
        <f t="shared" ref="F3:F59" si="0">IF(E3="Yes",1,0)</f>
        <v>1</v>
      </c>
      <c r="G3" s="18">
        <v>4</v>
      </c>
      <c r="H3" s="14">
        <f>F3*G3</f>
        <v>4</v>
      </c>
      <c r="L3" s="15">
        <v>8</v>
      </c>
      <c r="M3" s="15">
        <f>H3/2</f>
        <v>2</v>
      </c>
    </row>
    <row r="4" spans="1:13" x14ac:dyDescent="0.2">
      <c r="A4" s="16" t="s">
        <v>9</v>
      </c>
      <c r="B4" s="16">
        <v>1971</v>
      </c>
      <c r="C4" s="16"/>
      <c r="D4" s="15" t="str">
        <f t="shared" ref="D4:D59" si="1">IF(D$3="enter here","",D$3)</f>
        <v>Edwin gruber</v>
      </c>
      <c r="E4" s="17" t="s">
        <v>2</v>
      </c>
      <c r="F4" s="15">
        <f t="shared" si="0"/>
        <v>1</v>
      </c>
      <c r="G4" s="18">
        <v>4</v>
      </c>
      <c r="H4" s="14">
        <f t="shared" ref="H4:H59" si="2">F4*G4</f>
        <v>4</v>
      </c>
      <c r="L4" s="15">
        <v>8</v>
      </c>
      <c r="M4" s="15">
        <f t="shared" ref="M4:M59" si="3">H4/2</f>
        <v>2</v>
      </c>
    </row>
    <row r="5" spans="1:13" x14ac:dyDescent="0.2">
      <c r="A5" s="15" t="s">
        <v>10</v>
      </c>
      <c r="B5" s="16">
        <v>2018</v>
      </c>
      <c r="C5" s="16"/>
      <c r="D5" s="15" t="str">
        <f t="shared" si="1"/>
        <v>Edwin gruber</v>
      </c>
      <c r="E5" s="17" t="s">
        <v>3</v>
      </c>
      <c r="F5" s="15">
        <f t="shared" si="0"/>
        <v>0</v>
      </c>
      <c r="G5" s="18">
        <v>0</v>
      </c>
      <c r="H5" s="14">
        <f t="shared" si="2"/>
        <v>0</v>
      </c>
      <c r="L5" s="15">
        <v>0</v>
      </c>
      <c r="M5" s="15">
        <f t="shared" si="3"/>
        <v>0</v>
      </c>
    </row>
    <row r="6" spans="1:13" x14ac:dyDescent="0.2">
      <c r="A6" s="16" t="s">
        <v>11</v>
      </c>
      <c r="B6" s="16">
        <v>2005</v>
      </c>
      <c r="C6" s="16"/>
      <c r="D6" s="15" t="str">
        <f t="shared" si="1"/>
        <v>Edwin gruber</v>
      </c>
      <c r="E6" s="17" t="s">
        <v>3</v>
      </c>
      <c r="F6" s="15">
        <f t="shared" si="0"/>
        <v>0</v>
      </c>
      <c r="G6" s="18">
        <v>0</v>
      </c>
      <c r="H6" s="14">
        <f t="shared" si="2"/>
        <v>0</v>
      </c>
      <c r="L6" s="15">
        <v>0</v>
      </c>
      <c r="M6" s="15">
        <f t="shared" si="3"/>
        <v>0</v>
      </c>
    </row>
    <row r="7" spans="1:13" x14ac:dyDescent="0.2">
      <c r="A7" s="16" t="s">
        <v>12</v>
      </c>
      <c r="B7" s="16">
        <v>1951</v>
      </c>
      <c r="C7" s="16"/>
      <c r="D7" s="15" t="str">
        <f t="shared" si="1"/>
        <v>Edwin gruber</v>
      </c>
      <c r="E7" s="17" t="s">
        <v>3</v>
      </c>
      <c r="F7" s="15">
        <f t="shared" si="0"/>
        <v>0</v>
      </c>
      <c r="G7" s="18">
        <v>0</v>
      </c>
      <c r="H7" s="14">
        <f t="shared" si="2"/>
        <v>0</v>
      </c>
      <c r="L7" s="15">
        <v>0</v>
      </c>
      <c r="M7" s="15">
        <f t="shared" si="3"/>
        <v>0</v>
      </c>
    </row>
    <row r="8" spans="1:13" x14ac:dyDescent="0.2">
      <c r="A8" s="15" t="s">
        <v>13</v>
      </c>
      <c r="B8" s="16">
        <v>1979</v>
      </c>
      <c r="C8" s="16"/>
      <c r="D8" s="15" t="str">
        <f t="shared" si="1"/>
        <v>Edwin gruber</v>
      </c>
      <c r="E8" s="17" t="s">
        <v>2</v>
      </c>
      <c r="F8" s="15">
        <f t="shared" si="0"/>
        <v>1</v>
      </c>
      <c r="G8" s="18">
        <v>4.5</v>
      </c>
      <c r="H8" s="14">
        <f t="shared" si="2"/>
        <v>4.5</v>
      </c>
      <c r="L8" s="15">
        <v>9</v>
      </c>
      <c r="M8" s="15">
        <f t="shared" si="3"/>
        <v>2.25</v>
      </c>
    </row>
    <row r="9" spans="1:13" x14ac:dyDescent="0.2">
      <c r="A9" s="16" t="s">
        <v>14</v>
      </c>
      <c r="B9" s="16">
        <v>1960</v>
      </c>
      <c r="C9" s="16"/>
      <c r="D9" s="15" t="str">
        <f t="shared" si="1"/>
        <v>Edwin gruber</v>
      </c>
      <c r="E9" s="17" t="s">
        <v>3</v>
      </c>
      <c r="F9" s="15">
        <f t="shared" si="0"/>
        <v>0</v>
      </c>
      <c r="G9" s="18">
        <v>0</v>
      </c>
      <c r="H9" s="14">
        <f t="shared" si="2"/>
        <v>0</v>
      </c>
      <c r="L9" s="15">
        <v>0</v>
      </c>
      <c r="M9" s="15">
        <f t="shared" si="3"/>
        <v>0</v>
      </c>
    </row>
    <row r="10" spans="1:13" x14ac:dyDescent="0.2">
      <c r="A10" s="15" t="s">
        <v>15</v>
      </c>
      <c r="B10" s="16">
        <v>1979</v>
      </c>
      <c r="C10" s="16"/>
      <c r="D10" s="15" t="str">
        <f t="shared" si="1"/>
        <v>Edwin gruber</v>
      </c>
      <c r="E10" s="17" t="s">
        <v>2</v>
      </c>
      <c r="F10" s="15">
        <f t="shared" si="0"/>
        <v>1</v>
      </c>
      <c r="G10" s="18">
        <v>4</v>
      </c>
      <c r="H10" s="14">
        <f t="shared" si="2"/>
        <v>4</v>
      </c>
      <c r="L10" s="15">
        <v>8</v>
      </c>
      <c r="M10" s="15">
        <f t="shared" si="3"/>
        <v>2</v>
      </c>
    </row>
    <row r="11" spans="1:13" x14ac:dyDescent="0.2">
      <c r="A11" s="16" t="s">
        <v>16</v>
      </c>
      <c r="B11" s="16">
        <v>1956</v>
      </c>
      <c r="C11" s="16"/>
      <c r="D11" s="15" t="str">
        <f t="shared" si="1"/>
        <v>Edwin gruber</v>
      </c>
      <c r="E11" s="17" t="s">
        <v>2</v>
      </c>
      <c r="F11" s="15">
        <f t="shared" si="0"/>
        <v>1</v>
      </c>
      <c r="G11" s="18">
        <v>3.5</v>
      </c>
      <c r="H11" s="14">
        <f t="shared" si="2"/>
        <v>3.5</v>
      </c>
      <c r="L11" s="15">
        <v>7</v>
      </c>
      <c r="M11" s="15">
        <f t="shared" si="3"/>
        <v>1.75</v>
      </c>
    </row>
    <row r="12" spans="1:13" x14ac:dyDescent="0.2">
      <c r="A12" s="15" t="s">
        <v>17</v>
      </c>
      <c r="B12" s="16">
        <v>2009</v>
      </c>
      <c r="C12" s="16"/>
      <c r="D12" s="15" t="str">
        <f t="shared" si="1"/>
        <v>Edwin gruber</v>
      </c>
      <c r="E12" s="17" t="s">
        <v>3</v>
      </c>
      <c r="F12" s="15">
        <f t="shared" si="0"/>
        <v>0</v>
      </c>
      <c r="G12" s="18">
        <v>0</v>
      </c>
      <c r="H12" s="14">
        <f t="shared" si="2"/>
        <v>0</v>
      </c>
      <c r="L12" s="15">
        <v>0</v>
      </c>
      <c r="M12" s="15">
        <f t="shared" si="3"/>
        <v>0</v>
      </c>
    </row>
    <row r="13" spans="1:13" x14ac:dyDescent="0.2">
      <c r="A13" s="15" t="s">
        <v>18</v>
      </c>
      <c r="B13" s="16">
        <v>1989</v>
      </c>
      <c r="C13" s="16"/>
      <c r="D13" s="15" t="str">
        <f t="shared" si="1"/>
        <v>Edwin gruber</v>
      </c>
      <c r="E13" s="17" t="s">
        <v>2</v>
      </c>
      <c r="F13" s="15">
        <f t="shared" si="0"/>
        <v>1</v>
      </c>
      <c r="G13" s="18">
        <v>3.5</v>
      </c>
      <c r="H13" s="14">
        <f t="shared" si="2"/>
        <v>3.5</v>
      </c>
      <c r="L13" s="15">
        <v>7</v>
      </c>
      <c r="M13" s="15">
        <f t="shared" si="3"/>
        <v>1.75</v>
      </c>
    </row>
    <row r="14" spans="1:13" x14ac:dyDescent="0.2">
      <c r="A14" s="15" t="s">
        <v>19</v>
      </c>
      <c r="B14" s="16">
        <v>1982</v>
      </c>
      <c r="C14" s="16"/>
      <c r="D14" s="15" t="str">
        <f t="shared" si="1"/>
        <v>Edwin gruber</v>
      </c>
      <c r="E14" s="17" t="s">
        <v>3</v>
      </c>
      <c r="F14" s="15">
        <f t="shared" si="0"/>
        <v>0</v>
      </c>
      <c r="G14" s="18">
        <v>0</v>
      </c>
      <c r="H14" s="14">
        <f t="shared" si="2"/>
        <v>0</v>
      </c>
      <c r="L14" s="15">
        <v>0</v>
      </c>
      <c r="M14" s="15">
        <f t="shared" si="3"/>
        <v>0</v>
      </c>
    </row>
    <row r="15" spans="1:13" x14ac:dyDescent="0.2">
      <c r="A15" s="15" t="s">
        <v>20</v>
      </c>
      <c r="B15" s="16">
        <v>2018</v>
      </c>
      <c r="C15" s="16"/>
      <c r="D15" s="15" t="str">
        <f t="shared" si="1"/>
        <v>Edwin gruber</v>
      </c>
      <c r="E15" s="17" t="s">
        <v>3</v>
      </c>
      <c r="F15" s="15">
        <f t="shared" si="0"/>
        <v>0</v>
      </c>
      <c r="G15" s="18">
        <v>0</v>
      </c>
      <c r="H15" s="14">
        <f t="shared" si="2"/>
        <v>0</v>
      </c>
      <c r="L15" s="15">
        <v>0</v>
      </c>
      <c r="M15" s="15">
        <f t="shared" si="3"/>
        <v>0</v>
      </c>
    </row>
    <row r="16" spans="1:13" x14ac:dyDescent="0.2">
      <c r="A16" s="15" t="s">
        <v>21</v>
      </c>
      <c r="B16" s="16">
        <v>2011</v>
      </c>
      <c r="C16" s="16"/>
      <c r="D16" s="15" t="str">
        <f t="shared" si="1"/>
        <v>Edwin gruber</v>
      </c>
      <c r="E16" s="17" t="s">
        <v>3</v>
      </c>
      <c r="F16" s="15">
        <f t="shared" si="0"/>
        <v>0</v>
      </c>
      <c r="G16" s="18">
        <v>0</v>
      </c>
      <c r="H16" s="14">
        <f t="shared" si="2"/>
        <v>0</v>
      </c>
      <c r="L16" s="15">
        <v>0</v>
      </c>
      <c r="M16" s="15">
        <f t="shared" si="3"/>
        <v>0</v>
      </c>
    </row>
    <row r="17" spans="1:13" x14ac:dyDescent="0.2">
      <c r="A17" s="15" t="s">
        <v>22</v>
      </c>
      <c r="B17" s="16">
        <v>2000</v>
      </c>
      <c r="C17" s="16"/>
      <c r="D17" s="15" t="str">
        <f t="shared" si="1"/>
        <v>Edwin gruber</v>
      </c>
      <c r="E17" s="17" t="s">
        <v>3</v>
      </c>
      <c r="F17" s="15">
        <f t="shared" si="0"/>
        <v>0</v>
      </c>
      <c r="G17" s="18">
        <v>0</v>
      </c>
      <c r="H17" s="14">
        <f t="shared" si="2"/>
        <v>0</v>
      </c>
      <c r="L17" s="15">
        <v>0</v>
      </c>
      <c r="M17" s="15">
        <f t="shared" si="3"/>
        <v>0</v>
      </c>
    </row>
    <row r="18" spans="1:13" x14ac:dyDescent="0.2">
      <c r="A18" s="16" t="s">
        <v>23</v>
      </c>
      <c r="B18" s="16">
        <v>1958</v>
      </c>
      <c r="C18" s="16"/>
      <c r="D18" s="15" t="str">
        <f t="shared" si="1"/>
        <v>Edwin gruber</v>
      </c>
      <c r="E18" s="17" t="s">
        <v>3</v>
      </c>
      <c r="F18" s="15">
        <f t="shared" si="0"/>
        <v>0</v>
      </c>
      <c r="G18" s="18">
        <v>0</v>
      </c>
      <c r="H18" s="14">
        <f t="shared" si="2"/>
        <v>0</v>
      </c>
      <c r="L18" s="15">
        <v>0</v>
      </c>
      <c r="M18" s="15">
        <f t="shared" si="3"/>
        <v>0</v>
      </c>
    </row>
    <row r="19" spans="1:13" x14ac:dyDescent="0.2">
      <c r="A19" s="16" t="s">
        <v>24</v>
      </c>
      <c r="B19" s="16">
        <v>1963</v>
      </c>
      <c r="C19" s="16"/>
      <c r="D19" s="15" t="str">
        <f t="shared" si="1"/>
        <v>Edwin gruber</v>
      </c>
      <c r="E19" s="17" t="s">
        <v>3</v>
      </c>
      <c r="F19" s="15">
        <f t="shared" si="0"/>
        <v>0</v>
      </c>
      <c r="G19" s="18">
        <v>0</v>
      </c>
      <c r="H19" s="14">
        <f t="shared" si="2"/>
        <v>0</v>
      </c>
      <c r="L19" s="15">
        <v>0</v>
      </c>
      <c r="M19" s="15">
        <f t="shared" si="3"/>
        <v>0</v>
      </c>
    </row>
    <row r="20" spans="1:13" x14ac:dyDescent="0.2">
      <c r="A20" s="15" t="s">
        <v>25</v>
      </c>
      <c r="B20" s="16">
        <v>2000</v>
      </c>
      <c r="C20" s="16"/>
      <c r="D20" s="15" t="str">
        <f t="shared" si="1"/>
        <v>Edwin gruber</v>
      </c>
      <c r="E20" s="17" t="s">
        <v>2</v>
      </c>
      <c r="F20" s="15">
        <f t="shared" si="0"/>
        <v>1</v>
      </c>
      <c r="G20" s="18">
        <v>2.5</v>
      </c>
      <c r="H20" s="14">
        <f t="shared" si="2"/>
        <v>2.5</v>
      </c>
      <c r="L20" s="15">
        <v>5</v>
      </c>
      <c r="M20" s="15">
        <f t="shared" si="3"/>
        <v>1.25</v>
      </c>
    </row>
    <row r="21" spans="1:13" x14ac:dyDescent="0.2">
      <c r="A21" s="15" t="s">
        <v>26</v>
      </c>
      <c r="B21" s="16">
        <v>1974</v>
      </c>
      <c r="C21" s="16"/>
      <c r="D21" s="15" t="str">
        <f t="shared" si="1"/>
        <v>Edwin gruber</v>
      </c>
      <c r="E21" s="17" t="s">
        <v>3</v>
      </c>
      <c r="F21" s="15">
        <f t="shared" si="0"/>
        <v>0</v>
      </c>
      <c r="G21" s="18">
        <v>0</v>
      </c>
      <c r="H21" s="14">
        <f t="shared" si="2"/>
        <v>0</v>
      </c>
      <c r="L21" s="15">
        <v>0</v>
      </c>
      <c r="M21" s="15">
        <f t="shared" si="3"/>
        <v>0</v>
      </c>
    </row>
    <row r="22" spans="1:13" x14ac:dyDescent="0.2">
      <c r="A22" s="16" t="s">
        <v>27</v>
      </c>
      <c r="B22" s="16">
        <v>1986</v>
      </c>
      <c r="C22" s="16"/>
      <c r="D22" s="15" t="str">
        <f t="shared" si="1"/>
        <v>Edwin gruber</v>
      </c>
      <c r="E22" s="17" t="s">
        <v>3</v>
      </c>
      <c r="F22" s="15">
        <f t="shared" si="0"/>
        <v>0</v>
      </c>
      <c r="G22" s="18">
        <v>0</v>
      </c>
      <c r="H22" s="14">
        <f t="shared" si="2"/>
        <v>0</v>
      </c>
      <c r="L22" s="15">
        <v>0</v>
      </c>
      <c r="M22" s="15">
        <f t="shared" si="3"/>
        <v>0</v>
      </c>
    </row>
    <row r="23" spans="1:13" x14ac:dyDescent="0.2">
      <c r="A23" s="16" t="s">
        <v>28</v>
      </c>
      <c r="B23" s="16">
        <v>2011</v>
      </c>
      <c r="C23" s="16"/>
      <c r="D23" s="15" t="str">
        <f t="shared" si="1"/>
        <v>Edwin gruber</v>
      </c>
      <c r="E23" s="17" t="s">
        <v>3</v>
      </c>
      <c r="F23" s="15">
        <f t="shared" si="0"/>
        <v>0</v>
      </c>
      <c r="G23" s="18">
        <v>0</v>
      </c>
      <c r="H23" s="14">
        <f t="shared" si="2"/>
        <v>0</v>
      </c>
      <c r="L23" s="15">
        <v>0</v>
      </c>
      <c r="M23" s="15">
        <f t="shared" si="3"/>
        <v>0</v>
      </c>
    </row>
    <row r="24" spans="1:13" x14ac:dyDescent="0.2">
      <c r="A24" s="16" t="s">
        <v>29</v>
      </c>
      <c r="B24" s="16">
        <v>1962</v>
      </c>
      <c r="C24" s="16"/>
      <c r="D24" s="15" t="str">
        <f t="shared" si="1"/>
        <v>Edwin gruber</v>
      </c>
      <c r="E24" s="17" t="s">
        <v>3</v>
      </c>
      <c r="F24" s="15">
        <f t="shared" si="0"/>
        <v>0</v>
      </c>
      <c r="G24" s="18">
        <v>0</v>
      </c>
      <c r="H24" s="14">
        <f t="shared" si="2"/>
        <v>0</v>
      </c>
      <c r="L24" s="15">
        <v>0</v>
      </c>
      <c r="M24" s="15">
        <f t="shared" si="3"/>
        <v>0</v>
      </c>
    </row>
    <row r="25" spans="1:13" x14ac:dyDescent="0.2">
      <c r="A25" s="16" t="s">
        <v>30</v>
      </c>
      <c r="B25" s="16">
        <v>1965</v>
      </c>
      <c r="C25" s="16"/>
      <c r="D25" s="15" t="str">
        <f t="shared" si="1"/>
        <v>Edwin gruber</v>
      </c>
      <c r="E25" s="17" t="s">
        <v>3</v>
      </c>
      <c r="F25" s="15">
        <f t="shared" si="0"/>
        <v>0</v>
      </c>
      <c r="G25" s="18">
        <v>0</v>
      </c>
      <c r="H25" s="14">
        <f t="shared" si="2"/>
        <v>0</v>
      </c>
      <c r="L25" s="15">
        <v>0</v>
      </c>
      <c r="M25" s="15">
        <f t="shared" si="3"/>
        <v>0</v>
      </c>
    </row>
    <row r="26" spans="1:13" x14ac:dyDescent="0.2">
      <c r="A26" s="16" t="s">
        <v>31</v>
      </c>
      <c r="B26" s="16">
        <v>1964</v>
      </c>
      <c r="C26" s="16"/>
      <c r="D26" s="15" t="str">
        <f t="shared" si="1"/>
        <v>Edwin gruber</v>
      </c>
      <c r="E26" s="17" t="s">
        <v>2</v>
      </c>
      <c r="F26" s="15">
        <f t="shared" si="0"/>
        <v>1</v>
      </c>
      <c r="G26" s="18">
        <v>4.5</v>
      </c>
      <c r="H26" s="14">
        <f t="shared" si="2"/>
        <v>4.5</v>
      </c>
      <c r="L26" s="15">
        <v>9</v>
      </c>
      <c r="M26" s="15">
        <f t="shared" si="3"/>
        <v>2.25</v>
      </c>
    </row>
    <row r="27" spans="1:13" x14ac:dyDescent="0.2">
      <c r="A27" s="16" t="s">
        <v>32</v>
      </c>
      <c r="B27" s="16">
        <v>2000</v>
      </c>
      <c r="C27" s="16"/>
      <c r="D27" s="15" t="str">
        <f t="shared" si="1"/>
        <v>Edwin gruber</v>
      </c>
      <c r="E27" s="17" t="s">
        <v>3</v>
      </c>
      <c r="F27" s="15">
        <f t="shared" si="0"/>
        <v>0</v>
      </c>
      <c r="G27" s="18">
        <v>0</v>
      </c>
      <c r="H27" s="14">
        <f t="shared" si="2"/>
        <v>0</v>
      </c>
      <c r="L27" s="15">
        <v>0</v>
      </c>
      <c r="M27" s="15">
        <f t="shared" si="3"/>
        <v>0</v>
      </c>
    </row>
    <row r="28" spans="1:13" x14ac:dyDescent="0.2">
      <c r="A28" s="16" t="s">
        <v>33</v>
      </c>
      <c r="B28" s="16">
        <v>1953</v>
      </c>
      <c r="C28" s="16"/>
      <c r="D28" s="15" t="str">
        <f t="shared" si="1"/>
        <v>Edwin gruber</v>
      </c>
      <c r="E28" s="17" t="s">
        <v>3</v>
      </c>
      <c r="F28" s="15">
        <f t="shared" si="0"/>
        <v>0</v>
      </c>
      <c r="G28" s="18">
        <v>0</v>
      </c>
      <c r="H28" s="14">
        <f t="shared" si="2"/>
        <v>0</v>
      </c>
      <c r="L28" s="15">
        <v>0</v>
      </c>
      <c r="M28" s="15">
        <f t="shared" si="3"/>
        <v>0</v>
      </c>
    </row>
    <row r="29" spans="1:13" x14ac:dyDescent="0.2">
      <c r="A29" s="16" t="s">
        <v>34</v>
      </c>
      <c r="B29" s="16">
        <v>2014</v>
      </c>
      <c r="C29" s="16"/>
      <c r="D29" s="15" t="str">
        <f t="shared" si="1"/>
        <v>Edwin gruber</v>
      </c>
      <c r="E29" s="17" t="s">
        <v>2</v>
      </c>
      <c r="F29" s="15">
        <f t="shared" si="0"/>
        <v>1</v>
      </c>
      <c r="G29" s="18">
        <v>4.5</v>
      </c>
      <c r="H29" s="14">
        <f t="shared" si="2"/>
        <v>4.5</v>
      </c>
      <c r="L29" s="15">
        <v>9</v>
      </c>
      <c r="M29" s="15">
        <f t="shared" si="3"/>
        <v>2.25</v>
      </c>
    </row>
    <row r="30" spans="1:13" x14ac:dyDescent="0.2">
      <c r="A30" s="15" t="s">
        <v>35</v>
      </c>
      <c r="B30" s="16">
        <v>2001</v>
      </c>
      <c r="C30" s="16"/>
      <c r="D30" s="15" t="str">
        <f t="shared" si="1"/>
        <v>Edwin gruber</v>
      </c>
      <c r="E30" s="17" t="s">
        <v>2</v>
      </c>
      <c r="F30" s="15">
        <f t="shared" si="0"/>
        <v>1</v>
      </c>
      <c r="G30" s="18">
        <v>3.5</v>
      </c>
      <c r="H30" s="14">
        <f t="shared" si="2"/>
        <v>3.5</v>
      </c>
      <c r="L30" s="15">
        <v>7</v>
      </c>
      <c r="M30" s="15">
        <f t="shared" si="3"/>
        <v>1.75</v>
      </c>
    </row>
    <row r="31" spans="1:13" x14ac:dyDescent="0.2">
      <c r="A31" s="16" t="s">
        <v>36</v>
      </c>
      <c r="B31" s="16">
        <v>1950</v>
      </c>
      <c r="C31" s="16"/>
      <c r="D31" s="15" t="str">
        <f t="shared" si="1"/>
        <v>Edwin gruber</v>
      </c>
      <c r="E31" s="17" t="s">
        <v>2</v>
      </c>
      <c r="F31" s="15">
        <f t="shared" si="0"/>
        <v>1</v>
      </c>
      <c r="G31" s="18">
        <v>4</v>
      </c>
      <c r="H31" s="14">
        <f t="shared" si="2"/>
        <v>4</v>
      </c>
      <c r="L31" s="15">
        <v>8</v>
      </c>
      <c r="M31" s="15">
        <f t="shared" si="3"/>
        <v>2</v>
      </c>
    </row>
    <row r="32" spans="1:13" x14ac:dyDescent="0.2">
      <c r="A32" s="16" t="s">
        <v>37</v>
      </c>
      <c r="B32" s="16">
        <v>1962</v>
      </c>
      <c r="C32" s="16"/>
      <c r="D32" s="15" t="str">
        <f t="shared" si="1"/>
        <v>Edwin gruber</v>
      </c>
      <c r="E32" s="17" t="s">
        <v>3</v>
      </c>
      <c r="F32" s="15">
        <f t="shared" si="0"/>
        <v>0</v>
      </c>
      <c r="G32" s="18">
        <v>0</v>
      </c>
      <c r="H32" s="14">
        <f t="shared" si="2"/>
        <v>0</v>
      </c>
      <c r="L32" s="15">
        <v>0</v>
      </c>
      <c r="M32" s="15">
        <f t="shared" si="3"/>
        <v>0</v>
      </c>
    </row>
    <row r="33" spans="1:13" x14ac:dyDescent="0.2">
      <c r="A33" s="15" t="s">
        <v>38</v>
      </c>
      <c r="B33" s="16">
        <v>1990</v>
      </c>
      <c r="C33" s="16"/>
      <c r="D33" s="15" t="str">
        <f t="shared" si="1"/>
        <v>Edwin gruber</v>
      </c>
      <c r="E33" s="17" t="s">
        <v>2</v>
      </c>
      <c r="F33" s="15">
        <f t="shared" si="0"/>
        <v>1</v>
      </c>
      <c r="G33" s="18">
        <v>3.5</v>
      </c>
      <c r="H33" s="14">
        <f t="shared" si="2"/>
        <v>3.5</v>
      </c>
      <c r="L33" s="15">
        <v>7</v>
      </c>
      <c r="M33" s="15">
        <f t="shared" si="3"/>
        <v>1.75</v>
      </c>
    </row>
    <row r="34" spans="1:13" x14ac:dyDescent="0.2">
      <c r="A34" s="16" t="s">
        <v>39</v>
      </c>
      <c r="B34" s="16">
        <v>2004</v>
      </c>
      <c r="C34" s="16"/>
      <c r="D34" s="15" t="str">
        <f t="shared" si="1"/>
        <v>Edwin gruber</v>
      </c>
      <c r="E34" s="17" t="s">
        <v>2</v>
      </c>
      <c r="F34" s="15">
        <f t="shared" si="0"/>
        <v>1</v>
      </c>
      <c r="G34" s="18">
        <v>3.5</v>
      </c>
      <c r="H34" s="14">
        <f t="shared" si="2"/>
        <v>3.5</v>
      </c>
      <c r="L34" s="15">
        <v>7</v>
      </c>
      <c r="M34" s="15">
        <f t="shared" si="3"/>
        <v>1.75</v>
      </c>
    </row>
    <row r="35" spans="1:13" x14ac:dyDescent="0.2">
      <c r="A35" s="16" t="s">
        <v>40</v>
      </c>
      <c r="B35" s="16">
        <v>1967</v>
      </c>
      <c r="C35" s="16"/>
      <c r="D35" s="15" t="str">
        <f t="shared" si="1"/>
        <v>Edwin gruber</v>
      </c>
      <c r="E35" s="17" t="s">
        <v>3</v>
      </c>
      <c r="F35" s="15">
        <f t="shared" si="0"/>
        <v>0</v>
      </c>
      <c r="G35" s="18">
        <v>0</v>
      </c>
      <c r="H35" s="14">
        <f t="shared" si="2"/>
        <v>0</v>
      </c>
      <c r="L35" s="15">
        <v>0</v>
      </c>
      <c r="M35" s="15">
        <f t="shared" si="3"/>
        <v>0</v>
      </c>
    </row>
    <row r="36" spans="1:13" x14ac:dyDescent="0.2">
      <c r="A36" s="15" t="s">
        <v>41</v>
      </c>
      <c r="B36" s="16">
        <v>2014</v>
      </c>
      <c r="C36" s="16"/>
      <c r="D36" s="15" t="str">
        <f t="shared" si="1"/>
        <v>Edwin gruber</v>
      </c>
      <c r="E36" s="17" t="s">
        <v>3</v>
      </c>
      <c r="F36" s="15">
        <f t="shared" si="0"/>
        <v>0</v>
      </c>
      <c r="G36" s="18">
        <v>0</v>
      </c>
      <c r="H36" s="14">
        <f t="shared" si="2"/>
        <v>0</v>
      </c>
      <c r="L36" s="15">
        <v>0</v>
      </c>
      <c r="M36" s="15">
        <f t="shared" si="3"/>
        <v>0</v>
      </c>
    </row>
    <row r="37" spans="1:13" x14ac:dyDescent="0.2">
      <c r="A37" s="15" t="s">
        <v>42</v>
      </c>
      <c r="B37" s="16">
        <v>1995</v>
      </c>
      <c r="C37" s="16"/>
      <c r="D37" s="15" t="str">
        <f t="shared" si="1"/>
        <v>Edwin gruber</v>
      </c>
      <c r="E37" s="17" t="s">
        <v>2</v>
      </c>
      <c r="F37" s="15">
        <f t="shared" si="0"/>
        <v>1</v>
      </c>
      <c r="G37" s="18">
        <v>4</v>
      </c>
      <c r="H37" s="14">
        <f t="shared" si="2"/>
        <v>4</v>
      </c>
      <c r="L37" s="15">
        <v>8</v>
      </c>
      <c r="M37" s="15">
        <f t="shared" si="3"/>
        <v>2</v>
      </c>
    </row>
    <row r="38" spans="1:13" x14ac:dyDescent="0.2">
      <c r="A38" s="16" t="s">
        <v>43</v>
      </c>
      <c r="B38" s="16">
        <v>2005</v>
      </c>
      <c r="C38" s="16"/>
      <c r="D38" s="15" t="str">
        <f t="shared" si="1"/>
        <v>Edwin gruber</v>
      </c>
      <c r="E38" s="17" t="s">
        <v>2</v>
      </c>
      <c r="F38" s="15">
        <f t="shared" si="0"/>
        <v>1</v>
      </c>
      <c r="G38" s="18">
        <v>4</v>
      </c>
      <c r="H38" s="14">
        <f t="shared" si="2"/>
        <v>4</v>
      </c>
      <c r="L38" s="15">
        <v>8</v>
      </c>
      <c r="M38" s="15">
        <f t="shared" si="3"/>
        <v>2</v>
      </c>
    </row>
    <row r="39" spans="1:13" x14ac:dyDescent="0.2">
      <c r="A39" s="15" t="s">
        <v>44</v>
      </c>
      <c r="B39" s="16">
        <v>2016</v>
      </c>
      <c r="C39" s="16"/>
      <c r="D39" s="15" t="str">
        <f t="shared" si="1"/>
        <v>Edwin gruber</v>
      </c>
      <c r="E39" s="17" t="s">
        <v>3</v>
      </c>
      <c r="F39" s="15">
        <f t="shared" si="0"/>
        <v>0</v>
      </c>
      <c r="G39" s="18">
        <v>0</v>
      </c>
      <c r="H39" s="14">
        <f t="shared" si="2"/>
        <v>0</v>
      </c>
      <c r="L39" s="15">
        <v>0</v>
      </c>
      <c r="M39" s="15">
        <f t="shared" si="3"/>
        <v>0</v>
      </c>
    </row>
    <row r="40" spans="1:13" x14ac:dyDescent="0.2">
      <c r="A40" s="15" t="s">
        <v>45</v>
      </c>
      <c r="B40" s="16">
        <v>2001</v>
      </c>
      <c r="C40" s="16"/>
      <c r="D40" s="15" t="str">
        <f t="shared" si="1"/>
        <v>Edwin gruber</v>
      </c>
      <c r="E40" s="17" t="s">
        <v>2</v>
      </c>
      <c r="F40" s="15">
        <f t="shared" si="0"/>
        <v>1</v>
      </c>
      <c r="G40" s="18">
        <v>3.5</v>
      </c>
      <c r="H40" s="14">
        <f t="shared" si="2"/>
        <v>3.5</v>
      </c>
      <c r="L40" s="15">
        <v>7</v>
      </c>
      <c r="M40" s="15">
        <f t="shared" si="3"/>
        <v>1.75</v>
      </c>
    </row>
    <row r="41" spans="1:13" x14ac:dyDescent="0.2">
      <c r="A41" s="16" t="s">
        <v>46</v>
      </c>
      <c r="B41" s="16">
        <v>1964</v>
      </c>
      <c r="C41" s="16"/>
      <c r="D41" s="15" t="str">
        <f t="shared" si="1"/>
        <v>Edwin gruber</v>
      </c>
      <c r="E41" s="17" t="s">
        <v>3</v>
      </c>
      <c r="F41" s="15">
        <f t="shared" si="0"/>
        <v>0</v>
      </c>
      <c r="G41" s="18">
        <v>0</v>
      </c>
      <c r="H41" s="14">
        <f t="shared" si="2"/>
        <v>0</v>
      </c>
      <c r="L41" s="15">
        <v>0</v>
      </c>
      <c r="M41" s="15">
        <f t="shared" si="3"/>
        <v>0</v>
      </c>
    </row>
    <row r="42" spans="1:13" x14ac:dyDescent="0.2">
      <c r="A42" s="16" t="s">
        <v>47</v>
      </c>
      <c r="B42" s="16">
        <v>1954</v>
      </c>
      <c r="C42" s="16"/>
      <c r="D42" s="15" t="str">
        <f t="shared" si="1"/>
        <v>Edwin gruber</v>
      </c>
      <c r="E42" s="17" t="s">
        <v>3</v>
      </c>
      <c r="F42" s="15">
        <f t="shared" si="0"/>
        <v>0</v>
      </c>
      <c r="G42" s="18">
        <v>0</v>
      </c>
      <c r="H42" s="14">
        <f t="shared" si="2"/>
        <v>0</v>
      </c>
      <c r="L42" s="15">
        <v>0</v>
      </c>
      <c r="M42" s="15">
        <f t="shared" si="3"/>
        <v>0</v>
      </c>
    </row>
    <row r="43" spans="1:13" x14ac:dyDescent="0.2">
      <c r="A43" s="16" t="s">
        <v>48</v>
      </c>
      <c r="B43" s="16">
        <v>1955</v>
      </c>
      <c r="C43" s="16"/>
      <c r="D43" s="15" t="str">
        <f t="shared" si="1"/>
        <v>Edwin gruber</v>
      </c>
      <c r="E43" s="17" t="s">
        <v>3</v>
      </c>
      <c r="F43" s="15">
        <f t="shared" si="0"/>
        <v>0</v>
      </c>
      <c r="G43" s="18">
        <v>0</v>
      </c>
      <c r="H43" s="14">
        <f t="shared" si="2"/>
        <v>0</v>
      </c>
      <c r="L43" s="15">
        <v>0</v>
      </c>
      <c r="M43" s="15">
        <f t="shared" si="3"/>
        <v>0</v>
      </c>
    </row>
    <row r="44" spans="1:13" x14ac:dyDescent="0.2">
      <c r="A44" s="16" t="s">
        <v>66</v>
      </c>
      <c r="B44" s="16">
        <v>2005</v>
      </c>
      <c r="C44" s="16"/>
      <c r="D44" s="15" t="str">
        <f t="shared" si="1"/>
        <v>Edwin gruber</v>
      </c>
      <c r="E44" s="17" t="s">
        <v>3</v>
      </c>
      <c r="F44" s="15">
        <f t="shared" si="0"/>
        <v>0</v>
      </c>
      <c r="G44" s="18">
        <v>0</v>
      </c>
      <c r="H44" s="14">
        <f t="shared" si="2"/>
        <v>0</v>
      </c>
      <c r="L44" s="15">
        <v>0</v>
      </c>
      <c r="M44" s="15">
        <f t="shared" si="3"/>
        <v>0</v>
      </c>
    </row>
    <row r="45" spans="1:13" x14ac:dyDescent="0.2">
      <c r="A45" s="15" t="s">
        <v>49</v>
      </c>
      <c r="B45" s="16">
        <v>1998</v>
      </c>
      <c r="C45" s="16"/>
      <c r="D45" s="15" t="str">
        <f t="shared" si="1"/>
        <v>Edwin gruber</v>
      </c>
      <c r="E45" s="17" t="s">
        <v>3</v>
      </c>
      <c r="F45" s="15">
        <f t="shared" si="0"/>
        <v>0</v>
      </c>
      <c r="G45" s="18">
        <v>0</v>
      </c>
      <c r="H45" s="14">
        <f t="shared" si="2"/>
        <v>0</v>
      </c>
      <c r="L45" s="15">
        <v>0</v>
      </c>
      <c r="M45" s="15">
        <f t="shared" si="3"/>
        <v>0</v>
      </c>
    </row>
    <row r="46" spans="1:13" x14ac:dyDescent="0.2">
      <c r="A46" s="15" t="s">
        <v>50</v>
      </c>
      <c r="B46" s="16">
        <v>1993</v>
      </c>
      <c r="C46" s="16"/>
      <c r="D46" s="15" t="str">
        <f t="shared" si="1"/>
        <v>Edwin gruber</v>
      </c>
      <c r="E46" s="17" t="s">
        <v>2</v>
      </c>
      <c r="F46" s="15">
        <f t="shared" si="0"/>
        <v>1</v>
      </c>
      <c r="G46" s="18">
        <v>4</v>
      </c>
      <c r="H46" s="14">
        <f t="shared" si="2"/>
        <v>4</v>
      </c>
      <c r="L46" s="15">
        <v>8</v>
      </c>
      <c r="M46" s="15">
        <f t="shared" si="3"/>
        <v>2</v>
      </c>
    </row>
    <row r="47" spans="1:13" x14ac:dyDescent="0.2">
      <c r="A47" s="16" t="s">
        <v>51</v>
      </c>
      <c r="B47" s="16">
        <v>1996</v>
      </c>
      <c r="C47" s="16"/>
      <c r="D47" s="15" t="str">
        <f t="shared" si="1"/>
        <v>Edwin gruber</v>
      </c>
      <c r="E47" s="17" t="s">
        <v>2</v>
      </c>
      <c r="F47" s="15">
        <f t="shared" si="0"/>
        <v>1</v>
      </c>
      <c r="G47" s="18">
        <v>4</v>
      </c>
      <c r="H47" s="14">
        <f t="shared" si="2"/>
        <v>4</v>
      </c>
      <c r="L47" s="15">
        <v>8</v>
      </c>
      <c r="M47" s="15">
        <f t="shared" si="3"/>
        <v>2</v>
      </c>
    </row>
    <row r="48" spans="1:13" x14ac:dyDescent="0.2">
      <c r="A48" s="15" t="s">
        <v>52</v>
      </c>
      <c r="B48" s="16">
        <v>1977</v>
      </c>
      <c r="C48" s="16"/>
      <c r="D48" s="15" t="str">
        <f t="shared" si="1"/>
        <v>Edwin gruber</v>
      </c>
      <c r="E48" s="17" t="s">
        <v>3</v>
      </c>
      <c r="F48" s="15">
        <f t="shared" si="0"/>
        <v>0</v>
      </c>
      <c r="G48" s="18">
        <v>0</v>
      </c>
      <c r="H48" s="14">
        <f t="shared" si="2"/>
        <v>0</v>
      </c>
      <c r="L48" s="15">
        <v>0</v>
      </c>
      <c r="M48" s="15">
        <f t="shared" si="3"/>
        <v>0</v>
      </c>
    </row>
    <row r="49" spans="1:13" x14ac:dyDescent="0.2">
      <c r="A49" s="15" t="s">
        <v>53</v>
      </c>
      <c r="B49" s="16">
        <v>2016</v>
      </c>
      <c r="C49" s="16"/>
      <c r="D49" s="15" t="str">
        <f t="shared" si="1"/>
        <v>Edwin gruber</v>
      </c>
      <c r="E49" s="17" t="s">
        <v>3</v>
      </c>
      <c r="F49" s="15">
        <f t="shared" si="0"/>
        <v>0</v>
      </c>
      <c r="G49" s="18">
        <v>0</v>
      </c>
      <c r="H49" s="14">
        <f t="shared" si="2"/>
        <v>0</v>
      </c>
      <c r="L49" s="15">
        <v>0</v>
      </c>
      <c r="M49" s="15">
        <f t="shared" si="3"/>
        <v>0</v>
      </c>
    </row>
    <row r="50" spans="1:13" x14ac:dyDescent="0.2">
      <c r="A50" s="16" t="s">
        <v>54</v>
      </c>
      <c r="B50" s="16">
        <v>2010</v>
      </c>
      <c r="C50" s="16"/>
      <c r="D50" s="15" t="str">
        <f t="shared" si="1"/>
        <v>Edwin gruber</v>
      </c>
      <c r="E50" s="17" t="s">
        <v>3</v>
      </c>
      <c r="F50" s="15">
        <f t="shared" si="0"/>
        <v>0</v>
      </c>
      <c r="G50" s="18">
        <v>0</v>
      </c>
      <c r="H50" s="14">
        <f t="shared" si="2"/>
        <v>0</v>
      </c>
      <c r="L50" s="15">
        <v>0</v>
      </c>
      <c r="M50" s="15">
        <f t="shared" si="3"/>
        <v>0</v>
      </c>
    </row>
    <row r="51" spans="1:13" x14ac:dyDescent="0.2">
      <c r="A51" s="15" t="s">
        <v>55</v>
      </c>
      <c r="B51" s="16">
        <v>2012</v>
      </c>
      <c r="C51" s="16"/>
      <c r="D51" s="15" t="str">
        <f t="shared" si="1"/>
        <v>Edwin gruber</v>
      </c>
      <c r="E51" s="17" t="s">
        <v>2</v>
      </c>
      <c r="F51" s="15">
        <f t="shared" si="0"/>
        <v>1</v>
      </c>
      <c r="G51" s="18">
        <v>3.5</v>
      </c>
      <c r="H51" s="14">
        <f t="shared" si="2"/>
        <v>3.5</v>
      </c>
      <c r="L51" s="15">
        <v>7</v>
      </c>
      <c r="M51" s="15">
        <f t="shared" si="3"/>
        <v>1.75</v>
      </c>
    </row>
    <row r="52" spans="1:13" x14ac:dyDescent="0.2">
      <c r="A52" s="15" t="s">
        <v>56</v>
      </c>
      <c r="B52" s="16">
        <v>1973</v>
      </c>
      <c r="C52" s="16"/>
      <c r="D52" s="15" t="str">
        <f t="shared" si="1"/>
        <v>Edwin gruber</v>
      </c>
      <c r="E52" s="17" t="s">
        <v>3</v>
      </c>
      <c r="F52" s="15">
        <f t="shared" si="0"/>
        <v>0</v>
      </c>
      <c r="G52" s="18">
        <v>0</v>
      </c>
      <c r="H52" s="14">
        <f t="shared" si="2"/>
        <v>0</v>
      </c>
      <c r="L52" s="15">
        <v>0</v>
      </c>
      <c r="M52" s="15">
        <f t="shared" si="3"/>
        <v>0</v>
      </c>
    </row>
    <row r="53" spans="1:13" x14ac:dyDescent="0.2">
      <c r="A53" s="15" t="s">
        <v>57</v>
      </c>
      <c r="B53" s="16">
        <v>1972</v>
      </c>
      <c r="C53" s="16"/>
      <c r="D53" s="15" t="str">
        <f t="shared" si="1"/>
        <v>Edwin gruber</v>
      </c>
      <c r="E53" s="17" t="s">
        <v>3</v>
      </c>
      <c r="F53" s="15">
        <f t="shared" si="0"/>
        <v>0</v>
      </c>
      <c r="G53" s="18">
        <v>0</v>
      </c>
      <c r="H53" s="14">
        <f t="shared" si="2"/>
        <v>0</v>
      </c>
      <c r="L53" s="15">
        <v>0</v>
      </c>
      <c r="M53" s="15">
        <f t="shared" si="3"/>
        <v>0</v>
      </c>
    </row>
    <row r="54" spans="1:13" x14ac:dyDescent="0.2">
      <c r="A54" s="16" t="s">
        <v>58</v>
      </c>
      <c r="B54" s="16">
        <v>1994</v>
      </c>
      <c r="C54" s="16"/>
      <c r="D54" s="15" t="str">
        <f t="shared" si="1"/>
        <v>Edwin gruber</v>
      </c>
      <c r="E54" s="17" t="s">
        <v>2</v>
      </c>
      <c r="F54" s="15">
        <f t="shared" si="0"/>
        <v>1</v>
      </c>
      <c r="G54" s="18">
        <v>4</v>
      </c>
      <c r="H54" s="14">
        <f t="shared" si="2"/>
        <v>4</v>
      </c>
      <c r="L54" s="15">
        <v>8</v>
      </c>
      <c r="M54" s="15">
        <f t="shared" si="3"/>
        <v>2</v>
      </c>
    </row>
    <row r="55" spans="1:13" x14ac:dyDescent="0.2">
      <c r="A55" s="15" t="s">
        <v>59</v>
      </c>
      <c r="B55" s="16">
        <v>1999</v>
      </c>
      <c r="C55" s="16"/>
      <c r="D55" s="15" t="str">
        <f t="shared" si="1"/>
        <v>Edwin gruber</v>
      </c>
      <c r="E55" s="17" t="s">
        <v>2</v>
      </c>
      <c r="F55" s="15">
        <f t="shared" si="0"/>
        <v>1</v>
      </c>
      <c r="G55" s="18">
        <v>4</v>
      </c>
      <c r="H55" s="14">
        <f t="shared" si="2"/>
        <v>4</v>
      </c>
      <c r="L55" s="15">
        <v>8</v>
      </c>
      <c r="M55" s="15">
        <f t="shared" si="3"/>
        <v>2</v>
      </c>
    </row>
    <row r="56" spans="1:13" x14ac:dyDescent="0.2">
      <c r="A56" s="15" t="s">
        <v>60</v>
      </c>
      <c r="B56" s="16">
        <v>1980</v>
      </c>
      <c r="C56" s="16"/>
      <c r="D56" s="15" t="str">
        <f t="shared" si="1"/>
        <v>Edwin gruber</v>
      </c>
      <c r="E56" s="17" t="s">
        <v>2</v>
      </c>
      <c r="F56" s="15">
        <f t="shared" si="0"/>
        <v>1</v>
      </c>
      <c r="G56" s="18">
        <v>4</v>
      </c>
      <c r="H56" s="14">
        <f t="shared" si="2"/>
        <v>4</v>
      </c>
      <c r="L56" s="15">
        <v>8</v>
      </c>
      <c r="M56" s="15">
        <f t="shared" si="3"/>
        <v>2</v>
      </c>
    </row>
    <row r="57" spans="1:13" x14ac:dyDescent="0.2">
      <c r="A57" s="15" t="s">
        <v>61</v>
      </c>
      <c r="B57" s="16">
        <v>1984</v>
      </c>
      <c r="C57" s="16"/>
      <c r="D57" s="15" t="str">
        <f t="shared" si="1"/>
        <v>Edwin gruber</v>
      </c>
      <c r="E57" s="17" t="s">
        <v>2</v>
      </c>
      <c r="F57" s="15">
        <f t="shared" si="0"/>
        <v>1</v>
      </c>
      <c r="G57" s="18">
        <v>4.5</v>
      </c>
      <c r="H57" s="14">
        <f t="shared" si="2"/>
        <v>4.5</v>
      </c>
      <c r="L57" s="15">
        <v>9</v>
      </c>
      <c r="M57" s="15">
        <f t="shared" si="3"/>
        <v>2.25</v>
      </c>
    </row>
    <row r="58" spans="1:13" x14ac:dyDescent="0.2">
      <c r="A58" s="15" t="s">
        <v>62</v>
      </c>
      <c r="B58" s="16">
        <v>1986</v>
      </c>
      <c r="C58" s="16"/>
      <c r="D58" s="15" t="str">
        <f t="shared" si="1"/>
        <v>Edwin gruber</v>
      </c>
      <c r="E58" s="17" t="s">
        <v>3</v>
      </c>
      <c r="F58" s="15">
        <f t="shared" si="0"/>
        <v>0</v>
      </c>
      <c r="G58" s="18">
        <v>0</v>
      </c>
      <c r="H58" s="14">
        <f t="shared" si="2"/>
        <v>0</v>
      </c>
      <c r="L58" s="15">
        <v>0</v>
      </c>
      <c r="M58" s="15">
        <f t="shared" si="3"/>
        <v>0</v>
      </c>
    </row>
    <row r="59" spans="1:13" x14ac:dyDescent="0.2">
      <c r="A59" s="15" t="s">
        <v>63</v>
      </c>
      <c r="B59" s="16">
        <v>1995</v>
      </c>
      <c r="C59" s="16"/>
      <c r="D59" s="15" t="str">
        <f t="shared" si="1"/>
        <v>Edwin gruber</v>
      </c>
      <c r="E59" s="17" t="s">
        <v>2</v>
      </c>
      <c r="F59" s="15">
        <f t="shared" si="0"/>
        <v>1</v>
      </c>
      <c r="G59" s="18">
        <v>3.5</v>
      </c>
      <c r="H59" s="14">
        <f t="shared" si="2"/>
        <v>3.5</v>
      </c>
      <c r="L59" s="15">
        <v>7</v>
      </c>
      <c r="M59" s="15">
        <f t="shared" si="3"/>
        <v>1.75</v>
      </c>
    </row>
  </sheetData>
  <dataValidations count="3">
    <dataValidation allowBlank="1" showInputMessage="1" showErrorMessage="1" promptTitle="Enter your name here" prompt="Please enter your name here._x000a_It will be added to each film entry for you." sqref="D3" xr:uid="{A113EC7F-64D4-EB40-B54A-52823E2C3E28}">
      <formula1>0</formula1>
      <formula2>0</formula2>
    </dataValidation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A929BEFA-D09A-154E-BC56-2A600B839BD6}">
      <formula1>0</formula1>
      <formula2>5</formula2>
    </dataValidation>
    <dataValidation type="list" allowBlank="1" showInputMessage="1" showErrorMessage="1" promptTitle="Have you seen the film?" sqref="E3:E59" xr:uid="{72A60979-B65F-484F-9CBE-DF1A2212946E}">
      <formula1>$J$1:$J$2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F9C9-1837-374F-820E-0BA6069BC3BB}">
  <dimension ref="A1:J59"/>
  <sheetViews>
    <sheetView workbookViewId="0">
      <selection activeCell="A3" sqref="A3:H59"/>
    </sheetView>
  </sheetViews>
  <sheetFormatPr baseColWidth="10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27.16406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75</v>
      </c>
      <c r="E3" s="10" t="s">
        <v>2</v>
      </c>
      <c r="F3" s="6">
        <f>IF(E3="Yes",1,0)</f>
        <v>1</v>
      </c>
      <c r="G3" s="11">
        <v>3</v>
      </c>
      <c r="H3" s="9">
        <f>F3*G3</f>
        <v>3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Kanyildiz Muhammedmehdi</v>
      </c>
      <c r="E4" s="10" t="s">
        <v>3</v>
      </c>
      <c r="F4" s="6">
        <f t="shared" ref="F4:F59" si="0">IF(E4="Yes",1,0)</f>
        <v>0</v>
      </c>
      <c r="G4" s="11"/>
      <c r="H4" s="9">
        <f t="shared" ref="H4:H59" si="1">F4*G4</f>
        <v>0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Kanyildiz Muhammedmehdi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Kanyildiz Muhammedmehdi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Kanyildiz Muhammedmehdi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Kanyildiz Muhammedmehdi</v>
      </c>
      <c r="E8" s="10" t="s">
        <v>2</v>
      </c>
      <c r="F8" s="6">
        <f t="shared" si="0"/>
        <v>1</v>
      </c>
      <c r="G8" s="11">
        <v>2</v>
      </c>
      <c r="H8" s="9">
        <f t="shared" si="1"/>
        <v>2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Kanyildiz Muhammedmehdi</v>
      </c>
      <c r="E9" s="10" t="s">
        <v>2</v>
      </c>
      <c r="F9" s="6">
        <f t="shared" si="0"/>
        <v>1</v>
      </c>
      <c r="G9" s="11">
        <v>3</v>
      </c>
      <c r="H9" s="9">
        <f t="shared" si="1"/>
        <v>3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Kanyildiz Muhammedmehdi</v>
      </c>
      <c r="E10" s="10" t="s">
        <v>2</v>
      </c>
      <c r="F10" s="6">
        <f t="shared" si="0"/>
        <v>1</v>
      </c>
      <c r="G10" s="11">
        <v>2</v>
      </c>
      <c r="H10" s="9">
        <f t="shared" si="1"/>
        <v>2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Kanyildiz Muhammedmehdi</v>
      </c>
      <c r="E11" s="10" t="s">
        <v>2</v>
      </c>
      <c r="F11" s="6">
        <f t="shared" si="0"/>
        <v>1</v>
      </c>
      <c r="G11" s="11">
        <v>4</v>
      </c>
      <c r="H11" s="9">
        <f t="shared" si="1"/>
        <v>4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Kanyildiz Muhammedmehdi</v>
      </c>
      <c r="E12" s="10" t="s">
        <v>2</v>
      </c>
      <c r="F12" s="6">
        <f t="shared" si="0"/>
        <v>1</v>
      </c>
      <c r="G12" s="11">
        <v>4</v>
      </c>
      <c r="H12" s="9">
        <f t="shared" si="1"/>
        <v>4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Kanyildiz Muhammedmehdi</v>
      </c>
      <c r="E13" s="10" t="s">
        <v>2</v>
      </c>
      <c r="F13" s="6">
        <f t="shared" si="0"/>
        <v>1</v>
      </c>
      <c r="G13" s="11">
        <v>1</v>
      </c>
      <c r="H13" s="9">
        <f t="shared" si="1"/>
        <v>1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Kanyildiz Muhammedmehdi</v>
      </c>
      <c r="E14" s="10" t="s">
        <v>2</v>
      </c>
      <c r="F14" s="6">
        <f t="shared" si="0"/>
        <v>1</v>
      </c>
      <c r="G14" s="11">
        <v>2</v>
      </c>
      <c r="H14" s="9">
        <f t="shared" si="1"/>
        <v>2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Kanyildiz Muhammedmehdi</v>
      </c>
      <c r="E15" s="10" t="s">
        <v>2</v>
      </c>
      <c r="F15" s="6">
        <f t="shared" si="0"/>
        <v>1</v>
      </c>
      <c r="G15" s="11">
        <v>5</v>
      </c>
      <c r="H15" s="9">
        <f t="shared" si="1"/>
        <v>5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Kanyildiz Muhammedmehdi</v>
      </c>
      <c r="E16" s="10" t="s">
        <v>2</v>
      </c>
      <c r="F16" s="6">
        <f t="shared" si="0"/>
        <v>1</v>
      </c>
      <c r="G16" s="11">
        <v>2</v>
      </c>
      <c r="H16" s="9">
        <f t="shared" si="1"/>
        <v>2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Kanyildiz Muhammedmehdi</v>
      </c>
      <c r="E17" s="10" t="s">
        <v>2</v>
      </c>
      <c r="F17" s="6">
        <f t="shared" si="0"/>
        <v>1</v>
      </c>
      <c r="G17" s="11">
        <v>4</v>
      </c>
      <c r="H17" s="9">
        <f t="shared" si="1"/>
        <v>4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Kanyildiz Muhammedmehdi</v>
      </c>
      <c r="E18" s="10" t="s">
        <v>2</v>
      </c>
      <c r="F18" s="6">
        <f t="shared" si="0"/>
        <v>1</v>
      </c>
      <c r="G18" s="11">
        <v>3</v>
      </c>
      <c r="H18" s="9">
        <f t="shared" si="1"/>
        <v>3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Kanyildiz Muhammedmehdi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Kanyildiz Muhammedmehdi</v>
      </c>
      <c r="E20" s="10" t="s">
        <v>2</v>
      </c>
      <c r="F20" s="6">
        <f t="shared" si="0"/>
        <v>1</v>
      </c>
      <c r="G20" s="11">
        <v>3</v>
      </c>
      <c r="H20" s="9">
        <f t="shared" si="1"/>
        <v>3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Kanyildiz Muhammedmehdi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Kanyildiz Muhammedmehdi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Kanyildiz Muhammedmehdi</v>
      </c>
      <c r="E23" s="10" t="s">
        <v>2</v>
      </c>
      <c r="F23" s="6">
        <f t="shared" si="0"/>
        <v>1</v>
      </c>
      <c r="G23" s="11">
        <v>3</v>
      </c>
      <c r="H23" s="9">
        <f t="shared" si="1"/>
        <v>3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Kanyildiz Muhammedmehdi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Kanyildiz Muhammedmehdi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Kanyildiz Muhammedmehdi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Kanyildiz Muhammedmehdi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Kanyildiz Muhammedmehdi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Kanyildiz Muhammedmehdi</v>
      </c>
      <c r="E29" s="10" t="s">
        <v>3</v>
      </c>
      <c r="F29" s="6">
        <f t="shared" si="0"/>
        <v>0</v>
      </c>
      <c r="G29" s="11"/>
      <c r="H29" s="9">
        <f t="shared" si="1"/>
        <v>0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Kanyildiz Muhammedmehdi</v>
      </c>
      <c r="E30" s="10" t="s">
        <v>2</v>
      </c>
      <c r="F30" s="6">
        <f t="shared" si="0"/>
        <v>1</v>
      </c>
      <c r="G30" s="11">
        <v>4</v>
      </c>
      <c r="H30" s="9">
        <f t="shared" si="1"/>
        <v>4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Kanyildiz Muhammedmehdi</v>
      </c>
      <c r="E31" s="10" t="s">
        <v>2</v>
      </c>
      <c r="F31" s="6">
        <f t="shared" si="0"/>
        <v>1</v>
      </c>
      <c r="G31" s="11">
        <v>3</v>
      </c>
      <c r="H31" s="9">
        <f t="shared" si="1"/>
        <v>3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Kanyildiz Muhammedmehdi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Kanyildiz Muhammedmehdi</v>
      </c>
      <c r="E33" s="10" t="s">
        <v>2</v>
      </c>
      <c r="F33" s="6">
        <f t="shared" si="0"/>
        <v>1</v>
      </c>
      <c r="G33" s="11">
        <v>5</v>
      </c>
      <c r="H33" s="9">
        <f t="shared" si="1"/>
        <v>5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Kanyildiz Muhammedmehdi</v>
      </c>
      <c r="E34" s="10" t="s">
        <v>2</v>
      </c>
      <c r="F34" s="6">
        <f t="shared" si="0"/>
        <v>1</v>
      </c>
      <c r="G34" s="11">
        <v>5</v>
      </c>
      <c r="H34" s="9">
        <f t="shared" si="1"/>
        <v>5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Kanyildiz Muhammedmehdi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Kanyildiz Muhammedmehdi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Kanyildiz Muhammedmehdi</v>
      </c>
      <c r="E37" s="10" t="s">
        <v>2</v>
      </c>
      <c r="F37" s="6">
        <f t="shared" si="0"/>
        <v>1</v>
      </c>
      <c r="G37" s="11">
        <v>4</v>
      </c>
      <c r="H37" s="9">
        <f t="shared" si="1"/>
        <v>4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Kanyildiz Muhammedmehdi</v>
      </c>
      <c r="E38" s="10" t="s">
        <v>2</v>
      </c>
      <c r="F38" s="6">
        <f t="shared" si="0"/>
        <v>1</v>
      </c>
      <c r="G38" s="11">
        <v>2</v>
      </c>
      <c r="H38" s="9">
        <f t="shared" si="1"/>
        <v>2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Kanyildiz Muhammedmehdi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Kanyildiz Muhammedmehdi</v>
      </c>
      <c r="E40" s="10" t="s">
        <v>2</v>
      </c>
      <c r="F40" s="6">
        <f t="shared" si="0"/>
        <v>1</v>
      </c>
      <c r="G40" s="11">
        <v>5</v>
      </c>
      <c r="H40" s="9">
        <f t="shared" si="1"/>
        <v>5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Kanyildiz Muhammedmehdi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Kanyildiz Muhammedmehdi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Kanyildiz Muhammedmehdi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Kanyildiz Muhammedmehdi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Kanyildiz Muhammedmehdi</v>
      </c>
      <c r="E45" s="10" t="s">
        <v>2</v>
      </c>
      <c r="F45" s="6">
        <f t="shared" si="0"/>
        <v>1</v>
      </c>
      <c r="G45" s="11">
        <v>4</v>
      </c>
      <c r="H45" s="9">
        <f t="shared" si="1"/>
        <v>4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Kanyildiz Muhammedmehdi</v>
      </c>
      <c r="E46" s="10" t="s">
        <v>2</v>
      </c>
      <c r="F46" s="6">
        <f t="shared" si="0"/>
        <v>1</v>
      </c>
      <c r="G46" s="11">
        <v>4</v>
      </c>
      <c r="H46" s="9">
        <f t="shared" si="1"/>
        <v>4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Kanyildiz Muhammedmehdi</v>
      </c>
      <c r="E47" s="10" t="s">
        <v>2</v>
      </c>
      <c r="F47" s="6">
        <f t="shared" si="0"/>
        <v>1</v>
      </c>
      <c r="G47" s="11">
        <v>3</v>
      </c>
      <c r="H47" s="9">
        <f t="shared" si="1"/>
        <v>3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Kanyildiz Muhammedmehdi</v>
      </c>
      <c r="E48" s="10" t="s">
        <v>2</v>
      </c>
      <c r="F48" s="6">
        <f t="shared" si="0"/>
        <v>1</v>
      </c>
      <c r="G48" s="11">
        <v>1</v>
      </c>
      <c r="H48" s="9">
        <f t="shared" si="1"/>
        <v>1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Kanyildiz Muhammedmehdi</v>
      </c>
      <c r="E49" s="10" t="s">
        <v>2</v>
      </c>
      <c r="F49" s="6">
        <f t="shared" si="0"/>
        <v>1</v>
      </c>
      <c r="G49" s="11">
        <v>1</v>
      </c>
      <c r="H49" s="9">
        <f t="shared" si="1"/>
        <v>1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Kanyildiz Muhammedmehdi</v>
      </c>
      <c r="E50" s="10" t="s">
        <v>2</v>
      </c>
      <c r="F50" s="6">
        <f t="shared" si="0"/>
        <v>1</v>
      </c>
      <c r="G50" s="11">
        <v>3</v>
      </c>
      <c r="H50" s="9">
        <f t="shared" si="1"/>
        <v>3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Kanyildiz Muhammedmehdi</v>
      </c>
      <c r="E51" s="10" t="s">
        <v>2</v>
      </c>
      <c r="F51" s="6">
        <f t="shared" si="0"/>
        <v>1</v>
      </c>
      <c r="G51" s="11">
        <v>2</v>
      </c>
      <c r="H51" s="9">
        <f t="shared" si="1"/>
        <v>2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Kanyildiz Muhammedmehdi</v>
      </c>
      <c r="E52" s="10" t="s">
        <v>3</v>
      </c>
      <c r="F52" s="6">
        <f t="shared" si="0"/>
        <v>0</v>
      </c>
      <c r="G52" s="11"/>
      <c r="H52" s="9">
        <f t="shared" si="1"/>
        <v>0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Kanyildiz Muhammedmehdi</v>
      </c>
      <c r="E53" s="10" t="s">
        <v>2</v>
      </c>
      <c r="F53" s="6">
        <f t="shared" si="0"/>
        <v>1</v>
      </c>
      <c r="G53" s="11">
        <v>5</v>
      </c>
      <c r="H53" s="9">
        <f t="shared" si="1"/>
        <v>5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Kanyildiz Muhammedmehdi</v>
      </c>
      <c r="E54" s="10" t="s">
        <v>2</v>
      </c>
      <c r="F54" s="6">
        <f t="shared" si="0"/>
        <v>1</v>
      </c>
      <c r="G54" s="11">
        <v>2</v>
      </c>
      <c r="H54" s="9">
        <f t="shared" si="1"/>
        <v>2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Kanyildiz Muhammedmehdi</v>
      </c>
      <c r="E55" s="10" t="s">
        <v>2</v>
      </c>
      <c r="F55" s="6">
        <f t="shared" si="0"/>
        <v>1</v>
      </c>
      <c r="G55" s="11">
        <v>2</v>
      </c>
      <c r="H55" s="9">
        <f t="shared" si="1"/>
        <v>2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Kanyildiz Muhammedmehdi</v>
      </c>
      <c r="E56" s="10" t="s">
        <v>2</v>
      </c>
      <c r="F56" s="6">
        <f t="shared" si="0"/>
        <v>1</v>
      </c>
      <c r="G56" s="11">
        <v>5</v>
      </c>
      <c r="H56" s="9">
        <f t="shared" si="1"/>
        <v>5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Kanyildiz Muhammedmehdi</v>
      </c>
      <c r="E57" s="10" t="s">
        <v>2</v>
      </c>
      <c r="F57" s="6">
        <f t="shared" si="0"/>
        <v>1</v>
      </c>
      <c r="G57" s="11">
        <v>3</v>
      </c>
      <c r="H57" s="9">
        <f t="shared" si="1"/>
        <v>3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Kanyildiz Muhammedmehdi</v>
      </c>
      <c r="E58" s="10" t="s">
        <v>2</v>
      </c>
      <c r="F58" s="6">
        <f t="shared" si="0"/>
        <v>1</v>
      </c>
      <c r="G58" s="11">
        <v>3</v>
      </c>
      <c r="H58" s="9">
        <f t="shared" si="1"/>
        <v>3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Kanyildiz Muhammedmehdi</v>
      </c>
      <c r="E59" s="10" t="s">
        <v>2</v>
      </c>
      <c r="F59" s="6">
        <f t="shared" si="0"/>
        <v>1</v>
      </c>
      <c r="G59" s="11">
        <v>4</v>
      </c>
      <c r="H59" s="9">
        <f t="shared" si="1"/>
        <v>4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D4814C28-FCF4-8B4F-A8C1-03582C833488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891AA967-3C71-9E4C-9509-6EF230D99E61}">
      <formula1>0</formula1>
      <formula2>5</formula2>
    </dataValidation>
    <dataValidation type="list" allowBlank="1" showInputMessage="1" showErrorMessage="1" promptTitle="Have you seen the film?" sqref="E3:E59" xr:uid="{9879AE9A-33FB-FD4C-ADC6-641B515A626C}">
      <formula1>$J$1:$J$2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D822-8CEE-7148-A6D3-B2C014244B06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76</v>
      </c>
      <c r="E3" s="10" t="s">
        <v>2</v>
      </c>
      <c r="F3" s="6">
        <f>IF(E3="Yes",1,0)</f>
        <v>1</v>
      </c>
      <c r="G3" s="11">
        <v>3</v>
      </c>
      <c r="H3" s="9">
        <f>F3*G3</f>
        <v>3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Carlos Rodriguez</v>
      </c>
      <c r="E4" s="10" t="s">
        <v>2</v>
      </c>
      <c r="F4" s="6">
        <f t="shared" ref="F4:F59" si="0">IF(E4="Yes",1,0)</f>
        <v>1</v>
      </c>
      <c r="G4" s="11">
        <v>4</v>
      </c>
      <c r="H4" s="9">
        <f t="shared" ref="H4:H59" si="1">F4*G4</f>
        <v>4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Carlos Rodriguez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Carlos Rodriguez</v>
      </c>
      <c r="E6" s="10" t="s">
        <v>2</v>
      </c>
      <c r="F6" s="6">
        <f t="shared" si="0"/>
        <v>1</v>
      </c>
      <c r="G6" s="11">
        <v>3</v>
      </c>
      <c r="H6" s="9">
        <f t="shared" si="1"/>
        <v>3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Carlos Rodriguez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Carlos Rodriguez</v>
      </c>
      <c r="E8" s="10" t="s">
        <v>2</v>
      </c>
      <c r="F8" s="6">
        <f t="shared" si="0"/>
        <v>1</v>
      </c>
      <c r="G8" s="11">
        <v>3</v>
      </c>
      <c r="H8" s="9">
        <f t="shared" si="1"/>
        <v>3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Carlos Rodriguez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Carlos Rodriguez</v>
      </c>
      <c r="E10" s="10" t="s">
        <v>2</v>
      </c>
      <c r="F10" s="6">
        <f t="shared" si="0"/>
        <v>1</v>
      </c>
      <c r="G10" s="11">
        <v>4</v>
      </c>
      <c r="H10" s="9">
        <f t="shared" si="1"/>
        <v>4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Carlos Rodriguez</v>
      </c>
      <c r="E11" s="10" t="s">
        <v>2</v>
      </c>
      <c r="F11" s="6">
        <f t="shared" si="0"/>
        <v>1</v>
      </c>
      <c r="G11" s="11">
        <v>5</v>
      </c>
      <c r="H11" s="9">
        <f t="shared" si="1"/>
        <v>5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Carlos Rodriguez</v>
      </c>
      <c r="E12" s="10" t="s">
        <v>2</v>
      </c>
      <c r="F12" s="6">
        <f t="shared" si="0"/>
        <v>1</v>
      </c>
      <c r="G12" s="11">
        <v>5</v>
      </c>
      <c r="H12" s="9">
        <f t="shared" si="1"/>
        <v>5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Carlos Rodriguez</v>
      </c>
      <c r="E13" s="10" t="s">
        <v>2</v>
      </c>
      <c r="F13" s="6">
        <f t="shared" si="0"/>
        <v>1</v>
      </c>
      <c r="G13" s="11">
        <v>5</v>
      </c>
      <c r="H13" s="9">
        <f t="shared" si="1"/>
        <v>5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Carlos Rodriguez</v>
      </c>
      <c r="E14" s="10" t="s">
        <v>2</v>
      </c>
      <c r="F14" s="6">
        <f t="shared" si="0"/>
        <v>1</v>
      </c>
      <c r="G14" s="11">
        <v>3</v>
      </c>
      <c r="H14" s="9">
        <f t="shared" si="1"/>
        <v>3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Carlos Rodriguez</v>
      </c>
      <c r="E15" s="10" t="s">
        <v>2</v>
      </c>
      <c r="F15" s="6">
        <f t="shared" si="0"/>
        <v>1</v>
      </c>
      <c r="G15" s="11">
        <v>3</v>
      </c>
      <c r="H15" s="9">
        <f t="shared" si="1"/>
        <v>3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Carlos Rodriguez</v>
      </c>
      <c r="E16" s="10" t="s">
        <v>2</v>
      </c>
      <c r="F16" s="6">
        <f t="shared" si="0"/>
        <v>1</v>
      </c>
      <c r="G16" s="11">
        <v>1</v>
      </c>
      <c r="H16" s="9">
        <f t="shared" si="1"/>
        <v>1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Carlos Rodriguez</v>
      </c>
      <c r="E17" s="10" t="s">
        <v>2</v>
      </c>
      <c r="F17" s="6">
        <f t="shared" si="0"/>
        <v>1</v>
      </c>
      <c r="G17" s="11">
        <v>4</v>
      </c>
      <c r="H17" s="9">
        <f t="shared" si="1"/>
        <v>4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Carlos Rodriguez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Carlos Rodriguez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Carlos Rodriguez</v>
      </c>
      <c r="E20" s="10" t="s">
        <v>2</v>
      </c>
      <c r="F20" s="6">
        <f t="shared" si="0"/>
        <v>1</v>
      </c>
      <c r="G20" s="11">
        <v>3</v>
      </c>
      <c r="H20" s="9">
        <f t="shared" si="1"/>
        <v>3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Carlos Rodriguez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Carlos Rodriguez</v>
      </c>
      <c r="E22" s="10" t="s">
        <v>2</v>
      </c>
      <c r="F22" s="6">
        <f t="shared" si="0"/>
        <v>1</v>
      </c>
      <c r="G22" s="11">
        <v>4</v>
      </c>
      <c r="H22" s="9">
        <f t="shared" si="1"/>
        <v>4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Carlos Rodriguez</v>
      </c>
      <c r="E23" s="10" t="s">
        <v>2</v>
      </c>
      <c r="F23" s="6">
        <f t="shared" si="0"/>
        <v>1</v>
      </c>
      <c r="G23" s="11">
        <v>3</v>
      </c>
      <c r="H23" s="9">
        <f t="shared" si="1"/>
        <v>3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Carlos Rodriguez</v>
      </c>
      <c r="E24" s="10" t="s">
        <v>2</v>
      </c>
      <c r="F24" s="6">
        <f t="shared" si="0"/>
        <v>1</v>
      </c>
      <c r="G24" s="11">
        <v>2</v>
      </c>
      <c r="H24" s="9">
        <f t="shared" si="1"/>
        <v>2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Carlos Rodriguez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Carlos Rodriguez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Carlos Rodriguez</v>
      </c>
      <c r="E27" s="10" t="s">
        <v>2</v>
      </c>
      <c r="F27" s="6">
        <f t="shared" si="0"/>
        <v>1</v>
      </c>
      <c r="G27" s="11">
        <v>2</v>
      </c>
      <c r="H27" s="9">
        <f t="shared" si="1"/>
        <v>2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Carlos Rodriguez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Carlos Rodriguez</v>
      </c>
      <c r="E29" s="10" t="s">
        <v>2</v>
      </c>
      <c r="F29" s="6">
        <f t="shared" si="0"/>
        <v>1</v>
      </c>
      <c r="G29" s="11">
        <v>3</v>
      </c>
      <c r="H29" s="9">
        <f t="shared" si="1"/>
        <v>3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Carlos Rodriguez</v>
      </c>
      <c r="E30" s="10" t="s">
        <v>2</v>
      </c>
      <c r="F30" s="6">
        <f t="shared" si="0"/>
        <v>1</v>
      </c>
      <c r="G30" s="11">
        <v>1</v>
      </c>
      <c r="H30" s="9">
        <f t="shared" si="1"/>
        <v>1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Carlos Rodriguez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Carlos Rodriguez</v>
      </c>
      <c r="E32" s="10" t="s">
        <v>2</v>
      </c>
      <c r="F32" s="6">
        <f t="shared" si="0"/>
        <v>1</v>
      </c>
      <c r="G32" s="11">
        <v>2</v>
      </c>
      <c r="H32" s="9">
        <f t="shared" si="1"/>
        <v>2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Carlos Rodriguez</v>
      </c>
      <c r="E33" s="10" t="s">
        <v>2</v>
      </c>
      <c r="F33" s="6">
        <f t="shared" si="0"/>
        <v>1</v>
      </c>
      <c r="G33" s="11">
        <v>5</v>
      </c>
      <c r="H33" s="9">
        <f t="shared" si="1"/>
        <v>5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Carlos Rodriguez</v>
      </c>
      <c r="E34" s="10" t="s">
        <v>2</v>
      </c>
      <c r="F34" s="6">
        <f t="shared" si="0"/>
        <v>1</v>
      </c>
      <c r="G34" s="11">
        <v>5</v>
      </c>
      <c r="H34" s="9">
        <f t="shared" si="1"/>
        <v>5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Carlos Rodriguez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Carlos Rodriguez</v>
      </c>
      <c r="E36" s="10" t="s">
        <v>2</v>
      </c>
      <c r="F36" s="6">
        <f t="shared" si="0"/>
        <v>1</v>
      </c>
      <c r="G36" s="11">
        <v>5</v>
      </c>
      <c r="H36" s="9">
        <f t="shared" si="1"/>
        <v>5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Carlos Rodriguez</v>
      </c>
      <c r="E37" s="10" t="s">
        <v>2</v>
      </c>
      <c r="F37" s="6">
        <f t="shared" si="0"/>
        <v>1</v>
      </c>
      <c r="G37" s="11">
        <v>3</v>
      </c>
      <c r="H37" s="9">
        <f t="shared" si="1"/>
        <v>3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Carlos Rodriguez</v>
      </c>
      <c r="E38" s="10" t="s">
        <v>2</v>
      </c>
      <c r="F38" s="6">
        <f t="shared" si="0"/>
        <v>1</v>
      </c>
      <c r="G38" s="11">
        <v>3</v>
      </c>
      <c r="H38" s="9">
        <f t="shared" si="1"/>
        <v>3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Carlos Rodriguez</v>
      </c>
      <c r="E39" s="10" t="s">
        <v>2</v>
      </c>
      <c r="F39" s="6">
        <f t="shared" si="0"/>
        <v>1</v>
      </c>
      <c r="G39" s="11">
        <v>4</v>
      </c>
      <c r="H39" s="9">
        <f t="shared" si="1"/>
        <v>4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Carlos Rodriguez</v>
      </c>
      <c r="E40" s="10" t="s">
        <v>2</v>
      </c>
      <c r="F40" s="6">
        <f t="shared" si="0"/>
        <v>1</v>
      </c>
      <c r="G40" s="11">
        <v>5</v>
      </c>
      <c r="H40" s="9">
        <f t="shared" si="1"/>
        <v>5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Carlos Rodriguez</v>
      </c>
      <c r="E41" s="10" t="s">
        <v>2</v>
      </c>
      <c r="F41" s="6">
        <f t="shared" si="0"/>
        <v>1</v>
      </c>
      <c r="G41" s="11">
        <v>5</v>
      </c>
      <c r="H41" s="9">
        <f t="shared" si="1"/>
        <v>5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Carlos Rodriguez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Carlos Rodriguez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Carlos Rodriguez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Carlos Rodriguez</v>
      </c>
      <c r="E45" s="10" t="s">
        <v>2</v>
      </c>
      <c r="F45" s="6">
        <f t="shared" si="0"/>
        <v>1</v>
      </c>
      <c r="G45" s="11">
        <v>5</v>
      </c>
      <c r="H45" s="9">
        <f t="shared" si="1"/>
        <v>5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Carlos Rodriguez</v>
      </c>
      <c r="E46" s="10" t="s">
        <v>2</v>
      </c>
      <c r="F46" s="6">
        <f t="shared" si="0"/>
        <v>1</v>
      </c>
      <c r="G46" s="11">
        <v>5</v>
      </c>
      <c r="H46" s="9">
        <f t="shared" si="1"/>
        <v>5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Carlos Rodriguez</v>
      </c>
      <c r="E47" s="10" t="s">
        <v>2</v>
      </c>
      <c r="F47" s="6">
        <f t="shared" si="0"/>
        <v>1</v>
      </c>
      <c r="G47" s="11">
        <v>2</v>
      </c>
      <c r="H47" s="9">
        <f t="shared" si="1"/>
        <v>2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Carlos Rodriguez</v>
      </c>
      <c r="E48" s="10" t="s">
        <v>2</v>
      </c>
      <c r="F48" s="6">
        <f t="shared" si="0"/>
        <v>1</v>
      </c>
      <c r="G48" s="11">
        <v>4</v>
      </c>
      <c r="H48" s="9">
        <f t="shared" si="1"/>
        <v>4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Carlos Rodriguez</v>
      </c>
      <c r="E49" s="10" t="s">
        <v>2</v>
      </c>
      <c r="F49" s="6">
        <f t="shared" si="0"/>
        <v>1</v>
      </c>
      <c r="G49" s="11">
        <v>4</v>
      </c>
      <c r="H49" s="9">
        <f t="shared" si="1"/>
        <v>4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Carlos Rodriguez</v>
      </c>
      <c r="E50" s="10" t="s">
        <v>2</v>
      </c>
      <c r="F50" s="6">
        <f t="shared" si="0"/>
        <v>1</v>
      </c>
      <c r="G50" s="11">
        <v>5</v>
      </c>
      <c r="H50" s="9">
        <f t="shared" si="1"/>
        <v>5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Carlos Rodriguez</v>
      </c>
      <c r="E51" s="10" t="s">
        <v>2</v>
      </c>
      <c r="F51" s="6">
        <f t="shared" si="0"/>
        <v>1</v>
      </c>
      <c r="G51" s="11">
        <v>1</v>
      </c>
      <c r="H51" s="9">
        <f t="shared" si="1"/>
        <v>1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Carlos Rodriguez</v>
      </c>
      <c r="E52" s="10" t="s">
        <v>2</v>
      </c>
      <c r="F52" s="6">
        <f t="shared" si="0"/>
        <v>1</v>
      </c>
      <c r="G52" s="11">
        <v>3</v>
      </c>
      <c r="H52" s="9">
        <f t="shared" si="1"/>
        <v>3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Carlos Rodriguez</v>
      </c>
      <c r="E53" s="10" t="s">
        <v>2</v>
      </c>
      <c r="F53" s="6">
        <f t="shared" si="0"/>
        <v>1</v>
      </c>
      <c r="G53" s="11">
        <v>4</v>
      </c>
      <c r="H53" s="9">
        <f t="shared" si="1"/>
        <v>4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Carlos Rodriguez</v>
      </c>
      <c r="E54" s="10" t="s">
        <v>2</v>
      </c>
      <c r="F54" s="6">
        <f t="shared" si="0"/>
        <v>1</v>
      </c>
      <c r="G54" s="11">
        <v>1</v>
      </c>
      <c r="H54" s="9">
        <f t="shared" si="1"/>
        <v>1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Carlos Rodriguez</v>
      </c>
      <c r="E55" s="10" t="s">
        <v>2</v>
      </c>
      <c r="F55" s="6">
        <f t="shared" si="0"/>
        <v>1</v>
      </c>
      <c r="G55" s="11">
        <v>5</v>
      </c>
      <c r="H55" s="9">
        <f t="shared" si="1"/>
        <v>5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Carlos Rodriguez</v>
      </c>
      <c r="E56" s="10" t="s">
        <v>3</v>
      </c>
      <c r="F56" s="6">
        <f t="shared" si="0"/>
        <v>0</v>
      </c>
      <c r="G56" s="11"/>
      <c r="H56" s="9">
        <f t="shared" si="1"/>
        <v>0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Carlos Rodriguez</v>
      </c>
      <c r="E57" s="10" t="s">
        <v>2</v>
      </c>
      <c r="F57" s="6">
        <f t="shared" si="0"/>
        <v>1</v>
      </c>
      <c r="G57" s="11">
        <v>5</v>
      </c>
      <c r="H57" s="9">
        <f t="shared" si="1"/>
        <v>5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Carlos Rodriguez</v>
      </c>
      <c r="E58" s="10" t="s">
        <v>2</v>
      </c>
      <c r="F58" s="6">
        <f t="shared" si="0"/>
        <v>1</v>
      </c>
      <c r="G58" s="11">
        <v>5</v>
      </c>
      <c r="H58" s="9">
        <f t="shared" si="1"/>
        <v>5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Carlos Rodriguez</v>
      </c>
      <c r="E59" s="10" t="s">
        <v>2</v>
      </c>
      <c r="F59" s="6">
        <f t="shared" si="0"/>
        <v>1</v>
      </c>
      <c r="G59" s="11">
        <v>5</v>
      </c>
      <c r="H59" s="9">
        <f t="shared" si="1"/>
        <v>5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F8774469-4D3A-364F-8265-A6D30B280DE4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6F776B5C-7394-F947-8299-2ACB554ED0BD}">
      <formula1>0</formula1>
      <formula2>5</formula2>
    </dataValidation>
    <dataValidation type="list" allowBlank="1" showInputMessage="1" showErrorMessage="1" promptTitle="Have you seen the film?" sqref="E3:E59" xr:uid="{E859D6ED-DF07-2E4D-95FC-A08C6A5C27F5}">
      <formula1>$J$1:$J$2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E4CB-51C8-A643-BF83-EDB2EE644DD7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77</v>
      </c>
      <c r="E3" s="10" t="s">
        <v>3</v>
      </c>
      <c r="F3" s="6">
        <f>IF(E3="Yes",1,0)</f>
        <v>0</v>
      </c>
      <c r="G3" s="11"/>
      <c r="H3" s="9">
        <f>F3*G3</f>
        <v>0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Manuel Plech</v>
      </c>
      <c r="E4" s="10" t="s">
        <v>3</v>
      </c>
      <c r="F4" s="6">
        <f t="shared" ref="F4:F59" si="0">IF(E4="Yes",1,0)</f>
        <v>0</v>
      </c>
      <c r="G4" s="11"/>
      <c r="H4" s="9">
        <f t="shared" ref="H4:H59" si="1">F4*G4</f>
        <v>0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Manuel Plech</v>
      </c>
      <c r="E5" s="10" t="s">
        <v>2</v>
      </c>
      <c r="F5" s="6">
        <f t="shared" si="0"/>
        <v>1</v>
      </c>
      <c r="G5" s="11">
        <v>4</v>
      </c>
      <c r="H5" s="9">
        <f t="shared" si="1"/>
        <v>4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Manuel Plech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Manuel Plech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Manuel Plech</v>
      </c>
      <c r="E8" s="10" t="s">
        <v>3</v>
      </c>
      <c r="F8" s="6">
        <f t="shared" si="0"/>
        <v>0</v>
      </c>
      <c r="G8" s="11"/>
      <c r="H8" s="9">
        <f t="shared" si="1"/>
        <v>0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Manuel Plech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Manuel Plech</v>
      </c>
      <c r="E10" s="10" t="s">
        <v>3</v>
      </c>
      <c r="F10" s="6">
        <f t="shared" si="0"/>
        <v>0</v>
      </c>
      <c r="G10" s="11"/>
      <c r="H10" s="9">
        <f t="shared" si="1"/>
        <v>0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Manuel Plech</v>
      </c>
      <c r="E11" s="10" t="s">
        <v>2</v>
      </c>
      <c r="F11" s="6">
        <f t="shared" si="0"/>
        <v>1</v>
      </c>
      <c r="G11" s="11">
        <v>3</v>
      </c>
      <c r="H11" s="9">
        <f t="shared" si="1"/>
        <v>3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Manuel Plech</v>
      </c>
      <c r="E12" s="10" t="s">
        <v>2</v>
      </c>
      <c r="F12" s="6">
        <f t="shared" si="0"/>
        <v>1</v>
      </c>
      <c r="G12" s="11">
        <v>5</v>
      </c>
      <c r="H12" s="9">
        <f t="shared" si="1"/>
        <v>5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Manuel Plech</v>
      </c>
      <c r="E13" s="10" t="s">
        <v>2</v>
      </c>
      <c r="F13" s="6">
        <f t="shared" si="0"/>
        <v>1</v>
      </c>
      <c r="G13" s="11">
        <v>3</v>
      </c>
      <c r="H13" s="9">
        <f t="shared" si="1"/>
        <v>3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Manuel Plech</v>
      </c>
      <c r="E14" s="10" t="s">
        <v>2</v>
      </c>
      <c r="F14" s="6">
        <f t="shared" si="0"/>
        <v>1</v>
      </c>
      <c r="G14" s="11">
        <v>2</v>
      </c>
      <c r="H14" s="9">
        <f t="shared" si="1"/>
        <v>2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Manuel Plech</v>
      </c>
      <c r="E15" s="10" t="s">
        <v>2</v>
      </c>
      <c r="F15" s="6">
        <f t="shared" si="0"/>
        <v>1</v>
      </c>
      <c r="G15" s="11">
        <v>3</v>
      </c>
      <c r="H15" s="9">
        <f t="shared" si="1"/>
        <v>3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Manuel Plech</v>
      </c>
      <c r="E16" s="10" t="s">
        <v>2</v>
      </c>
      <c r="F16" s="6">
        <f t="shared" si="0"/>
        <v>1</v>
      </c>
      <c r="G16" s="11">
        <v>5</v>
      </c>
      <c r="H16" s="9">
        <f t="shared" si="1"/>
        <v>5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Manuel Plech</v>
      </c>
      <c r="E17" s="10" t="s">
        <v>2</v>
      </c>
      <c r="F17" s="6">
        <f t="shared" si="0"/>
        <v>1</v>
      </c>
      <c r="G17" s="11">
        <v>4</v>
      </c>
      <c r="H17" s="9">
        <f t="shared" si="1"/>
        <v>4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Manuel Plech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Manuel Plech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Manuel Plech</v>
      </c>
      <c r="E20" s="10" t="s">
        <v>2</v>
      </c>
      <c r="F20" s="6">
        <f t="shared" si="0"/>
        <v>1</v>
      </c>
      <c r="G20" s="11">
        <v>4</v>
      </c>
      <c r="H20" s="9">
        <f t="shared" si="1"/>
        <v>4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Manuel Plech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Manuel Plech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Manuel Plech</v>
      </c>
      <c r="E23" s="10" t="s">
        <v>2</v>
      </c>
      <c r="F23" s="6">
        <f t="shared" si="0"/>
        <v>1</v>
      </c>
      <c r="G23" s="11">
        <v>4</v>
      </c>
      <c r="H23" s="9">
        <f t="shared" si="1"/>
        <v>4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Manuel Plech</v>
      </c>
      <c r="E24" s="10" t="s">
        <v>2</v>
      </c>
      <c r="F24" s="6">
        <f t="shared" si="0"/>
        <v>1</v>
      </c>
      <c r="G24" s="11">
        <v>4</v>
      </c>
      <c r="H24" s="9">
        <f t="shared" si="1"/>
        <v>4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Manuel Plech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Manuel Plech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Manuel Plech</v>
      </c>
      <c r="E27" s="10" t="s">
        <v>2</v>
      </c>
      <c r="F27" s="6">
        <f t="shared" si="0"/>
        <v>1</v>
      </c>
      <c r="G27" s="11">
        <v>3</v>
      </c>
      <c r="H27" s="9">
        <f t="shared" si="1"/>
        <v>3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Manuel Plech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Manuel Plech</v>
      </c>
      <c r="E29" s="10" t="s">
        <v>2</v>
      </c>
      <c r="F29" s="6">
        <f t="shared" si="0"/>
        <v>1</v>
      </c>
      <c r="G29" s="11">
        <v>5</v>
      </c>
      <c r="H29" s="9">
        <f t="shared" si="1"/>
        <v>5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Manuel Plech</v>
      </c>
      <c r="E30" s="10" t="s">
        <v>2</v>
      </c>
      <c r="F30" s="6">
        <f t="shared" si="0"/>
        <v>1</v>
      </c>
      <c r="G30" s="11">
        <v>5</v>
      </c>
      <c r="H30" s="9">
        <f t="shared" si="1"/>
        <v>5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Manuel Plech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Manuel Plech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Manuel Plech</v>
      </c>
      <c r="E33" s="10" t="s">
        <v>2</v>
      </c>
      <c r="F33" s="6">
        <f t="shared" si="0"/>
        <v>1</v>
      </c>
      <c r="G33" s="11">
        <v>4</v>
      </c>
      <c r="H33" s="9">
        <f t="shared" si="1"/>
        <v>4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Manuel Plech</v>
      </c>
      <c r="E34" s="10" t="s">
        <v>2</v>
      </c>
      <c r="F34" s="6">
        <f t="shared" si="0"/>
        <v>1</v>
      </c>
      <c r="G34" s="11">
        <v>5</v>
      </c>
      <c r="H34" s="9">
        <f t="shared" si="1"/>
        <v>5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Manuel Plech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Manuel Plech</v>
      </c>
      <c r="E36" s="10" t="s">
        <v>2</v>
      </c>
      <c r="F36" s="6">
        <f t="shared" si="0"/>
        <v>1</v>
      </c>
      <c r="G36" s="11">
        <v>4</v>
      </c>
      <c r="H36" s="9">
        <f t="shared" si="1"/>
        <v>4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Manuel Plech</v>
      </c>
      <c r="E37" s="10" t="s">
        <v>2</v>
      </c>
      <c r="F37" s="6">
        <f t="shared" si="0"/>
        <v>1</v>
      </c>
      <c r="G37" s="11">
        <v>5</v>
      </c>
      <c r="H37" s="9">
        <f t="shared" si="1"/>
        <v>5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Manuel Plech</v>
      </c>
      <c r="E38" s="10" t="s">
        <v>2</v>
      </c>
      <c r="F38" s="6">
        <f t="shared" si="0"/>
        <v>1</v>
      </c>
      <c r="G38" s="11">
        <v>4</v>
      </c>
      <c r="H38" s="9">
        <f t="shared" si="1"/>
        <v>4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Manuel Plech</v>
      </c>
      <c r="E39" s="10" t="s">
        <v>2</v>
      </c>
      <c r="F39" s="6">
        <f t="shared" si="0"/>
        <v>1</v>
      </c>
      <c r="G39" s="11">
        <v>2</v>
      </c>
      <c r="H39" s="9">
        <f t="shared" si="1"/>
        <v>2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Manuel Plech</v>
      </c>
      <c r="E40" s="10" t="s">
        <v>2</v>
      </c>
      <c r="F40" s="6">
        <f t="shared" si="0"/>
        <v>1</v>
      </c>
      <c r="G40" s="11">
        <v>5</v>
      </c>
      <c r="H40" s="9">
        <f t="shared" si="1"/>
        <v>5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Manuel Plech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Manuel Plech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Manuel Plech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Manuel Plech</v>
      </c>
      <c r="E44" s="10" t="s">
        <v>2</v>
      </c>
      <c r="F44" s="6">
        <f t="shared" si="0"/>
        <v>1</v>
      </c>
      <c r="G44" s="11">
        <v>1</v>
      </c>
      <c r="H44" s="9">
        <f t="shared" si="1"/>
        <v>1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Manuel Plech</v>
      </c>
      <c r="E45" s="10" t="s">
        <v>2</v>
      </c>
      <c r="F45" s="6">
        <f t="shared" si="0"/>
        <v>1</v>
      </c>
      <c r="G45" s="11">
        <v>1</v>
      </c>
      <c r="H45" s="9">
        <f t="shared" si="1"/>
        <v>1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Manuel Plech</v>
      </c>
      <c r="E46" s="10" t="s">
        <v>2</v>
      </c>
      <c r="F46" s="6">
        <f t="shared" si="0"/>
        <v>1</v>
      </c>
      <c r="G46" s="11">
        <v>4</v>
      </c>
      <c r="H46" s="9">
        <f t="shared" si="1"/>
        <v>4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Manuel Plech</v>
      </c>
      <c r="E47" s="10" t="s">
        <v>2</v>
      </c>
      <c r="F47" s="6">
        <f t="shared" si="0"/>
        <v>1</v>
      </c>
      <c r="G47" s="11">
        <v>3</v>
      </c>
      <c r="H47" s="9">
        <f t="shared" si="1"/>
        <v>3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Manuel Plech</v>
      </c>
      <c r="E48" s="10" t="s">
        <v>2</v>
      </c>
      <c r="F48" s="6">
        <f t="shared" si="0"/>
        <v>1</v>
      </c>
      <c r="G48" s="11">
        <v>4</v>
      </c>
      <c r="H48" s="9">
        <f t="shared" si="1"/>
        <v>4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Manuel Plech</v>
      </c>
      <c r="E49" s="10" t="s">
        <v>2</v>
      </c>
      <c r="F49" s="6">
        <f t="shared" si="0"/>
        <v>1</v>
      </c>
      <c r="G49" s="11">
        <v>5</v>
      </c>
      <c r="H49" s="9">
        <f t="shared" si="1"/>
        <v>5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Manuel Plech</v>
      </c>
      <c r="E50" s="10" t="s">
        <v>2</v>
      </c>
      <c r="F50" s="6">
        <f t="shared" si="0"/>
        <v>1</v>
      </c>
      <c r="G50" s="11">
        <v>5</v>
      </c>
      <c r="H50" s="9">
        <f t="shared" si="1"/>
        <v>5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Manuel Plech</v>
      </c>
      <c r="E51" s="10" t="s">
        <v>2</v>
      </c>
      <c r="F51" s="6">
        <f t="shared" si="0"/>
        <v>1</v>
      </c>
      <c r="G51" s="11">
        <v>5</v>
      </c>
      <c r="H51" s="9">
        <f t="shared" si="1"/>
        <v>5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Manuel Plech</v>
      </c>
      <c r="E52" s="10" t="s">
        <v>2</v>
      </c>
      <c r="F52" s="6">
        <f t="shared" si="0"/>
        <v>1</v>
      </c>
      <c r="G52" s="11">
        <v>5</v>
      </c>
      <c r="H52" s="9">
        <f t="shared" si="1"/>
        <v>5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Manuel Plech</v>
      </c>
      <c r="E53" s="10" t="s">
        <v>2</v>
      </c>
      <c r="F53" s="6">
        <f t="shared" si="0"/>
        <v>1</v>
      </c>
      <c r="G53" s="11">
        <v>4</v>
      </c>
      <c r="H53" s="9">
        <f t="shared" si="1"/>
        <v>4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Manuel Plech</v>
      </c>
      <c r="E54" s="10" t="s">
        <v>2</v>
      </c>
      <c r="F54" s="6">
        <f t="shared" si="0"/>
        <v>1</v>
      </c>
      <c r="G54" s="11">
        <v>4</v>
      </c>
      <c r="H54" s="9">
        <f t="shared" si="1"/>
        <v>4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Manuel Plech</v>
      </c>
      <c r="E55" s="10" t="s">
        <v>2</v>
      </c>
      <c r="F55" s="6">
        <f t="shared" si="0"/>
        <v>1</v>
      </c>
      <c r="G55" s="11">
        <v>5</v>
      </c>
      <c r="H55" s="9">
        <f t="shared" si="1"/>
        <v>5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Manuel Plech</v>
      </c>
      <c r="E56" s="10" t="s">
        <v>2</v>
      </c>
      <c r="F56" s="6">
        <f t="shared" si="0"/>
        <v>1</v>
      </c>
      <c r="G56" s="11">
        <v>4</v>
      </c>
      <c r="H56" s="9">
        <f t="shared" si="1"/>
        <v>4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Manuel Plech</v>
      </c>
      <c r="E57" s="10" t="s">
        <v>2</v>
      </c>
      <c r="F57" s="6">
        <f t="shared" si="0"/>
        <v>1</v>
      </c>
      <c r="G57" s="11">
        <v>5</v>
      </c>
      <c r="H57" s="9">
        <f t="shared" si="1"/>
        <v>5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Manuel Plech</v>
      </c>
      <c r="E58" s="10" t="s">
        <v>2</v>
      </c>
      <c r="F58" s="6">
        <f t="shared" si="0"/>
        <v>1</v>
      </c>
      <c r="G58" s="11">
        <v>2</v>
      </c>
      <c r="H58" s="9">
        <f t="shared" si="1"/>
        <v>2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Manuel Plech</v>
      </c>
      <c r="E59" s="10" t="s">
        <v>2</v>
      </c>
      <c r="F59" s="6">
        <f t="shared" si="0"/>
        <v>1</v>
      </c>
      <c r="G59" s="11">
        <v>3</v>
      </c>
      <c r="H59" s="9">
        <f t="shared" si="1"/>
        <v>3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590869BB-73CB-494F-84A0-BA229FDB0E5E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6C9719D7-3515-DE4B-BB9B-405472DF3D42}">
      <formula1>0</formula1>
      <formula2>5</formula2>
    </dataValidation>
    <dataValidation type="list" allowBlank="1" showInputMessage="1" showErrorMessage="1" promptTitle="Have you seen the film?" sqref="E3:E59" xr:uid="{79264294-33E5-4A42-97C4-7D0ECABC5294}">
      <formula1>$J$1:$J$2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0E6F-272F-8A44-BAFC-521E353E744D}">
  <dimension ref="A1:J59"/>
  <sheetViews>
    <sheetView workbookViewId="0">
      <selection activeCell="A3" sqref="A3:H59"/>
    </sheetView>
  </sheetViews>
  <sheetFormatPr baseColWidth="10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6.33203125" style="6" bestFit="1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78</v>
      </c>
      <c r="E3" s="10" t="s">
        <v>3</v>
      </c>
      <c r="F3" s="6">
        <f>IF(E3="Yes",1,0)</f>
        <v>0</v>
      </c>
      <c r="G3" s="11"/>
      <c r="H3" s="9">
        <f>F3*G3</f>
        <v>0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Matthias Rosskopf</v>
      </c>
      <c r="E4" s="10" t="s">
        <v>3</v>
      </c>
      <c r="F4" s="6">
        <f t="shared" ref="F4:F59" si="0">IF(E4="Yes",1,0)</f>
        <v>0</v>
      </c>
      <c r="G4" s="11"/>
      <c r="H4" s="9">
        <f t="shared" ref="H4:H59" si="1">F4*G4</f>
        <v>0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Matthias Rosskopf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Matthias Rosskopf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Matthias Rosskopf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Matthias Rosskopf</v>
      </c>
      <c r="E8" s="10" t="s">
        <v>3</v>
      </c>
      <c r="F8" s="6">
        <f t="shared" si="0"/>
        <v>0</v>
      </c>
      <c r="G8" s="11"/>
      <c r="H8" s="9">
        <f t="shared" si="1"/>
        <v>0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Matthias Rosskopf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Matthias Rosskopf</v>
      </c>
      <c r="E10" s="10" t="s">
        <v>3</v>
      </c>
      <c r="F10" s="6">
        <f t="shared" si="0"/>
        <v>0</v>
      </c>
      <c r="G10" s="11"/>
      <c r="H10" s="9">
        <f t="shared" si="1"/>
        <v>0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Matthias Rosskopf</v>
      </c>
      <c r="E11" s="10" t="s">
        <v>2</v>
      </c>
      <c r="F11" s="6">
        <f t="shared" si="0"/>
        <v>1</v>
      </c>
      <c r="G11" s="11">
        <v>3</v>
      </c>
      <c r="H11" s="9">
        <f t="shared" si="1"/>
        <v>3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Matthias Rosskopf</v>
      </c>
      <c r="E12" s="10" t="s">
        <v>2</v>
      </c>
      <c r="F12" s="6">
        <f t="shared" si="0"/>
        <v>1</v>
      </c>
      <c r="G12" s="11">
        <v>5</v>
      </c>
      <c r="H12" s="9">
        <f t="shared" si="1"/>
        <v>5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Matthias Rosskopf</v>
      </c>
      <c r="E13" s="10" t="s">
        <v>2</v>
      </c>
      <c r="F13" s="6">
        <f t="shared" si="0"/>
        <v>1</v>
      </c>
      <c r="G13" s="11">
        <v>3</v>
      </c>
      <c r="H13" s="9">
        <f t="shared" si="1"/>
        <v>3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Matthias Rosskopf</v>
      </c>
      <c r="E14" s="10" t="s">
        <v>2</v>
      </c>
      <c r="F14" s="6">
        <f t="shared" si="0"/>
        <v>1</v>
      </c>
      <c r="G14" s="11">
        <v>3</v>
      </c>
      <c r="H14" s="9">
        <f t="shared" si="1"/>
        <v>3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Matthias Rosskopf</v>
      </c>
      <c r="E15" s="10" t="s">
        <v>2</v>
      </c>
      <c r="F15" s="6">
        <f t="shared" si="0"/>
        <v>1</v>
      </c>
      <c r="G15" s="11">
        <v>3</v>
      </c>
      <c r="H15" s="9">
        <f t="shared" si="1"/>
        <v>3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Matthias Rosskopf</v>
      </c>
      <c r="E16" s="10" t="s">
        <v>2</v>
      </c>
      <c r="F16" s="6">
        <f t="shared" si="0"/>
        <v>1</v>
      </c>
      <c r="G16" s="11">
        <v>5</v>
      </c>
      <c r="H16" s="9">
        <f t="shared" si="1"/>
        <v>5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Matthias Rosskopf</v>
      </c>
      <c r="E17" s="10" t="s">
        <v>2</v>
      </c>
      <c r="F17" s="6">
        <f t="shared" si="0"/>
        <v>1</v>
      </c>
      <c r="G17" s="11">
        <v>5</v>
      </c>
      <c r="H17" s="9">
        <f t="shared" si="1"/>
        <v>5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Matthias Rosskopf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Matthias Rosskopf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Matthias Rosskopf</v>
      </c>
      <c r="E20" s="10" t="s">
        <v>2</v>
      </c>
      <c r="F20" s="6">
        <f t="shared" si="0"/>
        <v>1</v>
      </c>
      <c r="G20" s="11">
        <v>3</v>
      </c>
      <c r="H20" s="9">
        <f t="shared" si="1"/>
        <v>3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Matthias Rosskopf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Matthias Rosskopf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Matthias Rosskopf</v>
      </c>
      <c r="E23" s="10" t="s">
        <v>3</v>
      </c>
      <c r="F23" s="6">
        <f t="shared" si="0"/>
        <v>0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Matthias Rosskopf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Matthias Rosskopf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Matthias Rosskopf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Matthias Rosskopf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Matthias Rosskopf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Matthias Rosskopf</v>
      </c>
      <c r="E29" s="10" t="s">
        <v>3</v>
      </c>
      <c r="F29" s="6">
        <f t="shared" si="0"/>
        <v>0</v>
      </c>
      <c r="G29" s="11"/>
      <c r="H29" s="9">
        <f t="shared" si="1"/>
        <v>0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Matthias Rosskopf</v>
      </c>
      <c r="E30" s="10" t="s">
        <v>2</v>
      </c>
      <c r="F30" s="6">
        <f t="shared" si="0"/>
        <v>1</v>
      </c>
      <c r="G30" s="11">
        <v>5</v>
      </c>
      <c r="H30" s="9">
        <f t="shared" si="1"/>
        <v>5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Matthias Rosskopf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Matthias Rosskopf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Matthias Rosskopf</v>
      </c>
      <c r="E33" s="10" t="s">
        <v>2</v>
      </c>
      <c r="F33" s="6">
        <f t="shared" si="0"/>
        <v>1</v>
      </c>
      <c r="G33" s="11">
        <v>5</v>
      </c>
      <c r="H33" s="9">
        <f t="shared" si="1"/>
        <v>5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Matthias Rosskopf</v>
      </c>
      <c r="E34" s="10" t="s">
        <v>2</v>
      </c>
      <c r="F34" s="6">
        <f t="shared" si="0"/>
        <v>1</v>
      </c>
      <c r="G34" s="11">
        <v>5</v>
      </c>
      <c r="H34" s="9">
        <f t="shared" si="1"/>
        <v>5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Matthias Rosskopf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Matthias Rosskopf</v>
      </c>
      <c r="E36" s="10" t="s">
        <v>2</v>
      </c>
      <c r="F36" s="6">
        <f t="shared" si="0"/>
        <v>1</v>
      </c>
      <c r="G36" s="11">
        <v>3</v>
      </c>
      <c r="H36" s="9">
        <f t="shared" si="1"/>
        <v>3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Matthias Rosskopf</v>
      </c>
      <c r="E37" s="10" t="s">
        <v>2</v>
      </c>
      <c r="F37" s="6">
        <f t="shared" si="0"/>
        <v>1</v>
      </c>
      <c r="G37" s="11">
        <v>3</v>
      </c>
      <c r="H37" s="9">
        <f t="shared" si="1"/>
        <v>3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Matthias Rosskopf</v>
      </c>
      <c r="E38" s="10" t="s">
        <v>2</v>
      </c>
      <c r="F38" s="6">
        <f t="shared" si="0"/>
        <v>1</v>
      </c>
      <c r="G38" s="11">
        <v>3</v>
      </c>
      <c r="H38" s="9">
        <f t="shared" si="1"/>
        <v>3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Matthias Rosskopf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Matthias Rosskopf</v>
      </c>
      <c r="E40" s="10" t="s">
        <v>2</v>
      </c>
      <c r="F40" s="6">
        <f t="shared" si="0"/>
        <v>1</v>
      </c>
      <c r="G40" s="11">
        <v>3</v>
      </c>
      <c r="H40" s="9">
        <f t="shared" si="1"/>
        <v>3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Matthias Rosskopf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Matthias Rosskopf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Matthias Rosskopf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Matthias Rosskopf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Matthias Rosskopf</v>
      </c>
      <c r="E45" s="10" t="s">
        <v>2</v>
      </c>
      <c r="F45" s="6">
        <f t="shared" si="0"/>
        <v>1</v>
      </c>
      <c r="G45" s="11">
        <v>5</v>
      </c>
      <c r="H45" s="9">
        <f t="shared" si="1"/>
        <v>5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Matthias Rosskopf</v>
      </c>
      <c r="E46" s="10" t="s">
        <v>2</v>
      </c>
      <c r="F46" s="6">
        <f t="shared" si="0"/>
        <v>1</v>
      </c>
      <c r="G46" s="11">
        <v>5</v>
      </c>
      <c r="H46" s="9">
        <f t="shared" si="1"/>
        <v>5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Matthias Rosskopf</v>
      </c>
      <c r="E47" s="10" t="s">
        <v>2</v>
      </c>
      <c r="F47" s="6">
        <f t="shared" si="0"/>
        <v>1</v>
      </c>
      <c r="G47" s="11">
        <v>3</v>
      </c>
      <c r="H47" s="9">
        <f t="shared" si="1"/>
        <v>3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Matthias Rosskopf</v>
      </c>
      <c r="E48" s="10" t="s">
        <v>2</v>
      </c>
      <c r="F48" s="6">
        <f t="shared" si="0"/>
        <v>1</v>
      </c>
      <c r="G48" s="11">
        <v>5</v>
      </c>
      <c r="H48" s="9">
        <f t="shared" si="1"/>
        <v>5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Matthias Rosskopf</v>
      </c>
      <c r="E49" s="10" t="s">
        <v>2</v>
      </c>
      <c r="F49" s="6">
        <f t="shared" si="0"/>
        <v>1</v>
      </c>
      <c r="G49" s="11">
        <v>3</v>
      </c>
      <c r="H49" s="9">
        <f t="shared" si="1"/>
        <v>3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Matthias Rosskopf</v>
      </c>
      <c r="E50" s="10" t="s">
        <v>3</v>
      </c>
      <c r="F50" s="6">
        <f t="shared" si="0"/>
        <v>0</v>
      </c>
      <c r="G50" s="11"/>
      <c r="H50" s="9">
        <f t="shared" si="1"/>
        <v>0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Matthias Rosskopf</v>
      </c>
      <c r="E51" s="10" t="s">
        <v>2</v>
      </c>
      <c r="F51" s="6">
        <f t="shared" si="0"/>
        <v>1</v>
      </c>
      <c r="G51" s="11">
        <v>5</v>
      </c>
      <c r="H51" s="9">
        <f t="shared" si="1"/>
        <v>5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Matthias Rosskopf</v>
      </c>
      <c r="E52" s="10" t="s">
        <v>2</v>
      </c>
      <c r="F52" s="6">
        <f t="shared" si="0"/>
        <v>1</v>
      </c>
      <c r="G52" s="11">
        <v>5</v>
      </c>
      <c r="H52" s="9">
        <f t="shared" si="1"/>
        <v>5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Matthias Rosskopf</v>
      </c>
      <c r="E53" s="10" t="s">
        <v>2</v>
      </c>
      <c r="F53" s="6">
        <f t="shared" si="0"/>
        <v>1</v>
      </c>
      <c r="G53" s="11">
        <v>5</v>
      </c>
      <c r="H53" s="9">
        <f t="shared" si="1"/>
        <v>5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Matthias Rosskopf</v>
      </c>
      <c r="E54" s="10" t="s">
        <v>2</v>
      </c>
      <c r="F54" s="6">
        <f t="shared" si="0"/>
        <v>1</v>
      </c>
      <c r="G54" s="11">
        <v>5</v>
      </c>
      <c r="H54" s="9">
        <f t="shared" si="1"/>
        <v>5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Matthias Rosskopf</v>
      </c>
      <c r="E55" s="10" t="s">
        <v>2</v>
      </c>
      <c r="F55" s="6">
        <f t="shared" si="0"/>
        <v>1</v>
      </c>
      <c r="G55" s="11">
        <v>5</v>
      </c>
      <c r="H55" s="9">
        <f t="shared" si="1"/>
        <v>5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Matthias Rosskopf</v>
      </c>
      <c r="E56" s="10" t="s">
        <v>2</v>
      </c>
      <c r="F56" s="6">
        <f t="shared" si="0"/>
        <v>1</v>
      </c>
      <c r="G56" s="11">
        <v>3</v>
      </c>
      <c r="H56" s="9">
        <f t="shared" si="1"/>
        <v>3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Matthias Rosskopf</v>
      </c>
      <c r="E57" s="10" t="s">
        <v>2</v>
      </c>
      <c r="F57" s="6">
        <f t="shared" si="0"/>
        <v>1</v>
      </c>
      <c r="G57" s="11">
        <v>5</v>
      </c>
      <c r="H57" s="9">
        <f t="shared" si="1"/>
        <v>5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Matthias Rosskopf</v>
      </c>
      <c r="E58" s="10" t="s">
        <v>2</v>
      </c>
      <c r="F58" s="6">
        <f t="shared" si="0"/>
        <v>1</v>
      </c>
      <c r="G58" s="11">
        <v>3</v>
      </c>
      <c r="H58" s="9">
        <f t="shared" si="1"/>
        <v>3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Matthias Rosskopf</v>
      </c>
      <c r="E59" s="10" t="s">
        <v>2</v>
      </c>
      <c r="F59" s="6">
        <f t="shared" si="0"/>
        <v>1</v>
      </c>
      <c r="G59" s="11">
        <v>3</v>
      </c>
      <c r="H59" s="9">
        <f t="shared" si="1"/>
        <v>3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0F865261-E01A-2842-8B45-687A2C92A94A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249700BD-D103-6C4A-B47D-A52FD75D8D17}">
      <formula1>0</formula1>
      <formula2>5</formula2>
    </dataValidation>
    <dataValidation type="list" allowBlank="1" showInputMessage="1" showErrorMessage="1" promptTitle="Have you seen the film?" sqref="E3:E59" xr:uid="{D80012B8-3DDB-7F47-803A-B0351CAC0982}">
      <formula1>$J$1:$J$2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21CB-CE60-774E-A9C0-6618F2E57A35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79</v>
      </c>
      <c r="E3" s="10" t="s">
        <v>2</v>
      </c>
      <c r="F3" s="6">
        <f>IF(E3="Yes",1,0)</f>
        <v>1</v>
      </c>
      <c r="G3" s="11">
        <v>2</v>
      </c>
      <c r="H3" s="9">
        <f>F3*G3</f>
        <v>2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Marvin Sonntag</v>
      </c>
      <c r="E4" s="10" t="s">
        <v>2</v>
      </c>
      <c r="F4" s="6">
        <f t="shared" ref="F4:F59" si="0">IF(E4="Yes",1,0)</f>
        <v>1</v>
      </c>
      <c r="G4" s="11">
        <v>3</v>
      </c>
      <c r="H4" s="9">
        <f t="shared" ref="H4:H59" si="1">F4*G4</f>
        <v>3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Marvin Sonntag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Marvin Sonntag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Marvin Sonntag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Marvin Sonntag</v>
      </c>
      <c r="E8" s="10" t="s">
        <v>2</v>
      </c>
      <c r="F8" s="6">
        <f t="shared" si="0"/>
        <v>1</v>
      </c>
      <c r="G8" s="11">
        <v>4</v>
      </c>
      <c r="H8" s="9">
        <f t="shared" si="1"/>
        <v>4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Marvin Sonntag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Marvin Sonntag</v>
      </c>
      <c r="E10" s="10" t="s">
        <v>3</v>
      </c>
      <c r="F10" s="6">
        <f t="shared" si="0"/>
        <v>0</v>
      </c>
      <c r="G10" s="11"/>
      <c r="H10" s="9">
        <f t="shared" si="1"/>
        <v>0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Marvin Sonntag</v>
      </c>
      <c r="E11" s="10" t="s">
        <v>3</v>
      </c>
      <c r="F11" s="6">
        <f t="shared" si="0"/>
        <v>0</v>
      </c>
      <c r="G11" s="11"/>
      <c r="H11" s="9">
        <f t="shared" si="1"/>
        <v>0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Marvin Sonntag</v>
      </c>
      <c r="E12" s="10" t="s">
        <v>2</v>
      </c>
      <c r="F12" s="6">
        <f t="shared" si="0"/>
        <v>1</v>
      </c>
      <c r="G12" s="11">
        <v>5</v>
      </c>
      <c r="H12" s="9">
        <f t="shared" si="1"/>
        <v>5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Marvin Sonntag</v>
      </c>
      <c r="E13" s="10" t="s">
        <v>3</v>
      </c>
      <c r="F13" s="6">
        <f t="shared" si="0"/>
        <v>0</v>
      </c>
      <c r="G13" s="11"/>
      <c r="H13" s="9">
        <f t="shared" si="1"/>
        <v>0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Marvin Sonntag</v>
      </c>
      <c r="E14" s="10" t="s">
        <v>2</v>
      </c>
      <c r="F14" s="6">
        <f t="shared" si="0"/>
        <v>1</v>
      </c>
      <c r="G14" s="11">
        <v>3</v>
      </c>
      <c r="H14" s="9">
        <f t="shared" si="1"/>
        <v>3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Marvin Sonntag</v>
      </c>
      <c r="E15" s="10" t="s">
        <v>3</v>
      </c>
      <c r="F15" s="6">
        <f t="shared" si="0"/>
        <v>0</v>
      </c>
      <c r="G15" s="11"/>
      <c r="H15" s="9">
        <f t="shared" si="1"/>
        <v>0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Marvin Sonntag</v>
      </c>
      <c r="E16" s="10" t="s">
        <v>2</v>
      </c>
      <c r="F16" s="6">
        <f t="shared" si="0"/>
        <v>1</v>
      </c>
      <c r="G16" s="11">
        <v>1</v>
      </c>
      <c r="H16" s="9">
        <f t="shared" si="1"/>
        <v>1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Marvin Sonntag</v>
      </c>
      <c r="E17" s="10" t="s">
        <v>2</v>
      </c>
      <c r="F17" s="6">
        <f t="shared" si="0"/>
        <v>1</v>
      </c>
      <c r="G17" s="11">
        <v>4</v>
      </c>
      <c r="H17" s="9">
        <f t="shared" si="1"/>
        <v>4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Marvin Sonntag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Marvin Sonntag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Marvin Sonntag</v>
      </c>
      <c r="E20" s="10" t="s">
        <v>2</v>
      </c>
      <c r="F20" s="6">
        <f t="shared" si="0"/>
        <v>1</v>
      </c>
      <c r="G20" s="11">
        <v>1</v>
      </c>
      <c r="H20" s="9">
        <f t="shared" si="1"/>
        <v>1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Marvin Sonntag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Marvin Sonntag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Marvin Sonntag</v>
      </c>
      <c r="E23" s="10" t="s">
        <v>3</v>
      </c>
      <c r="F23" s="6">
        <f t="shared" si="0"/>
        <v>0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Marvin Sonntag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Marvin Sonntag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Marvin Sonntag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Marvin Sonntag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Marvin Sonntag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Marvin Sonntag</v>
      </c>
      <c r="E29" s="10" t="s">
        <v>2</v>
      </c>
      <c r="F29" s="6">
        <f t="shared" si="0"/>
        <v>1</v>
      </c>
      <c r="G29" s="11">
        <v>4</v>
      </c>
      <c r="H29" s="9">
        <f t="shared" si="1"/>
        <v>4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Marvin Sonntag</v>
      </c>
      <c r="E30" s="10" t="s">
        <v>2</v>
      </c>
      <c r="F30" s="6">
        <f t="shared" si="0"/>
        <v>1</v>
      </c>
      <c r="G30" s="11">
        <v>4</v>
      </c>
      <c r="H30" s="9">
        <f t="shared" si="1"/>
        <v>4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Marvin Sonntag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Marvin Sonntag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Marvin Sonntag</v>
      </c>
      <c r="E33" s="10" t="s">
        <v>2</v>
      </c>
      <c r="F33" s="6">
        <f t="shared" si="0"/>
        <v>1</v>
      </c>
      <c r="G33" s="11">
        <v>3</v>
      </c>
      <c r="H33" s="9">
        <f t="shared" si="1"/>
        <v>3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Marvin Sonntag</v>
      </c>
      <c r="E34" s="10" t="s">
        <v>2</v>
      </c>
      <c r="F34" s="6">
        <f t="shared" si="0"/>
        <v>1</v>
      </c>
      <c r="G34" s="11">
        <v>3</v>
      </c>
      <c r="H34" s="9">
        <f t="shared" si="1"/>
        <v>3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Marvin Sonntag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Marvin Sonntag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Marvin Sonntag</v>
      </c>
      <c r="E37" s="10" t="s">
        <v>2</v>
      </c>
      <c r="F37" s="6">
        <f t="shared" si="0"/>
        <v>1</v>
      </c>
      <c r="G37" s="11">
        <v>3</v>
      </c>
      <c r="H37" s="9">
        <f t="shared" si="1"/>
        <v>3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Marvin Sonntag</v>
      </c>
      <c r="E38" s="10" t="s">
        <v>2</v>
      </c>
      <c r="F38" s="6">
        <f t="shared" si="0"/>
        <v>1</v>
      </c>
      <c r="G38" s="11">
        <v>4</v>
      </c>
      <c r="H38" s="9">
        <f t="shared" si="1"/>
        <v>4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Marvin Sonntag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Marvin Sonntag</v>
      </c>
      <c r="E40" s="10" t="s">
        <v>2</v>
      </c>
      <c r="F40" s="6">
        <f t="shared" si="0"/>
        <v>1</v>
      </c>
      <c r="G40" s="11">
        <v>4</v>
      </c>
      <c r="H40" s="9">
        <f t="shared" si="1"/>
        <v>4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Marvin Sonntag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Marvin Sonntag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Marvin Sonntag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Marvin Sonntag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Marvin Sonntag</v>
      </c>
      <c r="E45" s="10" t="s">
        <v>3</v>
      </c>
      <c r="F45" s="6">
        <f t="shared" si="0"/>
        <v>0</v>
      </c>
      <c r="G45" s="11"/>
      <c r="H45" s="9">
        <f t="shared" si="1"/>
        <v>0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Marvin Sonntag</v>
      </c>
      <c r="E46" s="10" t="s">
        <v>3</v>
      </c>
      <c r="F46" s="6">
        <f t="shared" si="0"/>
        <v>0</v>
      </c>
      <c r="G46" s="11"/>
      <c r="H46" s="9">
        <f t="shared" si="1"/>
        <v>0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Marvin Sonntag</v>
      </c>
      <c r="E47" s="10" t="s">
        <v>3</v>
      </c>
      <c r="F47" s="6">
        <f t="shared" si="0"/>
        <v>0</v>
      </c>
      <c r="G47" s="11"/>
      <c r="H47" s="9">
        <f t="shared" si="1"/>
        <v>0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Marvin Sonntag</v>
      </c>
      <c r="E48" s="10" t="s">
        <v>2</v>
      </c>
      <c r="F48" s="6">
        <f t="shared" si="0"/>
        <v>1</v>
      </c>
      <c r="G48" s="11">
        <v>2</v>
      </c>
      <c r="H48" s="9">
        <f t="shared" si="1"/>
        <v>2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Marvin Sonntag</v>
      </c>
      <c r="E49" s="10" t="s">
        <v>2</v>
      </c>
      <c r="F49" s="6">
        <f t="shared" si="0"/>
        <v>1</v>
      </c>
      <c r="G49" s="11">
        <v>2</v>
      </c>
      <c r="H49" s="9">
        <f t="shared" si="1"/>
        <v>2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Marvin Sonntag</v>
      </c>
      <c r="E50" s="10" t="s">
        <v>3</v>
      </c>
      <c r="F50" s="6">
        <f t="shared" si="0"/>
        <v>0</v>
      </c>
      <c r="G50" s="11"/>
      <c r="H50" s="9">
        <f t="shared" si="1"/>
        <v>0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Marvin Sonntag</v>
      </c>
      <c r="E51" s="10" t="s">
        <v>2</v>
      </c>
      <c r="F51" s="6">
        <f t="shared" si="0"/>
        <v>1</v>
      </c>
      <c r="G51" s="11">
        <v>4</v>
      </c>
      <c r="H51" s="9">
        <f t="shared" si="1"/>
        <v>4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Marvin Sonntag</v>
      </c>
      <c r="E52" s="10" t="s">
        <v>3</v>
      </c>
      <c r="F52" s="6">
        <f t="shared" si="0"/>
        <v>0</v>
      </c>
      <c r="G52" s="11"/>
      <c r="H52" s="9">
        <f t="shared" si="1"/>
        <v>0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Marvin Sonntag</v>
      </c>
      <c r="E53" s="10" t="s">
        <v>2</v>
      </c>
      <c r="F53" s="6">
        <f t="shared" si="0"/>
        <v>1</v>
      </c>
      <c r="G53" s="11">
        <v>4</v>
      </c>
      <c r="H53" s="9">
        <f t="shared" si="1"/>
        <v>4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Marvin Sonntag</v>
      </c>
      <c r="E54" s="10" t="s">
        <v>2</v>
      </c>
      <c r="F54" s="6">
        <f t="shared" si="0"/>
        <v>1</v>
      </c>
      <c r="G54" s="11">
        <v>5</v>
      </c>
      <c r="H54" s="9">
        <f t="shared" si="1"/>
        <v>5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Marvin Sonntag</v>
      </c>
      <c r="E55" s="10" t="s">
        <v>2</v>
      </c>
      <c r="F55" s="6">
        <f t="shared" si="0"/>
        <v>1</v>
      </c>
      <c r="G55" s="11">
        <v>5</v>
      </c>
      <c r="H55" s="9">
        <f t="shared" si="1"/>
        <v>5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Marvin Sonntag</v>
      </c>
      <c r="E56" s="10" t="s">
        <v>2</v>
      </c>
      <c r="F56" s="6">
        <f t="shared" si="0"/>
        <v>1</v>
      </c>
      <c r="G56" s="11">
        <v>2</v>
      </c>
      <c r="H56" s="9">
        <f t="shared" si="1"/>
        <v>2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Marvin Sonntag</v>
      </c>
      <c r="E57" s="10" t="s">
        <v>2</v>
      </c>
      <c r="F57" s="6">
        <f t="shared" si="0"/>
        <v>1</v>
      </c>
      <c r="G57" s="11">
        <v>3</v>
      </c>
      <c r="H57" s="9">
        <f t="shared" si="1"/>
        <v>3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Marvin Sonntag</v>
      </c>
      <c r="E58" s="10" t="s">
        <v>2</v>
      </c>
      <c r="F58" s="6">
        <f t="shared" si="0"/>
        <v>1</v>
      </c>
      <c r="G58" s="11">
        <v>2</v>
      </c>
      <c r="H58" s="9">
        <f t="shared" si="1"/>
        <v>2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Marvin Sonntag</v>
      </c>
      <c r="E59" s="10" t="s">
        <v>2</v>
      </c>
      <c r="F59" s="6">
        <f t="shared" si="0"/>
        <v>1</v>
      </c>
      <c r="G59" s="11">
        <v>4</v>
      </c>
      <c r="H59" s="9">
        <f t="shared" si="1"/>
        <v>4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DD3217AD-2F50-424E-BDF8-BD713F3A7C27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E5BDEC99-8C68-1F41-AF3A-AC43FECB0C6D}">
      <formula1>0</formula1>
      <formula2>5</formula2>
    </dataValidation>
    <dataValidation type="list" allowBlank="1" showInputMessage="1" showErrorMessage="1" promptTitle="Have you seen the film?" sqref="E3:E59" xr:uid="{5859CA99-125F-8B43-B5B3-7695A658405F}">
      <formula1>$J$1:$J$2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E49B-A2B1-FE49-BE41-230FE8EBA3CA}">
  <dimension ref="A1:J59"/>
  <sheetViews>
    <sheetView workbookViewId="0">
      <selection activeCell="A3" sqref="A3:H59"/>
    </sheetView>
  </sheetViews>
  <sheetFormatPr baseColWidth="10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80</v>
      </c>
      <c r="E3" s="10" t="s">
        <v>3</v>
      </c>
      <c r="F3" s="6">
        <f>IF(E3="Yes",1,0)</f>
        <v>0</v>
      </c>
      <c r="G3" s="11"/>
      <c r="H3" s="9">
        <f>F3*G3</f>
        <v>0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Michael S.</v>
      </c>
      <c r="E4" s="10" t="s">
        <v>3</v>
      </c>
      <c r="F4" s="6">
        <f t="shared" ref="F4:F59" si="0">IF(E4="Yes",1,0)</f>
        <v>0</v>
      </c>
      <c r="G4" s="11"/>
      <c r="H4" s="9">
        <f t="shared" ref="H4:H59" si="1">F4*G4</f>
        <v>0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Michael S.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Michael S.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Michael S.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Michael S.</v>
      </c>
      <c r="E8" s="10" t="s">
        <v>3</v>
      </c>
      <c r="F8" s="6">
        <f t="shared" si="0"/>
        <v>0</v>
      </c>
      <c r="G8" s="11"/>
      <c r="H8" s="9">
        <f t="shared" si="1"/>
        <v>0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Michael S.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Michael S.</v>
      </c>
      <c r="E10" s="10" t="s">
        <v>3</v>
      </c>
      <c r="F10" s="6">
        <f t="shared" si="0"/>
        <v>0</v>
      </c>
      <c r="G10" s="11"/>
      <c r="H10" s="9">
        <f t="shared" si="1"/>
        <v>0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Michael S.</v>
      </c>
      <c r="E11" s="10" t="s">
        <v>3</v>
      </c>
      <c r="F11" s="6">
        <f t="shared" si="0"/>
        <v>0</v>
      </c>
      <c r="G11" s="11"/>
      <c r="H11" s="9">
        <f t="shared" si="1"/>
        <v>0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Michael S.</v>
      </c>
      <c r="E12" s="10" t="s">
        <v>2</v>
      </c>
      <c r="F12" s="6">
        <f t="shared" si="0"/>
        <v>1</v>
      </c>
      <c r="G12" s="11">
        <v>3</v>
      </c>
      <c r="H12" s="9">
        <f t="shared" si="1"/>
        <v>3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Michael S.</v>
      </c>
      <c r="E13" s="10" t="s">
        <v>3</v>
      </c>
      <c r="F13" s="6">
        <f t="shared" si="0"/>
        <v>0</v>
      </c>
      <c r="G13" s="11"/>
      <c r="H13" s="9">
        <f t="shared" si="1"/>
        <v>0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Michael S.</v>
      </c>
      <c r="E14" s="10" t="s">
        <v>3</v>
      </c>
      <c r="F14" s="6">
        <f t="shared" si="0"/>
        <v>0</v>
      </c>
      <c r="G14" s="11"/>
      <c r="H14" s="9">
        <f t="shared" si="1"/>
        <v>0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Michael S.</v>
      </c>
      <c r="E15" s="10" t="s">
        <v>3</v>
      </c>
      <c r="F15" s="6">
        <f t="shared" si="0"/>
        <v>0</v>
      </c>
      <c r="G15" s="11"/>
      <c r="H15" s="9">
        <f t="shared" si="1"/>
        <v>0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Michael S.</v>
      </c>
      <c r="E16" s="10" t="s">
        <v>3</v>
      </c>
      <c r="F16" s="6">
        <f t="shared" si="0"/>
        <v>0</v>
      </c>
      <c r="G16" s="11"/>
      <c r="H16" s="9">
        <f t="shared" si="1"/>
        <v>0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Michael S.</v>
      </c>
      <c r="E17" s="10" t="s">
        <v>2</v>
      </c>
      <c r="F17" s="6">
        <f t="shared" si="0"/>
        <v>1</v>
      </c>
      <c r="G17" s="11">
        <v>5</v>
      </c>
      <c r="H17" s="9">
        <f t="shared" si="1"/>
        <v>5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Michael S.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Michael S.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Michael S.</v>
      </c>
      <c r="E20" s="10" t="s">
        <v>3</v>
      </c>
      <c r="F20" s="6">
        <f t="shared" si="0"/>
        <v>0</v>
      </c>
      <c r="G20" s="11"/>
      <c r="H20" s="9">
        <f t="shared" si="1"/>
        <v>0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Michael S.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Michael S.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Michael S.</v>
      </c>
      <c r="E23" s="10" t="s">
        <v>3</v>
      </c>
      <c r="F23" s="6">
        <f t="shared" si="0"/>
        <v>0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Michael S.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Michael S.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Michael S.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Michael S.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Michael S.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Michael S.</v>
      </c>
      <c r="E29" s="10" t="s">
        <v>3</v>
      </c>
      <c r="F29" s="6">
        <f t="shared" si="0"/>
        <v>0</v>
      </c>
      <c r="G29" s="11"/>
      <c r="H29" s="9">
        <f t="shared" si="1"/>
        <v>0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Michael S.</v>
      </c>
      <c r="E30" s="10" t="s">
        <v>2</v>
      </c>
      <c r="F30" s="6">
        <f t="shared" si="0"/>
        <v>1</v>
      </c>
      <c r="G30" s="11">
        <v>5</v>
      </c>
      <c r="H30" s="9">
        <f t="shared" si="1"/>
        <v>5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Michael S.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Michael S.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Michael S.</v>
      </c>
      <c r="E33" s="10" t="s">
        <v>2</v>
      </c>
      <c r="F33" s="6">
        <f t="shared" si="0"/>
        <v>1</v>
      </c>
      <c r="G33" s="11">
        <v>5</v>
      </c>
      <c r="H33" s="9">
        <f t="shared" si="1"/>
        <v>5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Michael S.</v>
      </c>
      <c r="E34" s="10" t="s">
        <v>2</v>
      </c>
      <c r="F34" s="6">
        <f t="shared" si="0"/>
        <v>1</v>
      </c>
      <c r="G34" s="11">
        <v>4</v>
      </c>
      <c r="H34" s="9">
        <f t="shared" si="1"/>
        <v>4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Michael S.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Michael S.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Michael S.</v>
      </c>
      <c r="E37" s="10" t="s">
        <v>3</v>
      </c>
      <c r="F37" s="6">
        <f t="shared" si="0"/>
        <v>0</v>
      </c>
      <c r="G37" s="11"/>
      <c r="H37" s="9">
        <f t="shared" si="1"/>
        <v>0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Michael S.</v>
      </c>
      <c r="E38" s="10" t="s">
        <v>3</v>
      </c>
      <c r="F38" s="6">
        <f t="shared" si="0"/>
        <v>0</v>
      </c>
      <c r="G38" s="11"/>
      <c r="H38" s="9">
        <f t="shared" si="1"/>
        <v>0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Michael S.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Michael S.</v>
      </c>
      <c r="E40" s="10" t="s">
        <v>3</v>
      </c>
      <c r="F40" s="6">
        <f t="shared" si="0"/>
        <v>0</v>
      </c>
      <c r="G40" s="11"/>
      <c r="H40" s="9">
        <f t="shared" si="1"/>
        <v>0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Michael S.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Michael S.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Michael S.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Michael S.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Michael S.</v>
      </c>
      <c r="E45" s="10" t="s">
        <v>3</v>
      </c>
      <c r="F45" s="6">
        <f t="shared" si="0"/>
        <v>0</v>
      </c>
      <c r="G45" s="11"/>
      <c r="H45" s="9">
        <f t="shared" si="1"/>
        <v>0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Michael S.</v>
      </c>
      <c r="E46" s="10" t="s">
        <v>2</v>
      </c>
      <c r="F46" s="6">
        <f t="shared" si="0"/>
        <v>1</v>
      </c>
      <c r="G46" s="11">
        <v>4</v>
      </c>
      <c r="H46" s="9">
        <f t="shared" si="1"/>
        <v>4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Michael S.</v>
      </c>
      <c r="E47" s="10" t="s">
        <v>3</v>
      </c>
      <c r="F47" s="6">
        <f t="shared" si="0"/>
        <v>0</v>
      </c>
      <c r="G47" s="11"/>
      <c r="H47" s="9">
        <f t="shared" si="1"/>
        <v>0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Michael S.</v>
      </c>
      <c r="E48" s="10" t="s">
        <v>3</v>
      </c>
      <c r="F48" s="6">
        <f t="shared" si="0"/>
        <v>0</v>
      </c>
      <c r="G48" s="11"/>
      <c r="H48" s="9">
        <f t="shared" si="1"/>
        <v>0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Michael S.</v>
      </c>
      <c r="E49" s="10" t="s">
        <v>3</v>
      </c>
      <c r="F49" s="6">
        <f t="shared" si="0"/>
        <v>0</v>
      </c>
      <c r="G49" s="11"/>
      <c r="H49" s="9">
        <f t="shared" si="1"/>
        <v>0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Michael S.</v>
      </c>
      <c r="E50" s="10" t="s">
        <v>3</v>
      </c>
      <c r="F50" s="6">
        <f t="shared" si="0"/>
        <v>0</v>
      </c>
      <c r="G50" s="11"/>
      <c r="H50" s="9">
        <f t="shared" si="1"/>
        <v>0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Michael S.</v>
      </c>
      <c r="E51" s="10" t="s">
        <v>3</v>
      </c>
      <c r="F51" s="6">
        <f t="shared" si="0"/>
        <v>0</v>
      </c>
      <c r="G51" s="11"/>
      <c r="H51" s="9">
        <f t="shared" si="1"/>
        <v>0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Michael S.</v>
      </c>
      <c r="E52" s="10" t="s">
        <v>3</v>
      </c>
      <c r="F52" s="6">
        <f t="shared" si="0"/>
        <v>0</v>
      </c>
      <c r="G52" s="11"/>
      <c r="H52" s="9">
        <f t="shared" si="1"/>
        <v>0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Michael S.</v>
      </c>
      <c r="E53" s="10" t="s">
        <v>3</v>
      </c>
      <c r="F53" s="6">
        <f t="shared" si="0"/>
        <v>0</v>
      </c>
      <c r="G53" s="11"/>
      <c r="H53" s="9">
        <f t="shared" si="1"/>
        <v>0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Michael S.</v>
      </c>
      <c r="E54" s="10" t="s">
        <v>2</v>
      </c>
      <c r="F54" s="6">
        <f t="shared" si="0"/>
        <v>1</v>
      </c>
      <c r="G54" s="11">
        <v>5</v>
      </c>
      <c r="H54" s="9">
        <f t="shared" si="1"/>
        <v>5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Michael S.</v>
      </c>
      <c r="E55" s="10" t="s">
        <v>3</v>
      </c>
      <c r="F55" s="6">
        <f t="shared" si="0"/>
        <v>0</v>
      </c>
      <c r="G55" s="11"/>
      <c r="H55" s="9">
        <f t="shared" si="1"/>
        <v>0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Michael S.</v>
      </c>
      <c r="E56" s="10" t="s">
        <v>3</v>
      </c>
      <c r="F56" s="6">
        <f t="shared" si="0"/>
        <v>0</v>
      </c>
      <c r="G56" s="11"/>
      <c r="H56" s="9">
        <f t="shared" si="1"/>
        <v>0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Michael S.</v>
      </c>
      <c r="E57" s="10" t="s">
        <v>3</v>
      </c>
      <c r="F57" s="6">
        <f t="shared" si="0"/>
        <v>0</v>
      </c>
      <c r="G57" s="11"/>
      <c r="H57" s="9">
        <f t="shared" si="1"/>
        <v>0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Michael S.</v>
      </c>
      <c r="E58" s="10" t="s">
        <v>3</v>
      </c>
      <c r="F58" s="6">
        <f t="shared" si="0"/>
        <v>0</v>
      </c>
      <c r="G58" s="11"/>
      <c r="H58" s="9">
        <f t="shared" si="1"/>
        <v>0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Michael S.</v>
      </c>
      <c r="E59" s="10" t="s">
        <v>2</v>
      </c>
      <c r="F59" s="6">
        <f t="shared" si="0"/>
        <v>1</v>
      </c>
      <c r="G59" s="11">
        <v>5</v>
      </c>
      <c r="H59" s="9">
        <f t="shared" si="1"/>
        <v>5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54607E1B-EF98-3B48-A34A-708FEC090AE1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E22B73D6-A34D-DD4A-AA6C-CBBC76E65333}">
      <formula1>0</formula1>
      <formula2>5</formula2>
    </dataValidation>
    <dataValidation type="list" allowBlank="1" showInputMessage="1" showErrorMessage="1" promptTitle="Have you seen the film?" sqref="E3:E59" xr:uid="{AAA1C7D9-A119-A04F-BF27-51363ECA3E26}">
      <formula1>$J$1:$J$2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070A-AFCE-FF4B-B7B5-CE18274CFE5A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81</v>
      </c>
      <c r="E3" s="10" t="s">
        <v>3</v>
      </c>
      <c r="F3" s="6">
        <f>IF(E3="Yes",1,0)</f>
        <v>0</v>
      </c>
      <c r="G3" s="11"/>
      <c r="H3" s="9">
        <f>F3*G3</f>
        <v>0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Carla Columna</v>
      </c>
      <c r="E4" s="10" t="s">
        <v>3</v>
      </c>
      <c r="F4" s="6">
        <f t="shared" ref="F4:F59" si="0">IF(E4="Yes",1,0)</f>
        <v>0</v>
      </c>
      <c r="G4" s="11"/>
      <c r="H4" s="9">
        <f t="shared" ref="H4:H59" si="1">F4*G4</f>
        <v>0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Carla Columna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Carla Columna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Carla Columna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Carla Columna</v>
      </c>
      <c r="E8" s="10" t="s">
        <v>3</v>
      </c>
      <c r="F8" s="6">
        <f t="shared" si="0"/>
        <v>0</v>
      </c>
      <c r="G8" s="11"/>
      <c r="H8" s="9">
        <f t="shared" si="1"/>
        <v>0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Carla Columna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Carla Columna</v>
      </c>
      <c r="E10" s="10" t="s">
        <v>3</v>
      </c>
      <c r="F10" s="6">
        <f t="shared" si="0"/>
        <v>0</v>
      </c>
      <c r="G10" s="11"/>
      <c r="H10" s="9">
        <f t="shared" si="1"/>
        <v>0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Carla Columna</v>
      </c>
      <c r="E11" s="10" t="s">
        <v>3</v>
      </c>
      <c r="F11" s="6">
        <f t="shared" si="0"/>
        <v>0</v>
      </c>
      <c r="G11" s="11"/>
      <c r="H11" s="9">
        <f t="shared" si="1"/>
        <v>0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Carla Columna</v>
      </c>
      <c r="E12" s="10" t="s">
        <v>2</v>
      </c>
      <c r="F12" s="6">
        <f t="shared" si="0"/>
        <v>1</v>
      </c>
      <c r="G12" s="11">
        <v>2</v>
      </c>
      <c r="H12" s="9">
        <f t="shared" si="1"/>
        <v>2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Carla Columna</v>
      </c>
      <c r="E13" s="10" t="s">
        <v>3</v>
      </c>
      <c r="F13" s="6">
        <f t="shared" si="0"/>
        <v>0</v>
      </c>
      <c r="G13" s="11"/>
      <c r="H13" s="9">
        <f t="shared" si="1"/>
        <v>0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Carla Columna</v>
      </c>
      <c r="E14" s="10" t="s">
        <v>2</v>
      </c>
      <c r="F14" s="6">
        <f t="shared" si="0"/>
        <v>1</v>
      </c>
      <c r="G14" s="11">
        <v>2</v>
      </c>
      <c r="H14" s="9">
        <f t="shared" si="1"/>
        <v>2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Carla Columna</v>
      </c>
      <c r="E15" s="10" t="s">
        <v>3</v>
      </c>
      <c r="F15" s="6">
        <f t="shared" si="0"/>
        <v>0</v>
      </c>
      <c r="G15" s="11"/>
      <c r="H15" s="9">
        <f t="shared" si="1"/>
        <v>0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Carla Columna</v>
      </c>
      <c r="E16" s="10" t="s">
        <v>3</v>
      </c>
      <c r="F16" s="6">
        <f t="shared" si="0"/>
        <v>0</v>
      </c>
      <c r="G16" s="11"/>
      <c r="H16" s="9">
        <f t="shared" si="1"/>
        <v>0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Carla Columna</v>
      </c>
      <c r="E17" s="10" t="s">
        <v>3</v>
      </c>
      <c r="F17" s="6">
        <f t="shared" si="0"/>
        <v>0</v>
      </c>
      <c r="G17" s="11"/>
      <c r="H17" s="9">
        <f t="shared" si="1"/>
        <v>0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Carla Columna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Carla Columna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Carla Columna</v>
      </c>
      <c r="E20" s="10" t="s">
        <v>2</v>
      </c>
      <c r="F20" s="6">
        <f t="shared" si="0"/>
        <v>1</v>
      </c>
      <c r="G20" s="11">
        <v>3</v>
      </c>
      <c r="H20" s="9">
        <f t="shared" si="1"/>
        <v>3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Carla Columna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Carla Columna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Carla Columna</v>
      </c>
      <c r="E23" s="10" t="s">
        <v>3</v>
      </c>
      <c r="F23" s="6">
        <f t="shared" si="0"/>
        <v>0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Carla Columna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Carla Columna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Carla Columna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Carla Columna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Carla Columna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Carla Columna</v>
      </c>
      <c r="E29" s="10" t="s">
        <v>3</v>
      </c>
      <c r="F29" s="6">
        <f t="shared" si="0"/>
        <v>0</v>
      </c>
      <c r="G29" s="11"/>
      <c r="H29" s="9">
        <f t="shared" si="1"/>
        <v>0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Carla Columna</v>
      </c>
      <c r="E30" s="10" t="s">
        <v>2</v>
      </c>
      <c r="F30" s="6">
        <f t="shared" si="0"/>
        <v>1</v>
      </c>
      <c r="G30" s="11">
        <v>4</v>
      </c>
      <c r="H30" s="9">
        <f t="shared" si="1"/>
        <v>4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Carla Columna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Carla Columna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Carla Columna</v>
      </c>
      <c r="E33" s="10" t="s">
        <v>2</v>
      </c>
      <c r="F33" s="6">
        <f t="shared" si="0"/>
        <v>1</v>
      </c>
      <c r="G33" s="11">
        <v>5</v>
      </c>
      <c r="H33" s="9">
        <f t="shared" si="1"/>
        <v>5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Carla Columna</v>
      </c>
      <c r="E34" s="10" t="s">
        <v>3</v>
      </c>
      <c r="F34" s="6">
        <f t="shared" si="0"/>
        <v>0</v>
      </c>
      <c r="G34" s="11"/>
      <c r="H34" s="9">
        <f t="shared" si="1"/>
        <v>0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Carla Columna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Carla Columna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Carla Columna</v>
      </c>
      <c r="E37" s="10" t="s">
        <v>3</v>
      </c>
      <c r="F37" s="6">
        <f t="shared" si="0"/>
        <v>0</v>
      </c>
      <c r="G37" s="11"/>
      <c r="H37" s="9">
        <f t="shared" si="1"/>
        <v>0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Carla Columna</v>
      </c>
      <c r="E38" s="10" t="s">
        <v>3</v>
      </c>
      <c r="F38" s="6">
        <f t="shared" si="0"/>
        <v>0</v>
      </c>
      <c r="G38" s="11"/>
      <c r="H38" s="9">
        <f t="shared" si="1"/>
        <v>0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Carla Columna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Carla Columna</v>
      </c>
      <c r="E40" s="10" t="s">
        <v>3</v>
      </c>
      <c r="F40" s="6">
        <f t="shared" si="0"/>
        <v>0</v>
      </c>
      <c r="G40" s="11"/>
      <c r="H40" s="9">
        <f t="shared" si="1"/>
        <v>0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Carla Columna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Carla Columna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Carla Columna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Carla Columna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Carla Columna</v>
      </c>
      <c r="E45" s="10" t="s">
        <v>3</v>
      </c>
      <c r="F45" s="6">
        <f t="shared" si="0"/>
        <v>0</v>
      </c>
      <c r="G45" s="11"/>
      <c r="H45" s="9">
        <f t="shared" si="1"/>
        <v>0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Carla Columna</v>
      </c>
      <c r="E46" s="10" t="s">
        <v>2</v>
      </c>
      <c r="F46" s="6">
        <f t="shared" si="0"/>
        <v>1</v>
      </c>
      <c r="G46" s="11">
        <v>5</v>
      </c>
      <c r="H46" s="9">
        <f t="shared" si="1"/>
        <v>5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Carla Columna</v>
      </c>
      <c r="E47" s="10" t="s">
        <v>3</v>
      </c>
      <c r="F47" s="6">
        <f t="shared" si="0"/>
        <v>0</v>
      </c>
      <c r="G47" s="11"/>
      <c r="H47" s="9">
        <f t="shared" si="1"/>
        <v>0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Carla Columna</v>
      </c>
      <c r="E48" s="10" t="s">
        <v>3</v>
      </c>
      <c r="F48" s="6">
        <f t="shared" si="0"/>
        <v>0</v>
      </c>
      <c r="G48" s="11"/>
      <c r="H48" s="9">
        <f t="shared" si="1"/>
        <v>0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Carla Columna</v>
      </c>
      <c r="E49" s="10" t="s">
        <v>2</v>
      </c>
      <c r="F49" s="6">
        <f t="shared" si="0"/>
        <v>1</v>
      </c>
      <c r="G49" s="11">
        <v>3</v>
      </c>
      <c r="H49" s="9">
        <f t="shared" si="1"/>
        <v>3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Carla Columna</v>
      </c>
      <c r="E50" s="10" t="s">
        <v>3</v>
      </c>
      <c r="F50" s="6">
        <f t="shared" si="0"/>
        <v>0</v>
      </c>
      <c r="G50" s="11"/>
      <c r="H50" s="9">
        <f t="shared" si="1"/>
        <v>0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Carla Columna</v>
      </c>
      <c r="E51" s="10" t="s">
        <v>3</v>
      </c>
      <c r="F51" s="6">
        <f t="shared" si="0"/>
        <v>0</v>
      </c>
      <c r="G51" s="11"/>
      <c r="H51" s="9">
        <f t="shared" si="1"/>
        <v>0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Carla Columna</v>
      </c>
      <c r="E52" s="10" t="s">
        <v>2</v>
      </c>
      <c r="F52" s="6">
        <f t="shared" si="0"/>
        <v>1</v>
      </c>
      <c r="G52" s="11">
        <v>2</v>
      </c>
      <c r="H52" s="9">
        <f t="shared" si="1"/>
        <v>2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Carla Columna</v>
      </c>
      <c r="E53" s="10" t="s">
        <v>3</v>
      </c>
      <c r="F53" s="6">
        <f t="shared" si="0"/>
        <v>0</v>
      </c>
      <c r="G53" s="11"/>
      <c r="H53" s="9">
        <f t="shared" si="1"/>
        <v>0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Carla Columna</v>
      </c>
      <c r="E54" s="10" t="s">
        <v>2</v>
      </c>
      <c r="F54" s="6">
        <f t="shared" si="0"/>
        <v>1</v>
      </c>
      <c r="G54" s="11">
        <v>5</v>
      </c>
      <c r="H54" s="9">
        <f t="shared" si="1"/>
        <v>5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Carla Columna</v>
      </c>
      <c r="E55" s="10" t="s">
        <v>3</v>
      </c>
      <c r="F55" s="6">
        <f t="shared" si="0"/>
        <v>0</v>
      </c>
      <c r="G55" s="11"/>
      <c r="H55" s="9">
        <f t="shared" si="1"/>
        <v>0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Carla Columna</v>
      </c>
      <c r="E56" s="10" t="s">
        <v>3</v>
      </c>
      <c r="F56" s="6">
        <f t="shared" si="0"/>
        <v>0</v>
      </c>
      <c r="G56" s="11"/>
      <c r="H56" s="9">
        <f t="shared" si="1"/>
        <v>0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Carla Columna</v>
      </c>
      <c r="E57" s="10" t="s">
        <v>3</v>
      </c>
      <c r="F57" s="6">
        <f t="shared" si="0"/>
        <v>0</v>
      </c>
      <c r="G57" s="11"/>
      <c r="H57" s="9">
        <f t="shared" si="1"/>
        <v>0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Carla Columna</v>
      </c>
      <c r="E58" s="10" t="s">
        <v>3</v>
      </c>
      <c r="F58" s="6">
        <f t="shared" si="0"/>
        <v>0</v>
      </c>
      <c r="G58" s="11"/>
      <c r="H58" s="9">
        <f t="shared" si="1"/>
        <v>0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Carla Columna</v>
      </c>
      <c r="E59" s="10" t="s">
        <v>3</v>
      </c>
      <c r="F59" s="6">
        <f t="shared" si="0"/>
        <v>0</v>
      </c>
      <c r="G59" s="11"/>
      <c r="H59" s="9">
        <f t="shared" si="1"/>
        <v>0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D07CB76F-B551-EE4D-BE23-BEAE46696263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5506DAF1-E2C2-AB47-8AFF-A332C414615F}">
      <formula1>0</formula1>
      <formula2>5</formula2>
    </dataValidation>
    <dataValidation type="list" allowBlank="1" showInputMessage="1" showErrorMessage="1" promptTitle="Have you seen the film?" sqref="E3:E59" xr:uid="{95E7CCBB-165A-A841-8806-408CFF10C4BE}">
      <formula1>$J$1:$J$2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F631-F746-D94C-8DA2-6A51A2CD63C0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82</v>
      </c>
      <c r="E3" s="10" t="s">
        <v>2</v>
      </c>
      <c r="F3" s="6">
        <f>IF(E3="Yes",1,0)</f>
        <v>1</v>
      </c>
      <c r="G3" s="11">
        <v>5</v>
      </c>
      <c r="H3" s="9">
        <f>F3*G3</f>
        <v>5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Ale</v>
      </c>
      <c r="E4" s="10" t="s">
        <v>2</v>
      </c>
      <c r="F4" s="6">
        <f t="shared" ref="F4:F59" si="0">IF(E4="Yes",1,0)</f>
        <v>1</v>
      </c>
      <c r="G4" s="11">
        <v>5</v>
      </c>
      <c r="H4" s="9">
        <f t="shared" ref="H4:H59" si="1">F4*G4</f>
        <v>5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Ale</v>
      </c>
      <c r="E5" s="10" t="s">
        <v>2</v>
      </c>
      <c r="F5" s="6">
        <f t="shared" si="0"/>
        <v>1</v>
      </c>
      <c r="G5" s="11">
        <v>4.5</v>
      </c>
      <c r="H5" s="9">
        <f t="shared" si="1"/>
        <v>4.5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Ale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Ale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Ale</v>
      </c>
      <c r="E8" s="10" t="s">
        <v>2</v>
      </c>
      <c r="F8" s="6">
        <f t="shared" si="0"/>
        <v>1</v>
      </c>
      <c r="G8" s="11">
        <v>4</v>
      </c>
      <c r="H8" s="9">
        <f t="shared" si="1"/>
        <v>4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Ale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Ale</v>
      </c>
      <c r="E10" s="10" t="s">
        <v>2</v>
      </c>
      <c r="F10" s="6">
        <f t="shared" si="0"/>
        <v>1</v>
      </c>
      <c r="G10" s="11">
        <v>3</v>
      </c>
      <c r="H10" s="9">
        <f t="shared" si="1"/>
        <v>3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Ale</v>
      </c>
      <c r="E11" s="10" t="s">
        <v>3</v>
      </c>
      <c r="F11" s="6">
        <f t="shared" si="0"/>
        <v>0</v>
      </c>
      <c r="G11" s="11"/>
      <c r="H11" s="9">
        <f t="shared" si="1"/>
        <v>0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Ale</v>
      </c>
      <c r="E12" s="10" t="s">
        <v>2</v>
      </c>
      <c r="F12" s="6">
        <f t="shared" si="0"/>
        <v>1</v>
      </c>
      <c r="G12" s="11">
        <v>2</v>
      </c>
      <c r="H12" s="9">
        <f t="shared" si="1"/>
        <v>2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Ale</v>
      </c>
      <c r="E13" s="10" t="s">
        <v>2</v>
      </c>
      <c r="F13" s="6">
        <f t="shared" si="0"/>
        <v>1</v>
      </c>
      <c r="G13" s="11">
        <v>2</v>
      </c>
      <c r="H13" s="9">
        <f t="shared" si="1"/>
        <v>2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Ale</v>
      </c>
      <c r="E14" s="10" t="s">
        <v>2</v>
      </c>
      <c r="F14" s="6">
        <f t="shared" si="0"/>
        <v>1</v>
      </c>
      <c r="G14" s="11">
        <v>4.7</v>
      </c>
      <c r="H14" s="9">
        <f t="shared" si="1"/>
        <v>4.7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Ale</v>
      </c>
      <c r="E15" s="10" t="s">
        <v>2</v>
      </c>
      <c r="F15" s="6">
        <f t="shared" si="0"/>
        <v>1</v>
      </c>
      <c r="G15" s="11">
        <v>4.5</v>
      </c>
      <c r="H15" s="9">
        <f t="shared" si="1"/>
        <v>4.5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Ale</v>
      </c>
      <c r="E16" s="10" t="s">
        <v>3</v>
      </c>
      <c r="F16" s="6">
        <f t="shared" si="0"/>
        <v>0</v>
      </c>
      <c r="G16" s="11"/>
      <c r="H16" s="9">
        <f t="shared" si="1"/>
        <v>0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Ale</v>
      </c>
      <c r="E17" s="10" t="s">
        <v>2</v>
      </c>
      <c r="F17" s="6">
        <f t="shared" si="0"/>
        <v>1</v>
      </c>
      <c r="G17" s="11">
        <v>1</v>
      </c>
      <c r="H17" s="9">
        <f t="shared" si="1"/>
        <v>1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Ale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Ale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Ale</v>
      </c>
      <c r="E20" s="10" t="s">
        <v>3</v>
      </c>
      <c r="F20" s="6">
        <f t="shared" si="0"/>
        <v>0</v>
      </c>
      <c r="G20" s="11"/>
      <c r="H20" s="9">
        <f t="shared" si="1"/>
        <v>0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Ale</v>
      </c>
      <c r="E21" s="10" t="s">
        <v>2</v>
      </c>
      <c r="F21" s="6">
        <f t="shared" si="0"/>
        <v>1</v>
      </c>
      <c r="G21" s="11">
        <v>4.5999999999999996</v>
      </c>
      <c r="H21" s="9">
        <f t="shared" si="1"/>
        <v>4.5999999999999996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Ale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Ale</v>
      </c>
      <c r="E23" s="10" t="s">
        <v>2</v>
      </c>
      <c r="F23" s="6">
        <f t="shared" si="0"/>
        <v>1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Ale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Ale</v>
      </c>
      <c r="E25" s="10" t="s">
        <v>2</v>
      </c>
      <c r="F25" s="6">
        <f t="shared" si="0"/>
        <v>1</v>
      </c>
      <c r="G25" s="11">
        <v>4</v>
      </c>
      <c r="H25" s="9">
        <f t="shared" si="1"/>
        <v>4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Ale</v>
      </c>
      <c r="E26" s="10" t="s">
        <v>2</v>
      </c>
      <c r="F26" s="6">
        <f t="shared" si="0"/>
        <v>1</v>
      </c>
      <c r="G26" s="11">
        <v>4</v>
      </c>
      <c r="H26" s="9">
        <f t="shared" si="1"/>
        <v>4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Ale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Ale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Ale</v>
      </c>
      <c r="E29" s="10" t="s">
        <v>2</v>
      </c>
      <c r="F29" s="6">
        <f t="shared" si="0"/>
        <v>1</v>
      </c>
      <c r="G29" s="11">
        <v>3.8</v>
      </c>
      <c r="H29" s="9">
        <f t="shared" si="1"/>
        <v>3.8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Ale</v>
      </c>
      <c r="E30" s="10" t="s">
        <v>2</v>
      </c>
      <c r="F30" s="6">
        <f t="shared" si="0"/>
        <v>1</v>
      </c>
      <c r="G30" s="11">
        <v>3</v>
      </c>
      <c r="H30" s="9">
        <f t="shared" si="1"/>
        <v>3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Ale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Ale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Ale</v>
      </c>
      <c r="E33" s="10" t="s">
        <v>2</v>
      </c>
      <c r="F33" s="6">
        <f t="shared" si="0"/>
        <v>1</v>
      </c>
      <c r="G33" s="11">
        <v>1.8</v>
      </c>
      <c r="H33" s="9">
        <f t="shared" si="1"/>
        <v>1.8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Ale</v>
      </c>
      <c r="E34" s="10" t="s">
        <v>3</v>
      </c>
      <c r="F34" s="6">
        <f t="shared" si="0"/>
        <v>0</v>
      </c>
      <c r="G34" s="11"/>
      <c r="H34" s="9">
        <f t="shared" si="1"/>
        <v>0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Ale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Ale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Ale</v>
      </c>
      <c r="E37" s="10" t="s">
        <v>2</v>
      </c>
      <c r="F37" s="6">
        <f t="shared" si="0"/>
        <v>1</v>
      </c>
      <c r="G37" s="11">
        <v>1</v>
      </c>
      <c r="H37" s="9">
        <f t="shared" si="1"/>
        <v>1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Ale</v>
      </c>
      <c r="E38" s="10" t="s">
        <v>2</v>
      </c>
      <c r="F38" s="6">
        <f t="shared" si="0"/>
        <v>1</v>
      </c>
      <c r="G38" s="11">
        <v>3.5</v>
      </c>
      <c r="H38" s="9">
        <f t="shared" si="1"/>
        <v>3.5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Ale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Ale</v>
      </c>
      <c r="E40" s="10" t="s">
        <v>2</v>
      </c>
      <c r="F40" s="6">
        <f t="shared" si="0"/>
        <v>1</v>
      </c>
      <c r="G40" s="11">
        <v>3.5</v>
      </c>
      <c r="H40" s="9">
        <f t="shared" si="1"/>
        <v>3.5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Ale</v>
      </c>
      <c r="E41" s="10" t="s">
        <v>2</v>
      </c>
      <c r="F41" s="6">
        <f t="shared" si="0"/>
        <v>1</v>
      </c>
      <c r="G41" s="11">
        <v>4</v>
      </c>
      <c r="H41" s="9">
        <f t="shared" si="1"/>
        <v>4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Ale</v>
      </c>
      <c r="E42" s="10" t="s">
        <v>2</v>
      </c>
      <c r="F42" s="6">
        <f t="shared" si="0"/>
        <v>1</v>
      </c>
      <c r="G42" s="11">
        <v>4</v>
      </c>
      <c r="H42" s="9">
        <f t="shared" si="1"/>
        <v>4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Ale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Ale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Ale</v>
      </c>
      <c r="E45" s="10" t="s">
        <v>2</v>
      </c>
      <c r="F45" s="6">
        <f t="shared" si="0"/>
        <v>1</v>
      </c>
      <c r="G45" s="11">
        <v>1</v>
      </c>
      <c r="H45" s="9">
        <f t="shared" si="1"/>
        <v>1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Ale</v>
      </c>
      <c r="E46" s="10" t="s">
        <v>2</v>
      </c>
      <c r="F46" s="6">
        <f t="shared" si="0"/>
        <v>1</v>
      </c>
      <c r="G46" s="11">
        <v>1</v>
      </c>
      <c r="H46" s="9">
        <f t="shared" si="1"/>
        <v>1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Ale</v>
      </c>
      <c r="E47" s="10" t="s">
        <v>2</v>
      </c>
      <c r="F47" s="6">
        <f t="shared" si="0"/>
        <v>1</v>
      </c>
      <c r="G47" s="11">
        <v>1.5</v>
      </c>
      <c r="H47" s="9">
        <f t="shared" si="1"/>
        <v>1.5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Ale</v>
      </c>
      <c r="E48" s="10" t="s">
        <v>2</v>
      </c>
      <c r="F48" s="6">
        <f t="shared" si="0"/>
        <v>1</v>
      </c>
      <c r="G48" s="11">
        <v>3.5</v>
      </c>
      <c r="H48" s="9">
        <f t="shared" si="1"/>
        <v>3.5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Ale</v>
      </c>
      <c r="E49" s="10" t="s">
        <v>3</v>
      </c>
      <c r="F49" s="6">
        <f t="shared" si="0"/>
        <v>0</v>
      </c>
      <c r="G49" s="11"/>
      <c r="H49" s="9">
        <f t="shared" si="1"/>
        <v>0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Ale</v>
      </c>
      <c r="E50" s="10" t="s">
        <v>3</v>
      </c>
      <c r="F50" s="6">
        <f t="shared" si="0"/>
        <v>0</v>
      </c>
      <c r="G50" s="11"/>
      <c r="H50" s="9">
        <f t="shared" si="1"/>
        <v>0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Ale</v>
      </c>
      <c r="E51" s="10" t="s">
        <v>3</v>
      </c>
      <c r="F51" s="6">
        <f t="shared" si="0"/>
        <v>0</v>
      </c>
      <c r="G51" s="11"/>
      <c r="H51" s="9">
        <f t="shared" si="1"/>
        <v>0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Ale</v>
      </c>
      <c r="E52" s="10" t="s">
        <v>2</v>
      </c>
      <c r="F52" s="6">
        <f t="shared" si="0"/>
        <v>1</v>
      </c>
      <c r="G52" s="11">
        <v>3.5</v>
      </c>
      <c r="H52" s="9">
        <f t="shared" si="1"/>
        <v>3.5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Ale</v>
      </c>
      <c r="E53" s="10" t="s">
        <v>2</v>
      </c>
      <c r="F53" s="6">
        <f t="shared" si="0"/>
        <v>1</v>
      </c>
      <c r="G53" s="11">
        <v>3</v>
      </c>
      <c r="H53" s="9">
        <f t="shared" si="1"/>
        <v>3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Ale</v>
      </c>
      <c r="E54" s="10" t="s">
        <v>2</v>
      </c>
      <c r="F54" s="6">
        <f t="shared" si="0"/>
        <v>1</v>
      </c>
      <c r="G54" s="11">
        <v>2</v>
      </c>
      <c r="H54" s="9">
        <f t="shared" si="1"/>
        <v>2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Ale</v>
      </c>
      <c r="E55" s="10" t="s">
        <v>2</v>
      </c>
      <c r="F55" s="6">
        <f t="shared" si="0"/>
        <v>1</v>
      </c>
      <c r="G55" s="11">
        <v>1.8</v>
      </c>
      <c r="H55" s="9">
        <f t="shared" si="1"/>
        <v>1.8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Ale</v>
      </c>
      <c r="E56" s="10" t="s">
        <v>2</v>
      </c>
      <c r="F56" s="6">
        <f t="shared" si="0"/>
        <v>1</v>
      </c>
      <c r="G56" s="11">
        <v>2</v>
      </c>
      <c r="H56" s="9">
        <f t="shared" si="1"/>
        <v>2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Ale</v>
      </c>
      <c r="E57" s="10" t="s">
        <v>2</v>
      </c>
      <c r="F57" s="6">
        <f t="shared" si="0"/>
        <v>1</v>
      </c>
      <c r="G57" s="11">
        <v>4</v>
      </c>
      <c r="H57" s="9">
        <f t="shared" si="1"/>
        <v>4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Ale</v>
      </c>
      <c r="E58" s="10" t="s">
        <v>3</v>
      </c>
      <c r="F58" s="6">
        <f t="shared" si="0"/>
        <v>0</v>
      </c>
      <c r="G58" s="11"/>
      <c r="H58" s="9">
        <f t="shared" si="1"/>
        <v>0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Ale</v>
      </c>
      <c r="E59" s="10" t="s">
        <v>2</v>
      </c>
      <c r="F59" s="6">
        <f t="shared" si="0"/>
        <v>1</v>
      </c>
      <c r="G59" s="11">
        <v>2.5</v>
      </c>
      <c r="H59" s="9">
        <f t="shared" si="1"/>
        <v>2.5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A09E29DF-719F-C749-B0D8-C6EF71402E4E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BD31151C-08DD-1943-9925-FE85B346A780}">
      <formula1>0</formula1>
      <formula2>5</formula2>
    </dataValidation>
    <dataValidation type="list" allowBlank="1" showInputMessage="1" showErrorMessage="1" promptTitle="Have you seen the film?" sqref="E3:E59" xr:uid="{5A3E9B09-79BC-FB40-994C-70271F3782EE}">
      <formula1>$J$1:$J$2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2F96-A3CC-1C48-83D9-7AC68B688CA0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8.1640625" style="6" bestFit="1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85</v>
      </c>
      <c r="E3" s="10" t="s">
        <v>2</v>
      </c>
      <c r="F3" s="6">
        <f>IF(E3="Yes",1,0)</f>
        <v>1</v>
      </c>
      <c r="G3" s="11">
        <v>4</v>
      </c>
      <c r="H3" s="9">
        <f>F3*G3</f>
        <v>4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Roman Bamesberger</v>
      </c>
      <c r="E4" s="10" t="s">
        <v>3</v>
      </c>
      <c r="F4" s="6">
        <f t="shared" ref="F4:F59" si="0">IF(E4="Yes",1,0)</f>
        <v>0</v>
      </c>
      <c r="G4" s="11"/>
      <c r="H4" s="9">
        <f t="shared" ref="H4:H59" si="1">F4*G4</f>
        <v>0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Roman Bamesberger</v>
      </c>
      <c r="E5" s="10" t="s">
        <v>2</v>
      </c>
      <c r="F5" s="6">
        <f t="shared" si="0"/>
        <v>1</v>
      </c>
      <c r="G5" s="11">
        <v>4</v>
      </c>
      <c r="H5" s="9">
        <f t="shared" si="1"/>
        <v>4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Roman Bamesberger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Roman Bamesberger</v>
      </c>
      <c r="E7" s="10" t="s">
        <v>2</v>
      </c>
      <c r="F7" s="6">
        <f t="shared" si="0"/>
        <v>1</v>
      </c>
      <c r="G7" s="11">
        <v>3</v>
      </c>
      <c r="H7" s="9">
        <f t="shared" si="1"/>
        <v>3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Roman Bamesberger</v>
      </c>
      <c r="E8" s="10" t="s">
        <v>2</v>
      </c>
      <c r="F8" s="6">
        <f t="shared" si="0"/>
        <v>1</v>
      </c>
      <c r="G8" s="11">
        <v>4</v>
      </c>
      <c r="H8" s="9">
        <f t="shared" si="1"/>
        <v>4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Roman Bamesberger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Roman Bamesberger</v>
      </c>
      <c r="E10" s="10" t="s">
        <v>2</v>
      </c>
      <c r="F10" s="6">
        <f t="shared" si="0"/>
        <v>1</v>
      </c>
      <c r="G10" s="11">
        <v>3</v>
      </c>
      <c r="H10" s="9">
        <f t="shared" si="1"/>
        <v>3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Roman Bamesberger</v>
      </c>
      <c r="E11" s="10" t="s">
        <v>2</v>
      </c>
      <c r="F11" s="6">
        <f t="shared" si="0"/>
        <v>1</v>
      </c>
      <c r="G11" s="11">
        <v>5</v>
      </c>
      <c r="H11" s="9">
        <f t="shared" si="1"/>
        <v>5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Roman Bamesberger</v>
      </c>
      <c r="E12" s="10" t="s">
        <v>2</v>
      </c>
      <c r="F12" s="6">
        <f t="shared" si="0"/>
        <v>1</v>
      </c>
      <c r="G12" s="11">
        <v>5</v>
      </c>
      <c r="H12" s="9">
        <f t="shared" si="1"/>
        <v>5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Roman Bamesberger</v>
      </c>
      <c r="E13" s="10" t="s">
        <v>2</v>
      </c>
      <c r="F13" s="6">
        <f t="shared" si="0"/>
        <v>1</v>
      </c>
      <c r="G13" s="11">
        <v>3</v>
      </c>
      <c r="H13" s="9">
        <f t="shared" si="1"/>
        <v>3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Roman Bamesberger</v>
      </c>
      <c r="E14" s="10" t="s">
        <v>2</v>
      </c>
      <c r="F14" s="6">
        <f t="shared" si="0"/>
        <v>1</v>
      </c>
      <c r="G14" s="11">
        <v>4</v>
      </c>
      <c r="H14" s="9">
        <f t="shared" si="1"/>
        <v>4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Roman Bamesberger</v>
      </c>
      <c r="E15" s="10" t="s">
        <v>2</v>
      </c>
      <c r="F15" s="6">
        <f t="shared" si="0"/>
        <v>1</v>
      </c>
      <c r="G15" s="11">
        <v>5</v>
      </c>
      <c r="H15" s="9">
        <f t="shared" si="1"/>
        <v>5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Roman Bamesberger</v>
      </c>
      <c r="E16" s="10" t="s">
        <v>2</v>
      </c>
      <c r="F16" s="6">
        <f t="shared" si="0"/>
        <v>1</v>
      </c>
      <c r="G16" s="11">
        <v>3</v>
      </c>
      <c r="H16" s="9">
        <f t="shared" si="1"/>
        <v>3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Roman Bamesberger</v>
      </c>
      <c r="E17" s="10" t="s">
        <v>2</v>
      </c>
      <c r="F17" s="6">
        <f t="shared" si="0"/>
        <v>1</v>
      </c>
      <c r="G17" s="11">
        <v>5</v>
      </c>
      <c r="H17" s="9">
        <f t="shared" si="1"/>
        <v>5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Roman Bamesberger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Roman Bamesberger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Roman Bamesberger</v>
      </c>
      <c r="E20" s="10" t="s">
        <v>2</v>
      </c>
      <c r="F20" s="6">
        <f t="shared" si="0"/>
        <v>1</v>
      </c>
      <c r="G20" s="11">
        <v>2</v>
      </c>
      <c r="H20" s="9">
        <f t="shared" si="1"/>
        <v>2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Roman Bamesberger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Roman Bamesberger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Roman Bamesberger</v>
      </c>
      <c r="E23" s="10" t="s">
        <v>3</v>
      </c>
      <c r="F23" s="6">
        <f t="shared" si="0"/>
        <v>0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Roman Bamesberger</v>
      </c>
      <c r="E24" s="10" t="s">
        <v>2</v>
      </c>
      <c r="F24" s="6">
        <f t="shared" si="0"/>
        <v>1</v>
      </c>
      <c r="G24" s="11">
        <v>4</v>
      </c>
      <c r="H24" s="9">
        <f t="shared" si="1"/>
        <v>4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Roman Bamesberger</v>
      </c>
      <c r="E25" s="10" t="s">
        <v>2</v>
      </c>
      <c r="F25" s="6">
        <f t="shared" si="0"/>
        <v>1</v>
      </c>
      <c r="G25" s="11">
        <v>4</v>
      </c>
      <c r="H25" s="9">
        <f t="shared" si="1"/>
        <v>4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Roman Bamesberger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Roman Bamesberger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Roman Bamesberger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Roman Bamesberger</v>
      </c>
      <c r="E29" s="10" t="s">
        <v>3</v>
      </c>
      <c r="F29" s="6">
        <f t="shared" si="0"/>
        <v>0</v>
      </c>
      <c r="G29" s="11"/>
      <c r="H29" s="9">
        <f t="shared" si="1"/>
        <v>0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Roman Bamesberger</v>
      </c>
      <c r="E30" s="10" t="s">
        <v>2</v>
      </c>
      <c r="F30" s="6">
        <f t="shared" si="0"/>
        <v>1</v>
      </c>
      <c r="G30" s="11">
        <v>5</v>
      </c>
      <c r="H30" s="9">
        <f t="shared" si="1"/>
        <v>5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Roman Bamesberger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Roman Bamesberger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Roman Bamesberger</v>
      </c>
      <c r="E33" s="10" t="s">
        <v>3</v>
      </c>
      <c r="F33" s="6">
        <f t="shared" si="0"/>
        <v>0</v>
      </c>
      <c r="G33" s="11"/>
      <c r="H33" s="9">
        <f t="shared" si="1"/>
        <v>0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Roman Bamesberger</v>
      </c>
      <c r="E34" s="10" t="s">
        <v>2</v>
      </c>
      <c r="F34" s="6">
        <f t="shared" si="0"/>
        <v>1</v>
      </c>
      <c r="G34" s="11">
        <v>3</v>
      </c>
      <c r="H34" s="9">
        <f t="shared" si="1"/>
        <v>3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Roman Bamesberger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Roman Bamesberger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Roman Bamesberger</v>
      </c>
      <c r="E37" s="10" t="s">
        <v>2</v>
      </c>
      <c r="F37" s="6">
        <f t="shared" si="0"/>
        <v>1</v>
      </c>
      <c r="G37" s="11">
        <v>4</v>
      </c>
      <c r="H37" s="9">
        <f t="shared" si="1"/>
        <v>4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Roman Bamesberger</v>
      </c>
      <c r="E38" s="10" t="s">
        <v>2</v>
      </c>
      <c r="F38" s="6">
        <f t="shared" si="0"/>
        <v>1</v>
      </c>
      <c r="G38" s="11">
        <v>3</v>
      </c>
      <c r="H38" s="9">
        <f t="shared" si="1"/>
        <v>3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Roman Bamesberger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Roman Bamesberger</v>
      </c>
      <c r="E40" s="10" t="s">
        <v>2</v>
      </c>
      <c r="F40" s="6">
        <f t="shared" si="0"/>
        <v>1</v>
      </c>
      <c r="G40" s="11">
        <v>5</v>
      </c>
      <c r="H40" s="9">
        <f t="shared" si="1"/>
        <v>5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Roman Bamesberger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Roman Bamesberger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Roman Bamesberger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Roman Bamesberger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Roman Bamesberger</v>
      </c>
      <c r="E45" s="10" t="s">
        <v>3</v>
      </c>
      <c r="F45" s="6">
        <f t="shared" si="0"/>
        <v>0</v>
      </c>
      <c r="G45" s="11"/>
      <c r="H45" s="9">
        <f t="shared" si="1"/>
        <v>0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Roman Bamesberger</v>
      </c>
      <c r="E46" s="10" t="s">
        <v>2</v>
      </c>
      <c r="F46" s="6">
        <f t="shared" si="0"/>
        <v>1</v>
      </c>
      <c r="G46" s="11">
        <v>5</v>
      </c>
      <c r="H46" s="9">
        <f t="shared" si="1"/>
        <v>5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Roman Bamesberger</v>
      </c>
      <c r="E47" s="10" t="s">
        <v>2</v>
      </c>
      <c r="F47" s="6">
        <f t="shared" si="0"/>
        <v>1</v>
      </c>
      <c r="G47" s="11">
        <v>2</v>
      </c>
      <c r="H47" s="9">
        <f t="shared" si="1"/>
        <v>2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Roman Bamesberger</v>
      </c>
      <c r="E48" s="10" t="s">
        <v>2</v>
      </c>
      <c r="F48" s="6">
        <f t="shared" si="0"/>
        <v>1</v>
      </c>
      <c r="G48" s="11">
        <v>4</v>
      </c>
      <c r="H48" s="9">
        <f t="shared" si="1"/>
        <v>4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Roman Bamesberger</v>
      </c>
      <c r="E49" s="10" t="s">
        <v>2</v>
      </c>
      <c r="F49" s="6">
        <f t="shared" si="0"/>
        <v>1</v>
      </c>
      <c r="G49" s="11">
        <v>4</v>
      </c>
      <c r="H49" s="9">
        <f t="shared" si="1"/>
        <v>4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Roman Bamesberger</v>
      </c>
      <c r="E50" s="10" t="s">
        <v>3</v>
      </c>
      <c r="F50" s="6">
        <f t="shared" si="0"/>
        <v>0</v>
      </c>
      <c r="G50" s="11"/>
      <c r="H50" s="9">
        <f t="shared" si="1"/>
        <v>0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Roman Bamesberger</v>
      </c>
      <c r="E51" s="10" t="s">
        <v>2</v>
      </c>
      <c r="F51" s="6">
        <f t="shared" si="0"/>
        <v>1</v>
      </c>
      <c r="G51" s="11">
        <v>3</v>
      </c>
      <c r="H51" s="9">
        <f t="shared" si="1"/>
        <v>3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Roman Bamesberger</v>
      </c>
      <c r="E52" s="10" t="s">
        <v>2</v>
      </c>
      <c r="F52" s="6">
        <f t="shared" si="0"/>
        <v>1</v>
      </c>
      <c r="G52" s="11">
        <v>4</v>
      </c>
      <c r="H52" s="9">
        <f t="shared" si="1"/>
        <v>4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Roman Bamesberger</v>
      </c>
      <c r="E53" s="10" t="s">
        <v>2</v>
      </c>
      <c r="F53" s="6">
        <f t="shared" si="0"/>
        <v>1</v>
      </c>
      <c r="G53" s="11">
        <v>5</v>
      </c>
      <c r="H53" s="9">
        <f t="shared" si="1"/>
        <v>5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Roman Bamesberger</v>
      </c>
      <c r="E54" s="10" t="s">
        <v>2</v>
      </c>
      <c r="F54" s="6">
        <f t="shared" si="0"/>
        <v>1</v>
      </c>
      <c r="G54" s="11">
        <v>4</v>
      </c>
      <c r="H54" s="9">
        <f t="shared" si="1"/>
        <v>4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Roman Bamesberger</v>
      </c>
      <c r="E55" s="10" t="s">
        <v>2</v>
      </c>
      <c r="F55" s="6">
        <f t="shared" si="0"/>
        <v>1</v>
      </c>
      <c r="G55" s="11">
        <v>3</v>
      </c>
      <c r="H55" s="9">
        <f t="shared" si="1"/>
        <v>3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Roman Bamesberger</v>
      </c>
      <c r="E56" s="10" t="s">
        <v>3</v>
      </c>
      <c r="F56" s="6">
        <f t="shared" si="0"/>
        <v>0</v>
      </c>
      <c r="G56" s="11"/>
      <c r="H56" s="9">
        <f t="shared" si="1"/>
        <v>0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Roman Bamesberger</v>
      </c>
      <c r="E57" s="10" t="s">
        <v>2</v>
      </c>
      <c r="F57" s="6">
        <f t="shared" si="0"/>
        <v>1</v>
      </c>
      <c r="G57" s="11">
        <v>5</v>
      </c>
      <c r="H57" s="9">
        <f t="shared" si="1"/>
        <v>5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Roman Bamesberger</v>
      </c>
      <c r="E58" s="10" t="s">
        <v>2</v>
      </c>
      <c r="F58" s="6">
        <f t="shared" si="0"/>
        <v>1</v>
      </c>
      <c r="G58" s="11">
        <v>4</v>
      </c>
      <c r="H58" s="9">
        <f t="shared" si="1"/>
        <v>4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Roman Bamesberger</v>
      </c>
      <c r="E59" s="10" t="s">
        <v>2</v>
      </c>
      <c r="F59" s="6">
        <f t="shared" si="0"/>
        <v>1</v>
      </c>
      <c r="G59" s="11">
        <v>4</v>
      </c>
      <c r="H59" s="9">
        <f t="shared" si="1"/>
        <v>4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91065D20-333C-F047-BD22-CF0678BD7CBD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D557BB26-D972-C54E-AC43-DFDA959DA749}">
      <formula1>0</formula1>
      <formula2>5</formula2>
    </dataValidation>
    <dataValidation type="list" allowBlank="1" showInputMessage="1" showErrorMessage="1" promptTitle="Have you seen the film?" sqref="E3:E59" xr:uid="{4AD7F937-F2C8-AB45-8E49-D76D0CCC046C}">
      <formula1>$J$1:$J$2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80BF-F962-594F-B151-A5913B4DA614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86</v>
      </c>
      <c r="E3" s="10" t="s">
        <v>3</v>
      </c>
      <c r="F3" s="6">
        <f>IF(E3="Yes",1,0)</f>
        <v>0</v>
      </c>
      <c r="G3" s="11"/>
      <c r="H3" s="9">
        <f>F3*G3</f>
        <v>0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Christoph Burger</v>
      </c>
      <c r="E4" s="10" t="s">
        <v>2</v>
      </c>
      <c r="F4" s="6">
        <f t="shared" ref="F4:F59" si="0">IF(E4="Yes",1,0)</f>
        <v>1</v>
      </c>
      <c r="G4" s="11">
        <v>5</v>
      </c>
      <c r="H4" s="9">
        <f t="shared" ref="H4:H59" si="1">F4*G4</f>
        <v>5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Christoph Burger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Christoph Burger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Christoph Burger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Christoph Burger</v>
      </c>
      <c r="E8" s="10" t="s">
        <v>2</v>
      </c>
      <c r="F8" s="6">
        <f t="shared" si="0"/>
        <v>1</v>
      </c>
      <c r="G8" s="11">
        <v>4</v>
      </c>
      <c r="H8" s="9">
        <f t="shared" si="1"/>
        <v>4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Christoph Burger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Christoph Burger</v>
      </c>
      <c r="E10" s="10" t="s">
        <v>2</v>
      </c>
      <c r="F10" s="6">
        <f t="shared" si="0"/>
        <v>1</v>
      </c>
      <c r="G10" s="11">
        <v>3</v>
      </c>
      <c r="H10" s="9">
        <f t="shared" si="1"/>
        <v>3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Christoph Burger</v>
      </c>
      <c r="E11" s="10" t="s">
        <v>3</v>
      </c>
      <c r="F11" s="6">
        <f t="shared" si="0"/>
        <v>0</v>
      </c>
      <c r="G11" s="11"/>
      <c r="H11" s="9">
        <f t="shared" si="1"/>
        <v>0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Christoph Burger</v>
      </c>
      <c r="E12" s="10" t="s">
        <v>2</v>
      </c>
      <c r="F12" s="6">
        <f t="shared" si="0"/>
        <v>1</v>
      </c>
      <c r="G12" s="11">
        <v>4</v>
      </c>
      <c r="H12" s="9">
        <f t="shared" si="1"/>
        <v>4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Christoph Burger</v>
      </c>
      <c r="E13" s="10" t="s">
        <v>2</v>
      </c>
      <c r="F13" s="6">
        <f t="shared" si="0"/>
        <v>1</v>
      </c>
      <c r="G13" s="11">
        <v>4</v>
      </c>
      <c r="H13" s="9">
        <f t="shared" si="1"/>
        <v>4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Christoph Burger</v>
      </c>
      <c r="E14" s="10" t="s">
        <v>3</v>
      </c>
      <c r="F14" s="6">
        <f t="shared" si="0"/>
        <v>0</v>
      </c>
      <c r="G14" s="11"/>
      <c r="H14" s="9">
        <f t="shared" si="1"/>
        <v>0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Christoph Burger</v>
      </c>
      <c r="E15" s="10" t="s">
        <v>2</v>
      </c>
      <c r="F15" s="6">
        <f t="shared" si="0"/>
        <v>1</v>
      </c>
      <c r="G15" s="11">
        <v>5</v>
      </c>
      <c r="H15" s="9">
        <f t="shared" si="1"/>
        <v>5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Christoph Burger</v>
      </c>
      <c r="E16" s="10" t="s">
        <v>3</v>
      </c>
      <c r="F16" s="6">
        <f t="shared" si="0"/>
        <v>0</v>
      </c>
      <c r="G16" s="11"/>
      <c r="H16" s="9">
        <f t="shared" si="1"/>
        <v>0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Christoph Burger</v>
      </c>
      <c r="E17" s="10" t="s">
        <v>2</v>
      </c>
      <c r="F17" s="6">
        <f t="shared" si="0"/>
        <v>1</v>
      </c>
      <c r="G17" s="11">
        <v>5</v>
      </c>
      <c r="H17" s="9">
        <f t="shared" si="1"/>
        <v>5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Christoph Burger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Christoph Burger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Christoph Burger</v>
      </c>
      <c r="E20" s="10" t="s">
        <v>3</v>
      </c>
      <c r="F20" s="6">
        <f t="shared" si="0"/>
        <v>0</v>
      </c>
      <c r="G20" s="11"/>
      <c r="H20" s="9">
        <f t="shared" si="1"/>
        <v>0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Christoph Burger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Christoph Burger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Christoph Burger</v>
      </c>
      <c r="E23" s="10" t="s">
        <v>3</v>
      </c>
      <c r="F23" s="6">
        <f t="shared" si="0"/>
        <v>0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Christoph Burger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Christoph Burger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Christoph Burger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Christoph Burger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Christoph Burger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Christoph Burger</v>
      </c>
      <c r="E29" s="10" t="s">
        <v>3</v>
      </c>
      <c r="F29" s="6">
        <f t="shared" si="0"/>
        <v>0</v>
      </c>
      <c r="G29" s="11"/>
      <c r="H29" s="9">
        <f t="shared" si="1"/>
        <v>0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Christoph Burger</v>
      </c>
      <c r="E30" s="10" t="s">
        <v>2</v>
      </c>
      <c r="F30" s="6">
        <f t="shared" si="0"/>
        <v>1</v>
      </c>
      <c r="G30" s="11">
        <v>5</v>
      </c>
      <c r="H30" s="9">
        <f t="shared" si="1"/>
        <v>5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Christoph Burger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Christoph Burger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Christoph Burger</v>
      </c>
      <c r="E33" s="10" t="s">
        <v>2</v>
      </c>
      <c r="F33" s="6">
        <f t="shared" si="0"/>
        <v>1</v>
      </c>
      <c r="G33" s="11">
        <v>4</v>
      </c>
      <c r="H33" s="9">
        <f t="shared" si="1"/>
        <v>4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Christoph Burger</v>
      </c>
      <c r="E34" s="10" t="s">
        <v>2</v>
      </c>
      <c r="F34" s="6">
        <f t="shared" si="0"/>
        <v>1</v>
      </c>
      <c r="G34" s="11">
        <v>3</v>
      </c>
      <c r="H34" s="9">
        <f t="shared" si="1"/>
        <v>3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Christoph Burger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Christoph Burger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Christoph Burger</v>
      </c>
      <c r="E37" s="10" t="s">
        <v>3</v>
      </c>
      <c r="F37" s="6">
        <f t="shared" si="0"/>
        <v>0</v>
      </c>
      <c r="G37" s="11"/>
      <c r="H37" s="9">
        <f t="shared" si="1"/>
        <v>0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Christoph Burger</v>
      </c>
      <c r="E38" s="10" t="s">
        <v>2</v>
      </c>
      <c r="F38" s="6">
        <f t="shared" si="0"/>
        <v>1</v>
      </c>
      <c r="G38" s="11">
        <v>4</v>
      </c>
      <c r="H38" s="9">
        <f t="shared" si="1"/>
        <v>4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Christoph Burger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Christoph Burger</v>
      </c>
      <c r="E40" s="10" t="s">
        <v>2</v>
      </c>
      <c r="F40" s="6">
        <f t="shared" si="0"/>
        <v>1</v>
      </c>
      <c r="G40" s="11">
        <v>5</v>
      </c>
      <c r="H40" s="9">
        <f t="shared" si="1"/>
        <v>5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Christoph Burger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Christoph Burger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Christoph Burger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Christoph Burger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Christoph Burger</v>
      </c>
      <c r="E45" s="10" t="s">
        <v>2</v>
      </c>
      <c r="F45" s="6">
        <f t="shared" si="0"/>
        <v>1</v>
      </c>
      <c r="G45" s="11">
        <v>5</v>
      </c>
      <c r="H45" s="9">
        <f t="shared" si="1"/>
        <v>5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Christoph Burger</v>
      </c>
      <c r="E46" s="10" t="s">
        <v>2</v>
      </c>
      <c r="F46" s="6">
        <f t="shared" si="0"/>
        <v>1</v>
      </c>
      <c r="G46" s="11">
        <v>4</v>
      </c>
      <c r="H46" s="9">
        <f t="shared" si="1"/>
        <v>4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Christoph Burger</v>
      </c>
      <c r="E47" s="10" t="s">
        <v>2</v>
      </c>
      <c r="F47" s="6">
        <f t="shared" si="0"/>
        <v>1</v>
      </c>
      <c r="G47" s="11">
        <v>2</v>
      </c>
      <c r="H47" s="9">
        <f t="shared" si="1"/>
        <v>2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Christoph Burger</v>
      </c>
      <c r="E48" s="10" t="s">
        <v>3</v>
      </c>
      <c r="F48" s="6">
        <f t="shared" si="0"/>
        <v>0</v>
      </c>
      <c r="G48" s="11"/>
      <c r="H48" s="9">
        <f t="shared" si="1"/>
        <v>0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Christoph Burger</v>
      </c>
      <c r="E49" s="10" t="s">
        <v>3</v>
      </c>
      <c r="F49" s="6">
        <f t="shared" si="0"/>
        <v>0</v>
      </c>
      <c r="G49" s="11"/>
      <c r="H49" s="9">
        <f t="shared" si="1"/>
        <v>0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Christoph Burger</v>
      </c>
      <c r="E50" s="10" t="s">
        <v>3</v>
      </c>
      <c r="F50" s="6">
        <f t="shared" si="0"/>
        <v>0</v>
      </c>
      <c r="G50" s="11"/>
      <c r="H50" s="9">
        <f t="shared" si="1"/>
        <v>0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Christoph Burger</v>
      </c>
      <c r="E51" s="10" t="s">
        <v>3</v>
      </c>
      <c r="F51" s="6">
        <f t="shared" si="0"/>
        <v>0</v>
      </c>
      <c r="G51" s="11"/>
      <c r="H51" s="9">
        <f t="shared" si="1"/>
        <v>0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Christoph Burger</v>
      </c>
      <c r="E52" s="10" t="s">
        <v>2</v>
      </c>
      <c r="F52" s="6">
        <f t="shared" si="0"/>
        <v>1</v>
      </c>
      <c r="G52" s="11">
        <v>3</v>
      </c>
      <c r="H52" s="9">
        <f t="shared" si="1"/>
        <v>3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Christoph Burger</v>
      </c>
      <c r="E53" s="10" t="s">
        <v>2</v>
      </c>
      <c r="F53" s="6">
        <f t="shared" si="0"/>
        <v>1</v>
      </c>
      <c r="G53" s="11">
        <v>4</v>
      </c>
      <c r="H53" s="9">
        <f t="shared" si="1"/>
        <v>4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Christoph Burger</v>
      </c>
      <c r="E54" s="10" t="s">
        <v>3</v>
      </c>
      <c r="F54" s="6">
        <f t="shared" si="0"/>
        <v>0</v>
      </c>
      <c r="G54" s="11"/>
      <c r="H54" s="9">
        <f t="shared" si="1"/>
        <v>0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Christoph Burger</v>
      </c>
      <c r="E55" s="10" t="s">
        <v>3</v>
      </c>
      <c r="F55" s="6">
        <f t="shared" si="0"/>
        <v>0</v>
      </c>
      <c r="G55" s="11"/>
      <c r="H55" s="9">
        <f t="shared" si="1"/>
        <v>0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Christoph Burger</v>
      </c>
      <c r="E56" s="10" t="s">
        <v>2</v>
      </c>
      <c r="F56" s="6">
        <f t="shared" si="0"/>
        <v>1</v>
      </c>
      <c r="G56" s="11">
        <v>4</v>
      </c>
      <c r="H56" s="9">
        <f t="shared" si="1"/>
        <v>4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Christoph Burger</v>
      </c>
      <c r="E57" s="10" t="s">
        <v>3</v>
      </c>
      <c r="F57" s="6">
        <f t="shared" si="0"/>
        <v>0</v>
      </c>
      <c r="G57" s="11"/>
      <c r="H57" s="9">
        <f t="shared" si="1"/>
        <v>0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Christoph Burger</v>
      </c>
      <c r="E58" s="10" t="s">
        <v>3</v>
      </c>
      <c r="F58" s="6">
        <f t="shared" si="0"/>
        <v>0</v>
      </c>
      <c r="G58" s="11"/>
      <c r="H58" s="9">
        <f t="shared" si="1"/>
        <v>0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Christoph Burger</v>
      </c>
      <c r="E59" s="10" t="s">
        <v>3</v>
      </c>
      <c r="F59" s="6">
        <f t="shared" si="0"/>
        <v>0</v>
      </c>
      <c r="G59" s="11"/>
      <c r="H59" s="9">
        <f t="shared" si="1"/>
        <v>0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0DDB8737-5184-CD4F-B87F-D8D0C817304D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A454AA9E-03F9-854F-B893-41508A8C11C6}">
      <formula1>0</formula1>
      <formula2>5</formula2>
    </dataValidation>
    <dataValidation type="list" allowBlank="1" showInputMessage="1" showErrorMessage="1" promptTitle="Have you seen the film?" sqref="E3:E59" xr:uid="{413075E8-137B-8C4D-9BD9-4BD7E69618AB}">
      <formula1>$J$1:$J$2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4DE2-1C51-1247-9E78-1FBE3A38C34F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8.16406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87</v>
      </c>
      <c r="E3" s="10" t="s">
        <v>3</v>
      </c>
      <c r="F3" s="6">
        <f>IF(E3="Yes",1,0)</f>
        <v>0</v>
      </c>
      <c r="G3" s="11"/>
      <c r="H3" s="9">
        <f>F3*G3</f>
        <v>0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Michael Stoecklmayr</v>
      </c>
      <c r="E4" s="10" t="s">
        <v>3</v>
      </c>
      <c r="F4" s="6">
        <f t="shared" ref="F4:F59" si="0">IF(E4="Yes",1,0)</f>
        <v>0</v>
      </c>
      <c r="G4" s="11"/>
      <c r="H4" s="9">
        <f t="shared" ref="H4:H59" si="1">F4*G4</f>
        <v>0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Michael Stoecklmayr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Michael Stoecklmayr</v>
      </c>
      <c r="E6" s="10" t="s">
        <v>2</v>
      </c>
      <c r="F6" s="6">
        <f t="shared" si="0"/>
        <v>1</v>
      </c>
      <c r="G6" s="11">
        <v>2</v>
      </c>
      <c r="H6" s="9">
        <f t="shared" si="1"/>
        <v>2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Michael Stoecklmayr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Michael Stoecklmayr</v>
      </c>
      <c r="E8" s="10" t="s">
        <v>3</v>
      </c>
      <c r="F8" s="6">
        <f t="shared" si="0"/>
        <v>0</v>
      </c>
      <c r="G8" s="11"/>
      <c r="H8" s="9">
        <f t="shared" si="1"/>
        <v>0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Michael Stoecklmayr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Michael Stoecklmayr</v>
      </c>
      <c r="E10" s="10" t="s">
        <v>3</v>
      </c>
      <c r="F10" s="6">
        <f t="shared" si="0"/>
        <v>0</v>
      </c>
      <c r="G10" s="11"/>
      <c r="H10" s="9">
        <f t="shared" si="1"/>
        <v>0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Michael Stoecklmayr</v>
      </c>
      <c r="E11" s="10" t="s">
        <v>3</v>
      </c>
      <c r="F11" s="6">
        <f t="shared" si="0"/>
        <v>0</v>
      </c>
      <c r="G11" s="11"/>
      <c r="H11" s="9">
        <f t="shared" si="1"/>
        <v>0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Michael Stoecklmayr</v>
      </c>
      <c r="E12" s="10" t="s">
        <v>2</v>
      </c>
      <c r="F12" s="6">
        <f t="shared" si="0"/>
        <v>1</v>
      </c>
      <c r="G12" s="11">
        <v>4</v>
      </c>
      <c r="H12" s="9">
        <f t="shared" si="1"/>
        <v>4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Michael Stoecklmayr</v>
      </c>
      <c r="E13" s="10" t="s">
        <v>3</v>
      </c>
      <c r="F13" s="6">
        <f t="shared" si="0"/>
        <v>0</v>
      </c>
      <c r="G13" s="11"/>
      <c r="H13" s="9">
        <f t="shared" si="1"/>
        <v>0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Michael Stoecklmayr</v>
      </c>
      <c r="E14" s="10" t="s">
        <v>3</v>
      </c>
      <c r="F14" s="6">
        <f t="shared" si="0"/>
        <v>0</v>
      </c>
      <c r="G14" s="11"/>
      <c r="H14" s="9">
        <f t="shared" si="1"/>
        <v>0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Michael Stoecklmayr</v>
      </c>
      <c r="E15" s="10" t="s">
        <v>3</v>
      </c>
      <c r="F15" s="6">
        <f t="shared" si="0"/>
        <v>0</v>
      </c>
      <c r="G15" s="11"/>
      <c r="H15" s="9">
        <f t="shared" si="1"/>
        <v>0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Michael Stoecklmayr</v>
      </c>
      <c r="E16" s="10" t="s">
        <v>2</v>
      </c>
      <c r="F16" s="6">
        <f t="shared" si="0"/>
        <v>1</v>
      </c>
      <c r="G16" s="11">
        <v>2</v>
      </c>
      <c r="H16" s="9">
        <f t="shared" si="1"/>
        <v>2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Michael Stoecklmayr</v>
      </c>
      <c r="E17" s="10" t="s">
        <v>2</v>
      </c>
      <c r="F17" s="6">
        <f t="shared" si="0"/>
        <v>1</v>
      </c>
      <c r="G17" s="11">
        <v>5</v>
      </c>
      <c r="H17" s="9">
        <f t="shared" si="1"/>
        <v>5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Michael Stoecklmayr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Michael Stoecklmayr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Michael Stoecklmayr</v>
      </c>
      <c r="E20" s="10" t="s">
        <v>2</v>
      </c>
      <c r="F20" s="6">
        <f t="shared" si="0"/>
        <v>1</v>
      </c>
      <c r="G20" s="11">
        <v>2</v>
      </c>
      <c r="H20" s="9">
        <f t="shared" si="1"/>
        <v>2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Michael Stoecklmayr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Michael Stoecklmayr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Michael Stoecklmayr</v>
      </c>
      <c r="E23" s="10" t="s">
        <v>2</v>
      </c>
      <c r="F23" s="6">
        <f t="shared" si="0"/>
        <v>1</v>
      </c>
      <c r="G23" s="11">
        <v>4</v>
      </c>
      <c r="H23" s="9">
        <f t="shared" si="1"/>
        <v>4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Michael Stoecklmayr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Michael Stoecklmayr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Michael Stoecklmayr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Michael Stoecklmayr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Michael Stoecklmayr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Michael Stoecklmayr</v>
      </c>
      <c r="E29" s="10" t="s">
        <v>3</v>
      </c>
      <c r="F29" s="6">
        <f t="shared" si="0"/>
        <v>0</v>
      </c>
      <c r="G29" s="11"/>
      <c r="H29" s="9">
        <f t="shared" si="1"/>
        <v>0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Michael Stoecklmayr</v>
      </c>
      <c r="E30" s="10" t="s">
        <v>2</v>
      </c>
      <c r="F30" s="6">
        <f t="shared" si="0"/>
        <v>1</v>
      </c>
      <c r="G30" s="11">
        <v>4</v>
      </c>
      <c r="H30" s="9">
        <f t="shared" si="1"/>
        <v>4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Michael Stoecklmayr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Michael Stoecklmayr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Michael Stoecklmayr</v>
      </c>
      <c r="E33" s="10" t="s">
        <v>2</v>
      </c>
      <c r="F33" s="6">
        <f t="shared" si="0"/>
        <v>1</v>
      </c>
      <c r="G33" s="11">
        <v>4</v>
      </c>
      <c r="H33" s="9">
        <f t="shared" si="1"/>
        <v>4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Michael Stoecklmayr</v>
      </c>
      <c r="E34" s="10" t="s">
        <v>2</v>
      </c>
      <c r="F34" s="6">
        <f t="shared" si="0"/>
        <v>1</v>
      </c>
      <c r="G34" s="11">
        <v>2</v>
      </c>
      <c r="H34" s="9">
        <f t="shared" si="1"/>
        <v>2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Michael Stoecklmayr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Michael Stoecklmayr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Michael Stoecklmayr</v>
      </c>
      <c r="E37" s="10" t="s">
        <v>2</v>
      </c>
      <c r="F37" s="6">
        <f t="shared" si="0"/>
        <v>1</v>
      </c>
      <c r="G37" s="11">
        <v>4</v>
      </c>
      <c r="H37" s="9">
        <f t="shared" si="1"/>
        <v>4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Michael Stoecklmayr</v>
      </c>
      <c r="E38" s="10" t="s">
        <v>3</v>
      </c>
      <c r="F38" s="6">
        <f t="shared" si="0"/>
        <v>0</v>
      </c>
      <c r="G38" s="11"/>
      <c r="H38" s="9">
        <f t="shared" si="1"/>
        <v>0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Michael Stoecklmayr</v>
      </c>
      <c r="E39" s="10" t="s">
        <v>2</v>
      </c>
      <c r="F39" s="6">
        <f t="shared" si="0"/>
        <v>1</v>
      </c>
      <c r="G39" s="11">
        <v>3</v>
      </c>
      <c r="H39" s="9">
        <f t="shared" si="1"/>
        <v>3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Michael Stoecklmayr</v>
      </c>
      <c r="E40" s="10" t="s">
        <v>2</v>
      </c>
      <c r="F40" s="6">
        <f t="shared" si="0"/>
        <v>1</v>
      </c>
      <c r="G40" s="11">
        <v>5</v>
      </c>
      <c r="H40" s="9">
        <f t="shared" si="1"/>
        <v>5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Michael Stoecklmayr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Michael Stoecklmayr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Michael Stoecklmayr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Michael Stoecklmayr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Michael Stoecklmayr</v>
      </c>
      <c r="E45" s="10" t="s">
        <v>2</v>
      </c>
      <c r="F45" s="6">
        <f t="shared" si="0"/>
        <v>1</v>
      </c>
      <c r="G45" s="11">
        <v>3</v>
      </c>
      <c r="H45" s="9">
        <f t="shared" si="1"/>
        <v>3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Michael Stoecklmayr</v>
      </c>
      <c r="E46" s="10" t="s">
        <v>2</v>
      </c>
      <c r="F46" s="6">
        <f t="shared" si="0"/>
        <v>1</v>
      </c>
      <c r="G46" s="11">
        <v>5</v>
      </c>
      <c r="H46" s="9">
        <f t="shared" si="1"/>
        <v>5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Michael Stoecklmayr</v>
      </c>
      <c r="E47" s="10" t="s">
        <v>3</v>
      </c>
      <c r="F47" s="6">
        <f t="shared" si="0"/>
        <v>0</v>
      </c>
      <c r="G47" s="11"/>
      <c r="H47" s="9">
        <f t="shared" si="1"/>
        <v>0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Michael Stoecklmayr</v>
      </c>
      <c r="E48" s="10" t="s">
        <v>2</v>
      </c>
      <c r="F48" s="6">
        <f t="shared" si="0"/>
        <v>1</v>
      </c>
      <c r="G48" s="11">
        <v>5</v>
      </c>
      <c r="H48" s="9">
        <f t="shared" si="1"/>
        <v>5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Michael Stoecklmayr</v>
      </c>
      <c r="E49" s="10" t="s">
        <v>2</v>
      </c>
      <c r="F49" s="6">
        <f t="shared" si="0"/>
        <v>1</v>
      </c>
      <c r="G49" s="11">
        <v>0</v>
      </c>
      <c r="H49" s="9">
        <f t="shared" si="1"/>
        <v>0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Michael Stoecklmayr</v>
      </c>
      <c r="E50" s="10" t="s">
        <v>3</v>
      </c>
      <c r="F50" s="6">
        <f t="shared" si="0"/>
        <v>0</v>
      </c>
      <c r="G50" s="11"/>
      <c r="H50" s="9">
        <f t="shared" si="1"/>
        <v>0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Michael Stoecklmayr</v>
      </c>
      <c r="E51" s="10" t="s">
        <v>2</v>
      </c>
      <c r="F51" s="6">
        <f t="shared" si="0"/>
        <v>1</v>
      </c>
      <c r="G51" s="11">
        <v>2</v>
      </c>
      <c r="H51" s="9">
        <f t="shared" si="1"/>
        <v>2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Michael Stoecklmayr</v>
      </c>
      <c r="E52" s="10" t="s">
        <v>3</v>
      </c>
      <c r="F52" s="6">
        <f t="shared" si="0"/>
        <v>0</v>
      </c>
      <c r="G52" s="11"/>
      <c r="H52" s="9">
        <f t="shared" si="1"/>
        <v>0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Michael Stoecklmayr</v>
      </c>
      <c r="E53" s="10" t="s">
        <v>3</v>
      </c>
      <c r="F53" s="6">
        <f t="shared" si="0"/>
        <v>0</v>
      </c>
      <c r="G53" s="11"/>
      <c r="H53" s="9">
        <f t="shared" si="1"/>
        <v>0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Michael Stoecklmayr</v>
      </c>
      <c r="E54" s="10" t="s">
        <v>2</v>
      </c>
      <c r="F54" s="6">
        <f t="shared" si="0"/>
        <v>1</v>
      </c>
      <c r="G54" s="11">
        <v>4</v>
      </c>
      <c r="H54" s="9">
        <f t="shared" si="1"/>
        <v>4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Michael Stoecklmayr</v>
      </c>
      <c r="E55" s="10" t="s">
        <v>2</v>
      </c>
      <c r="F55" s="6">
        <f t="shared" si="0"/>
        <v>1</v>
      </c>
      <c r="G55" s="11">
        <v>5</v>
      </c>
      <c r="H55" s="9">
        <f t="shared" si="1"/>
        <v>5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Michael Stoecklmayr</v>
      </c>
      <c r="E56" s="10" t="s">
        <v>3</v>
      </c>
      <c r="F56" s="6">
        <f t="shared" si="0"/>
        <v>0</v>
      </c>
      <c r="G56" s="11"/>
      <c r="H56" s="9">
        <f t="shared" si="1"/>
        <v>0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Michael Stoecklmayr</v>
      </c>
      <c r="E57" s="10" t="s">
        <v>2</v>
      </c>
      <c r="F57" s="6">
        <f t="shared" si="0"/>
        <v>1</v>
      </c>
      <c r="G57" s="11">
        <v>4</v>
      </c>
      <c r="H57" s="9">
        <f t="shared" si="1"/>
        <v>4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Michael Stoecklmayr</v>
      </c>
      <c r="E58" s="10" t="s">
        <v>2</v>
      </c>
      <c r="F58" s="6">
        <f t="shared" si="0"/>
        <v>1</v>
      </c>
      <c r="G58" s="11">
        <v>4</v>
      </c>
      <c r="H58" s="9">
        <f t="shared" si="1"/>
        <v>4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Michael Stoecklmayr</v>
      </c>
      <c r="E59" s="10" t="s">
        <v>2</v>
      </c>
      <c r="F59" s="6">
        <f t="shared" si="0"/>
        <v>1</v>
      </c>
      <c r="G59" s="11">
        <v>4</v>
      </c>
      <c r="H59" s="9">
        <f t="shared" si="1"/>
        <v>4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526B7497-AAC1-134F-BCA4-029B2C15AA78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A1C1C62E-1E82-E04B-AF74-7A99FF997BA2}">
      <formula1>0</formula1>
      <formula2>5</formula2>
    </dataValidation>
    <dataValidation type="list" allowBlank="1" showInputMessage="1" showErrorMessage="1" promptTitle="Have you seen the film?" sqref="E3:E59" xr:uid="{8FCB687D-061A-D941-B551-56CFC9E20FC8}">
      <formula1>$J$1:$J$2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AEC5-DC2D-EC49-BB37-FE2DA1CA4C80}">
  <dimension ref="A1:J59"/>
  <sheetViews>
    <sheetView workbookViewId="0">
      <selection activeCell="A3" sqref="A3:H59"/>
    </sheetView>
  </sheetViews>
  <sheetFormatPr baseColWidth="10" defaultColWidth="10.83203125" defaultRowHeight="16" x14ac:dyDescent="0.2"/>
  <cols>
    <col min="1" max="1" width="49" style="6" bestFit="1" customWidth="1"/>
    <col min="2" max="2" width="5.1640625" style="6" bestFit="1" customWidth="1"/>
    <col min="3" max="3" width="3.5" style="6" customWidth="1"/>
    <col min="4" max="4" width="15.33203125" style="6" customWidth="1"/>
    <col min="5" max="5" width="6.5" style="6" customWidth="1"/>
    <col min="6" max="6" width="3.5" style="6" customWidth="1"/>
    <col min="7" max="8" width="5.33203125" style="9" customWidth="1"/>
    <col min="9" max="9" width="5" style="6" hidden="1" customWidth="1"/>
    <col min="10" max="10" width="4" style="6" hidden="1" customWidth="1"/>
    <col min="11" max="16384" width="10.83203125" style="6"/>
  </cols>
  <sheetData>
    <row r="1" spans="1:10" x14ac:dyDescent="0.2">
      <c r="A1" s="5" t="s">
        <v>64</v>
      </c>
      <c r="B1" s="5" t="s">
        <v>7</v>
      </c>
      <c r="C1" s="5"/>
      <c r="D1" s="5" t="s">
        <v>0</v>
      </c>
      <c r="E1" s="5" t="s">
        <v>1</v>
      </c>
      <c r="F1" s="5"/>
      <c r="G1" s="8" t="s">
        <v>4</v>
      </c>
      <c r="I1" s="6" t="s">
        <v>5</v>
      </c>
      <c r="J1" s="6" t="s">
        <v>2</v>
      </c>
    </row>
    <row r="2" spans="1:10" x14ac:dyDescent="0.2">
      <c r="J2" s="6" t="s">
        <v>3</v>
      </c>
    </row>
    <row r="3" spans="1:10" ht="15" customHeight="1" x14ac:dyDescent="0.2">
      <c r="A3" s="7" t="s">
        <v>8</v>
      </c>
      <c r="B3" s="7">
        <v>1968</v>
      </c>
      <c r="C3" s="7"/>
      <c r="D3" s="10" t="s">
        <v>88</v>
      </c>
      <c r="E3" s="10" t="s">
        <v>3</v>
      </c>
      <c r="F3" s="6">
        <f>IF(E3="Yes",1,0)</f>
        <v>0</v>
      </c>
      <c r="G3" s="11"/>
      <c r="H3" s="9">
        <f>F3*G3</f>
        <v>0</v>
      </c>
    </row>
    <row r="4" spans="1:10" x14ac:dyDescent="0.2">
      <c r="A4" s="7" t="s">
        <v>9</v>
      </c>
      <c r="B4" s="7">
        <v>1971</v>
      </c>
      <c r="C4" s="7"/>
      <c r="D4" s="6" t="str">
        <f>IF(D$3="enter here","",D$3)</f>
        <v>Kathrin Walker</v>
      </c>
      <c r="E4" s="10" t="s">
        <v>2</v>
      </c>
      <c r="F4" s="6">
        <f t="shared" ref="F4:F59" si="0">IF(E4="Yes",1,0)</f>
        <v>1</v>
      </c>
      <c r="G4" s="11">
        <v>3</v>
      </c>
      <c r="H4" s="9">
        <f t="shared" ref="H4:H59" si="1">F4*G4</f>
        <v>3</v>
      </c>
    </row>
    <row r="5" spans="1:10" x14ac:dyDescent="0.2">
      <c r="A5" s="6" t="s">
        <v>10</v>
      </c>
      <c r="B5" s="7">
        <v>2018</v>
      </c>
      <c r="C5" s="7"/>
      <c r="D5" s="6" t="str">
        <f t="shared" ref="D5:D59" si="2">IF(D$3="enter here","",D$3)</f>
        <v>Kathrin Walker</v>
      </c>
      <c r="E5" s="10" t="s">
        <v>3</v>
      </c>
      <c r="F5" s="6">
        <f t="shared" si="0"/>
        <v>0</v>
      </c>
      <c r="G5" s="11"/>
      <c r="H5" s="9">
        <f t="shared" si="1"/>
        <v>0</v>
      </c>
    </row>
    <row r="6" spans="1:10" x14ac:dyDescent="0.2">
      <c r="A6" s="7" t="s">
        <v>11</v>
      </c>
      <c r="B6" s="7">
        <v>2005</v>
      </c>
      <c r="C6" s="7"/>
      <c r="D6" s="6" t="str">
        <f t="shared" si="2"/>
        <v>Kathrin Walker</v>
      </c>
      <c r="E6" s="10" t="s">
        <v>3</v>
      </c>
      <c r="F6" s="6">
        <f t="shared" si="0"/>
        <v>0</v>
      </c>
      <c r="G6" s="11"/>
      <c r="H6" s="9">
        <f t="shared" si="1"/>
        <v>0</v>
      </c>
    </row>
    <row r="7" spans="1:10" x14ac:dyDescent="0.2">
      <c r="A7" s="7" t="s">
        <v>12</v>
      </c>
      <c r="B7" s="7">
        <v>1951</v>
      </c>
      <c r="C7" s="7"/>
      <c r="D7" s="6" t="str">
        <f t="shared" si="2"/>
        <v>Kathrin Walker</v>
      </c>
      <c r="E7" s="10" t="s">
        <v>3</v>
      </c>
      <c r="F7" s="6">
        <f t="shared" si="0"/>
        <v>0</v>
      </c>
      <c r="G7" s="11"/>
      <c r="H7" s="9">
        <f t="shared" si="1"/>
        <v>0</v>
      </c>
    </row>
    <row r="8" spans="1:10" x14ac:dyDescent="0.2">
      <c r="A8" s="6" t="s">
        <v>13</v>
      </c>
      <c r="B8" s="7">
        <v>1979</v>
      </c>
      <c r="C8" s="7"/>
      <c r="D8" s="6" t="str">
        <f t="shared" si="2"/>
        <v>Kathrin Walker</v>
      </c>
      <c r="E8" s="10" t="s">
        <v>3</v>
      </c>
      <c r="F8" s="6">
        <f t="shared" si="0"/>
        <v>0</v>
      </c>
      <c r="G8" s="11"/>
      <c r="H8" s="9">
        <f t="shared" si="1"/>
        <v>0</v>
      </c>
    </row>
    <row r="9" spans="1:10" x14ac:dyDescent="0.2">
      <c r="A9" s="7" t="s">
        <v>14</v>
      </c>
      <c r="B9" s="7">
        <v>1960</v>
      </c>
      <c r="C9" s="7"/>
      <c r="D9" s="6" t="str">
        <f t="shared" si="2"/>
        <v>Kathrin Walker</v>
      </c>
      <c r="E9" s="10" t="s">
        <v>3</v>
      </c>
      <c r="F9" s="6">
        <f t="shared" si="0"/>
        <v>0</v>
      </c>
      <c r="G9" s="11"/>
      <c r="H9" s="9">
        <f t="shared" si="1"/>
        <v>0</v>
      </c>
    </row>
    <row r="10" spans="1:10" x14ac:dyDescent="0.2">
      <c r="A10" s="6" t="s">
        <v>15</v>
      </c>
      <c r="B10" s="7">
        <v>1979</v>
      </c>
      <c r="C10" s="7"/>
      <c r="D10" s="6" t="str">
        <f t="shared" si="2"/>
        <v>Kathrin Walker</v>
      </c>
      <c r="E10" s="10" t="s">
        <v>3</v>
      </c>
      <c r="F10" s="6">
        <f t="shared" si="0"/>
        <v>0</v>
      </c>
      <c r="G10" s="11"/>
      <c r="H10" s="9">
        <f t="shared" si="1"/>
        <v>0</v>
      </c>
    </row>
    <row r="11" spans="1:10" x14ac:dyDescent="0.2">
      <c r="A11" s="7" t="s">
        <v>16</v>
      </c>
      <c r="B11" s="7">
        <v>1956</v>
      </c>
      <c r="C11" s="7"/>
      <c r="D11" s="6" t="str">
        <f t="shared" si="2"/>
        <v>Kathrin Walker</v>
      </c>
      <c r="E11" s="10" t="s">
        <v>3</v>
      </c>
      <c r="F11" s="6">
        <f t="shared" si="0"/>
        <v>0</v>
      </c>
      <c r="G11" s="11"/>
      <c r="H11" s="9">
        <f t="shared" si="1"/>
        <v>0</v>
      </c>
    </row>
    <row r="12" spans="1:10" x14ac:dyDescent="0.2">
      <c r="A12" s="6" t="s">
        <v>17</v>
      </c>
      <c r="B12" s="7">
        <v>2009</v>
      </c>
      <c r="C12" s="7"/>
      <c r="D12" s="6" t="str">
        <f t="shared" si="2"/>
        <v>Kathrin Walker</v>
      </c>
      <c r="E12" s="10" t="s">
        <v>2</v>
      </c>
      <c r="F12" s="6">
        <f t="shared" si="0"/>
        <v>1</v>
      </c>
      <c r="G12" s="11">
        <v>5</v>
      </c>
      <c r="H12" s="9">
        <f t="shared" si="1"/>
        <v>5</v>
      </c>
    </row>
    <row r="13" spans="1:10" x14ac:dyDescent="0.2">
      <c r="A13" s="6" t="s">
        <v>18</v>
      </c>
      <c r="B13" s="7">
        <v>1989</v>
      </c>
      <c r="C13" s="7"/>
      <c r="D13" s="6" t="str">
        <f t="shared" si="2"/>
        <v>Kathrin Walker</v>
      </c>
      <c r="E13" s="10" t="s">
        <v>3</v>
      </c>
      <c r="F13" s="6">
        <f t="shared" si="0"/>
        <v>0</v>
      </c>
      <c r="G13" s="11"/>
      <c r="H13" s="9">
        <f t="shared" si="1"/>
        <v>0</v>
      </c>
    </row>
    <row r="14" spans="1:10" x14ac:dyDescent="0.2">
      <c r="A14" s="6" t="s">
        <v>19</v>
      </c>
      <c r="B14" s="7">
        <v>1982</v>
      </c>
      <c r="C14" s="7"/>
      <c r="D14" s="6" t="str">
        <f t="shared" si="2"/>
        <v>Kathrin Walker</v>
      </c>
      <c r="E14" s="10" t="s">
        <v>3</v>
      </c>
      <c r="F14" s="6">
        <f t="shared" si="0"/>
        <v>0</v>
      </c>
      <c r="G14" s="11"/>
      <c r="H14" s="9">
        <f t="shared" si="1"/>
        <v>0</v>
      </c>
    </row>
    <row r="15" spans="1:10" x14ac:dyDescent="0.2">
      <c r="A15" s="6" t="s">
        <v>20</v>
      </c>
      <c r="B15" s="7">
        <v>2018</v>
      </c>
      <c r="C15" s="7"/>
      <c r="D15" s="6" t="str">
        <f t="shared" si="2"/>
        <v>Kathrin Walker</v>
      </c>
      <c r="E15" s="10" t="s">
        <v>2</v>
      </c>
      <c r="F15" s="6">
        <f t="shared" si="0"/>
        <v>1</v>
      </c>
      <c r="G15" s="11"/>
      <c r="H15" s="9">
        <f t="shared" si="1"/>
        <v>0</v>
      </c>
    </row>
    <row r="16" spans="1:10" x14ac:dyDescent="0.2">
      <c r="A16" s="6" t="s">
        <v>21</v>
      </c>
      <c r="B16" s="7">
        <v>2011</v>
      </c>
      <c r="C16" s="7"/>
      <c r="D16" s="6" t="str">
        <f t="shared" si="2"/>
        <v>Kathrin Walker</v>
      </c>
      <c r="E16" s="10" t="s">
        <v>2</v>
      </c>
      <c r="F16" s="6">
        <f t="shared" si="0"/>
        <v>1</v>
      </c>
      <c r="G16" s="11">
        <v>3</v>
      </c>
      <c r="H16" s="9">
        <f t="shared" si="1"/>
        <v>3</v>
      </c>
    </row>
    <row r="17" spans="1:8" x14ac:dyDescent="0.2">
      <c r="A17" s="6" t="s">
        <v>22</v>
      </c>
      <c r="B17" s="7">
        <v>2000</v>
      </c>
      <c r="C17" s="7"/>
      <c r="D17" s="6" t="str">
        <f t="shared" si="2"/>
        <v>Kathrin Walker</v>
      </c>
      <c r="E17" s="10" t="s">
        <v>3</v>
      </c>
      <c r="F17" s="6">
        <f t="shared" si="0"/>
        <v>0</v>
      </c>
      <c r="G17" s="11"/>
      <c r="H17" s="9">
        <f t="shared" si="1"/>
        <v>0</v>
      </c>
    </row>
    <row r="18" spans="1:8" x14ac:dyDescent="0.2">
      <c r="A18" s="7" t="s">
        <v>23</v>
      </c>
      <c r="B18" s="7">
        <v>1958</v>
      </c>
      <c r="C18" s="7"/>
      <c r="D18" s="6" t="str">
        <f t="shared" si="2"/>
        <v>Kathrin Walker</v>
      </c>
      <c r="E18" s="10" t="s">
        <v>3</v>
      </c>
      <c r="F18" s="6">
        <f t="shared" si="0"/>
        <v>0</v>
      </c>
      <c r="G18" s="11"/>
      <c r="H18" s="9">
        <f t="shared" si="1"/>
        <v>0</v>
      </c>
    </row>
    <row r="19" spans="1:8" x14ac:dyDescent="0.2">
      <c r="A19" s="7" t="s">
        <v>24</v>
      </c>
      <c r="B19" s="7">
        <v>1963</v>
      </c>
      <c r="C19" s="7"/>
      <c r="D19" s="6" t="str">
        <f t="shared" si="2"/>
        <v>Kathrin Walker</v>
      </c>
      <c r="E19" s="10" t="s">
        <v>3</v>
      </c>
      <c r="F19" s="6">
        <f t="shared" si="0"/>
        <v>0</v>
      </c>
      <c r="G19" s="11"/>
      <c r="H19" s="9">
        <f t="shared" si="1"/>
        <v>0</v>
      </c>
    </row>
    <row r="20" spans="1:8" x14ac:dyDescent="0.2">
      <c r="A20" s="6" t="s">
        <v>25</v>
      </c>
      <c r="B20" s="7">
        <v>2000</v>
      </c>
      <c r="C20" s="7"/>
      <c r="D20" s="6" t="str">
        <f t="shared" si="2"/>
        <v>Kathrin Walker</v>
      </c>
      <c r="E20" s="10" t="s">
        <v>2</v>
      </c>
      <c r="F20" s="6">
        <f t="shared" si="0"/>
        <v>1</v>
      </c>
      <c r="G20" s="11">
        <v>3</v>
      </c>
      <c r="H20" s="9">
        <f t="shared" si="1"/>
        <v>3</v>
      </c>
    </row>
    <row r="21" spans="1:8" x14ac:dyDescent="0.2">
      <c r="A21" s="6" t="s">
        <v>26</v>
      </c>
      <c r="B21" s="7">
        <v>1974</v>
      </c>
      <c r="C21" s="7"/>
      <c r="D21" s="6" t="str">
        <f t="shared" si="2"/>
        <v>Kathrin Walker</v>
      </c>
      <c r="E21" s="10" t="s">
        <v>3</v>
      </c>
      <c r="F21" s="6">
        <f t="shared" si="0"/>
        <v>0</v>
      </c>
      <c r="G21" s="11"/>
      <c r="H21" s="9">
        <f t="shared" si="1"/>
        <v>0</v>
      </c>
    </row>
    <row r="22" spans="1:8" x14ac:dyDescent="0.2">
      <c r="A22" s="7" t="s">
        <v>27</v>
      </c>
      <c r="B22" s="7">
        <v>1986</v>
      </c>
      <c r="C22" s="7"/>
      <c r="D22" s="6" t="str">
        <f t="shared" si="2"/>
        <v>Kathrin Walker</v>
      </c>
      <c r="E22" s="10" t="s">
        <v>3</v>
      </c>
      <c r="F22" s="6">
        <f t="shared" si="0"/>
        <v>0</v>
      </c>
      <c r="G22" s="11"/>
      <c r="H22" s="9">
        <f t="shared" si="1"/>
        <v>0</v>
      </c>
    </row>
    <row r="23" spans="1:8" x14ac:dyDescent="0.2">
      <c r="A23" s="7" t="s">
        <v>28</v>
      </c>
      <c r="B23" s="7">
        <v>2011</v>
      </c>
      <c r="C23" s="7"/>
      <c r="D23" s="6" t="str">
        <f t="shared" si="2"/>
        <v>Kathrin Walker</v>
      </c>
      <c r="E23" s="10" t="s">
        <v>3</v>
      </c>
      <c r="F23" s="6">
        <f t="shared" si="0"/>
        <v>0</v>
      </c>
      <c r="G23" s="11"/>
      <c r="H23" s="9">
        <f t="shared" si="1"/>
        <v>0</v>
      </c>
    </row>
    <row r="24" spans="1:8" x14ac:dyDescent="0.2">
      <c r="A24" s="7" t="s">
        <v>29</v>
      </c>
      <c r="B24" s="7">
        <v>1962</v>
      </c>
      <c r="C24" s="7"/>
      <c r="D24" s="6" t="str">
        <f t="shared" si="2"/>
        <v>Kathrin Walker</v>
      </c>
      <c r="E24" s="10" t="s">
        <v>3</v>
      </c>
      <c r="F24" s="6">
        <f t="shared" si="0"/>
        <v>0</v>
      </c>
      <c r="G24" s="11"/>
      <c r="H24" s="9">
        <f t="shared" si="1"/>
        <v>0</v>
      </c>
    </row>
    <row r="25" spans="1:8" x14ac:dyDescent="0.2">
      <c r="A25" s="7" t="s">
        <v>30</v>
      </c>
      <c r="B25" s="7">
        <v>1965</v>
      </c>
      <c r="C25" s="7"/>
      <c r="D25" s="6" t="str">
        <f t="shared" si="2"/>
        <v>Kathrin Walker</v>
      </c>
      <c r="E25" s="10" t="s">
        <v>3</v>
      </c>
      <c r="F25" s="6">
        <f t="shared" si="0"/>
        <v>0</v>
      </c>
      <c r="G25" s="11"/>
      <c r="H25" s="9">
        <f t="shared" si="1"/>
        <v>0</v>
      </c>
    </row>
    <row r="26" spans="1:8" x14ac:dyDescent="0.2">
      <c r="A26" s="7" t="s">
        <v>31</v>
      </c>
      <c r="B26" s="7">
        <v>1964</v>
      </c>
      <c r="C26" s="7"/>
      <c r="D26" s="6" t="str">
        <f t="shared" si="2"/>
        <v>Kathrin Walker</v>
      </c>
      <c r="E26" s="10" t="s">
        <v>3</v>
      </c>
      <c r="F26" s="6">
        <f t="shared" si="0"/>
        <v>0</v>
      </c>
      <c r="G26" s="11"/>
      <c r="H26" s="9">
        <f t="shared" si="1"/>
        <v>0</v>
      </c>
    </row>
    <row r="27" spans="1:8" x14ac:dyDescent="0.2">
      <c r="A27" s="7" t="s">
        <v>32</v>
      </c>
      <c r="B27" s="7">
        <v>2000</v>
      </c>
      <c r="C27" s="7"/>
      <c r="D27" s="6" t="str">
        <f t="shared" si="2"/>
        <v>Kathrin Walker</v>
      </c>
      <c r="E27" s="10" t="s">
        <v>3</v>
      </c>
      <c r="F27" s="6">
        <f t="shared" si="0"/>
        <v>0</v>
      </c>
      <c r="G27" s="11"/>
      <c r="H27" s="9">
        <f t="shared" si="1"/>
        <v>0</v>
      </c>
    </row>
    <row r="28" spans="1:8" x14ac:dyDescent="0.2">
      <c r="A28" s="7" t="s">
        <v>33</v>
      </c>
      <c r="B28" s="7">
        <v>1953</v>
      </c>
      <c r="C28" s="7"/>
      <c r="D28" s="6" t="str">
        <f t="shared" si="2"/>
        <v>Kathrin Walker</v>
      </c>
      <c r="E28" s="10" t="s">
        <v>3</v>
      </c>
      <c r="F28" s="6">
        <f t="shared" si="0"/>
        <v>0</v>
      </c>
      <c r="G28" s="11"/>
      <c r="H28" s="9">
        <f t="shared" si="1"/>
        <v>0</v>
      </c>
    </row>
    <row r="29" spans="1:8" x14ac:dyDescent="0.2">
      <c r="A29" s="7" t="s">
        <v>34</v>
      </c>
      <c r="B29" s="7">
        <v>2014</v>
      </c>
      <c r="C29" s="7"/>
      <c r="D29" s="6" t="str">
        <f t="shared" si="2"/>
        <v>Kathrin Walker</v>
      </c>
      <c r="E29" s="10" t="s">
        <v>2</v>
      </c>
      <c r="F29" s="6">
        <f t="shared" si="0"/>
        <v>1</v>
      </c>
      <c r="G29" s="11">
        <v>3</v>
      </c>
      <c r="H29" s="9">
        <f t="shared" si="1"/>
        <v>3</v>
      </c>
    </row>
    <row r="30" spans="1:8" x14ac:dyDescent="0.2">
      <c r="A30" s="6" t="s">
        <v>35</v>
      </c>
      <c r="B30" s="7">
        <v>2001</v>
      </c>
      <c r="C30" s="7"/>
      <c r="D30" s="6" t="str">
        <f t="shared" si="2"/>
        <v>Kathrin Walker</v>
      </c>
      <c r="E30" s="10" t="s">
        <v>2</v>
      </c>
      <c r="F30" s="6">
        <f t="shared" si="0"/>
        <v>1</v>
      </c>
      <c r="G30" s="11">
        <v>5</v>
      </c>
      <c r="H30" s="9">
        <f t="shared" si="1"/>
        <v>5</v>
      </c>
    </row>
    <row r="31" spans="1:8" x14ac:dyDescent="0.2">
      <c r="A31" s="7" t="s">
        <v>36</v>
      </c>
      <c r="B31" s="7">
        <v>1950</v>
      </c>
      <c r="C31" s="7"/>
      <c r="D31" s="6" t="str">
        <f t="shared" si="2"/>
        <v>Kathrin Walker</v>
      </c>
      <c r="E31" s="10" t="s">
        <v>3</v>
      </c>
      <c r="F31" s="6">
        <f t="shared" si="0"/>
        <v>0</v>
      </c>
      <c r="G31" s="11"/>
      <c r="H31" s="9">
        <f t="shared" si="1"/>
        <v>0</v>
      </c>
    </row>
    <row r="32" spans="1:8" x14ac:dyDescent="0.2">
      <c r="A32" s="7" t="s">
        <v>37</v>
      </c>
      <c r="B32" s="7">
        <v>1962</v>
      </c>
      <c r="C32" s="7"/>
      <c r="D32" s="6" t="str">
        <f t="shared" si="2"/>
        <v>Kathrin Walker</v>
      </c>
      <c r="E32" s="10" t="s">
        <v>3</v>
      </c>
      <c r="F32" s="6">
        <f t="shared" si="0"/>
        <v>0</v>
      </c>
      <c r="G32" s="11"/>
      <c r="H32" s="9">
        <f t="shared" si="1"/>
        <v>0</v>
      </c>
    </row>
    <row r="33" spans="1:8" x14ac:dyDescent="0.2">
      <c r="A33" s="6" t="s">
        <v>38</v>
      </c>
      <c r="B33" s="7">
        <v>1990</v>
      </c>
      <c r="C33" s="7"/>
      <c r="D33" s="6" t="str">
        <f t="shared" si="2"/>
        <v>Kathrin Walker</v>
      </c>
      <c r="E33" s="10" t="s">
        <v>2</v>
      </c>
      <c r="F33" s="6">
        <f t="shared" si="0"/>
        <v>1</v>
      </c>
      <c r="G33" s="11">
        <v>3</v>
      </c>
      <c r="H33" s="9">
        <f t="shared" si="1"/>
        <v>3</v>
      </c>
    </row>
    <row r="34" spans="1:8" x14ac:dyDescent="0.2">
      <c r="A34" s="7" t="s">
        <v>39</v>
      </c>
      <c r="B34" s="7">
        <v>2004</v>
      </c>
      <c r="C34" s="7"/>
      <c r="D34" s="6" t="str">
        <f t="shared" si="2"/>
        <v>Kathrin Walker</v>
      </c>
      <c r="E34" s="10" t="s">
        <v>2</v>
      </c>
      <c r="F34" s="6">
        <f t="shared" si="0"/>
        <v>1</v>
      </c>
      <c r="G34" s="11">
        <v>5</v>
      </c>
      <c r="H34" s="9">
        <f t="shared" si="1"/>
        <v>5</v>
      </c>
    </row>
    <row r="35" spans="1:8" x14ac:dyDescent="0.2">
      <c r="A35" s="7" t="s">
        <v>40</v>
      </c>
      <c r="B35" s="7">
        <v>1967</v>
      </c>
      <c r="C35" s="7"/>
      <c r="D35" s="6" t="str">
        <f t="shared" si="2"/>
        <v>Kathrin Walker</v>
      </c>
      <c r="E35" s="10" t="s">
        <v>3</v>
      </c>
      <c r="F35" s="6">
        <f t="shared" si="0"/>
        <v>0</v>
      </c>
      <c r="G35" s="11"/>
      <c r="H35" s="9">
        <f t="shared" si="1"/>
        <v>0</v>
      </c>
    </row>
    <row r="36" spans="1:8" x14ac:dyDescent="0.2">
      <c r="A36" s="6" t="s">
        <v>41</v>
      </c>
      <c r="B36" s="7">
        <v>2014</v>
      </c>
      <c r="C36" s="7"/>
      <c r="D36" s="6" t="str">
        <f t="shared" si="2"/>
        <v>Kathrin Walker</v>
      </c>
      <c r="E36" s="10" t="s">
        <v>3</v>
      </c>
      <c r="F36" s="6">
        <f t="shared" si="0"/>
        <v>0</v>
      </c>
      <c r="G36" s="11"/>
      <c r="H36" s="9">
        <f t="shared" si="1"/>
        <v>0</v>
      </c>
    </row>
    <row r="37" spans="1:8" x14ac:dyDescent="0.2">
      <c r="A37" s="6" t="s">
        <v>42</v>
      </c>
      <c r="B37" s="7">
        <v>1995</v>
      </c>
      <c r="C37" s="7"/>
      <c r="D37" s="6" t="str">
        <f t="shared" si="2"/>
        <v>Kathrin Walker</v>
      </c>
      <c r="E37" s="10" t="s">
        <v>3</v>
      </c>
      <c r="F37" s="6">
        <f t="shared" si="0"/>
        <v>0</v>
      </c>
      <c r="G37" s="11"/>
      <c r="H37" s="9">
        <f t="shared" si="1"/>
        <v>0</v>
      </c>
    </row>
    <row r="38" spans="1:8" x14ac:dyDescent="0.2">
      <c r="A38" s="7" t="s">
        <v>43</v>
      </c>
      <c r="B38" s="7">
        <v>2005</v>
      </c>
      <c r="C38" s="7"/>
      <c r="D38" s="6" t="str">
        <f t="shared" si="2"/>
        <v>Kathrin Walker</v>
      </c>
      <c r="E38" s="10" t="s">
        <v>3</v>
      </c>
      <c r="F38" s="6">
        <f t="shared" si="0"/>
        <v>0</v>
      </c>
      <c r="G38" s="11"/>
      <c r="H38" s="9">
        <f t="shared" si="1"/>
        <v>0</v>
      </c>
    </row>
    <row r="39" spans="1:8" x14ac:dyDescent="0.2">
      <c r="A39" s="6" t="s">
        <v>44</v>
      </c>
      <c r="B39" s="7">
        <v>2016</v>
      </c>
      <c r="C39" s="7"/>
      <c r="D39" s="6" t="str">
        <f t="shared" si="2"/>
        <v>Kathrin Walker</v>
      </c>
      <c r="E39" s="10" t="s">
        <v>3</v>
      </c>
      <c r="F39" s="6">
        <f t="shared" si="0"/>
        <v>0</v>
      </c>
      <c r="G39" s="11"/>
      <c r="H39" s="9">
        <f t="shared" si="1"/>
        <v>0</v>
      </c>
    </row>
    <row r="40" spans="1:8" x14ac:dyDescent="0.2">
      <c r="A40" s="6" t="s">
        <v>45</v>
      </c>
      <c r="B40" s="7">
        <v>2001</v>
      </c>
      <c r="C40" s="7"/>
      <c r="D40" s="6" t="str">
        <f t="shared" si="2"/>
        <v>Kathrin Walker</v>
      </c>
      <c r="E40" s="10" t="s">
        <v>2</v>
      </c>
      <c r="F40" s="6">
        <f t="shared" si="0"/>
        <v>1</v>
      </c>
      <c r="G40" s="11">
        <v>5</v>
      </c>
      <c r="H40" s="9">
        <f t="shared" si="1"/>
        <v>5</v>
      </c>
    </row>
    <row r="41" spans="1:8" x14ac:dyDescent="0.2">
      <c r="A41" s="7" t="s">
        <v>46</v>
      </c>
      <c r="B41" s="7">
        <v>1964</v>
      </c>
      <c r="C41" s="7"/>
      <c r="D41" s="6" t="str">
        <f t="shared" si="2"/>
        <v>Kathrin Walker</v>
      </c>
      <c r="E41" s="10" t="s">
        <v>3</v>
      </c>
      <c r="F41" s="6">
        <f t="shared" si="0"/>
        <v>0</v>
      </c>
      <c r="G41" s="11"/>
      <c r="H41" s="9">
        <f t="shared" si="1"/>
        <v>0</v>
      </c>
    </row>
    <row r="42" spans="1:8" x14ac:dyDescent="0.2">
      <c r="A42" s="7" t="s">
        <v>47</v>
      </c>
      <c r="B42" s="7">
        <v>1954</v>
      </c>
      <c r="C42" s="7"/>
      <c r="D42" s="6" t="str">
        <f t="shared" si="2"/>
        <v>Kathrin Walker</v>
      </c>
      <c r="E42" s="10" t="s">
        <v>3</v>
      </c>
      <c r="F42" s="6">
        <f t="shared" si="0"/>
        <v>0</v>
      </c>
      <c r="G42" s="11"/>
      <c r="H42" s="9">
        <f t="shared" si="1"/>
        <v>0</v>
      </c>
    </row>
    <row r="43" spans="1:8" x14ac:dyDescent="0.2">
      <c r="A43" s="7" t="s">
        <v>48</v>
      </c>
      <c r="B43" s="7">
        <v>1955</v>
      </c>
      <c r="C43" s="7"/>
      <c r="D43" s="6" t="str">
        <f t="shared" si="2"/>
        <v>Kathrin Walker</v>
      </c>
      <c r="E43" s="10" t="s">
        <v>3</v>
      </c>
      <c r="F43" s="6">
        <f t="shared" si="0"/>
        <v>0</v>
      </c>
      <c r="G43" s="11"/>
      <c r="H43" s="9">
        <f t="shared" si="1"/>
        <v>0</v>
      </c>
    </row>
    <row r="44" spans="1:8" x14ac:dyDescent="0.2">
      <c r="A44" s="7" t="s">
        <v>66</v>
      </c>
      <c r="B44" s="7">
        <v>2005</v>
      </c>
      <c r="C44" s="7"/>
      <c r="D44" s="6" t="str">
        <f t="shared" si="2"/>
        <v>Kathrin Walker</v>
      </c>
      <c r="E44" s="10" t="s">
        <v>3</v>
      </c>
      <c r="F44" s="6">
        <f t="shared" si="0"/>
        <v>0</v>
      </c>
      <c r="G44" s="11"/>
      <c r="H44" s="9">
        <f t="shared" si="1"/>
        <v>0</v>
      </c>
    </row>
    <row r="45" spans="1:8" x14ac:dyDescent="0.2">
      <c r="A45" s="6" t="s">
        <v>49</v>
      </c>
      <c r="B45" s="7">
        <v>1998</v>
      </c>
      <c r="C45" s="7"/>
      <c r="D45" s="6" t="str">
        <f t="shared" si="2"/>
        <v>Kathrin Walker</v>
      </c>
      <c r="E45" s="10" t="s">
        <v>2</v>
      </c>
      <c r="F45" s="6">
        <f t="shared" si="0"/>
        <v>1</v>
      </c>
      <c r="G45" s="11">
        <v>3</v>
      </c>
      <c r="H45" s="9">
        <f t="shared" si="1"/>
        <v>3</v>
      </c>
    </row>
    <row r="46" spans="1:8" x14ac:dyDescent="0.2">
      <c r="A46" s="6" t="s">
        <v>50</v>
      </c>
      <c r="B46" s="7">
        <v>1993</v>
      </c>
      <c r="C46" s="7"/>
      <c r="D46" s="6" t="str">
        <f t="shared" si="2"/>
        <v>Kathrin Walker</v>
      </c>
      <c r="E46" s="10" t="s">
        <v>3</v>
      </c>
      <c r="F46" s="6">
        <f t="shared" si="0"/>
        <v>0</v>
      </c>
      <c r="G46" s="11"/>
      <c r="H46" s="9">
        <f t="shared" si="1"/>
        <v>0</v>
      </c>
    </row>
    <row r="47" spans="1:8" x14ac:dyDescent="0.2">
      <c r="A47" s="7" t="s">
        <v>51</v>
      </c>
      <c r="B47" s="7">
        <v>1996</v>
      </c>
      <c r="C47" s="7"/>
      <c r="D47" s="6" t="str">
        <f t="shared" si="2"/>
        <v>Kathrin Walker</v>
      </c>
      <c r="E47" s="10" t="s">
        <v>3</v>
      </c>
      <c r="F47" s="6">
        <f t="shared" si="0"/>
        <v>0</v>
      </c>
      <c r="G47" s="11"/>
      <c r="H47" s="9">
        <f t="shared" si="1"/>
        <v>0</v>
      </c>
    </row>
    <row r="48" spans="1:8" x14ac:dyDescent="0.2">
      <c r="A48" s="6" t="s">
        <v>52</v>
      </c>
      <c r="B48" s="7">
        <v>1977</v>
      </c>
      <c r="C48" s="7"/>
      <c r="D48" s="6" t="str">
        <f t="shared" si="2"/>
        <v>Kathrin Walker</v>
      </c>
      <c r="E48" s="10" t="s">
        <v>2</v>
      </c>
      <c r="F48" s="6">
        <f t="shared" si="0"/>
        <v>1</v>
      </c>
      <c r="G48" s="11">
        <v>5</v>
      </c>
      <c r="H48" s="9">
        <f t="shared" si="1"/>
        <v>5</v>
      </c>
    </row>
    <row r="49" spans="1:8" x14ac:dyDescent="0.2">
      <c r="A49" s="6" t="s">
        <v>53</v>
      </c>
      <c r="B49" s="7">
        <v>2016</v>
      </c>
      <c r="C49" s="7"/>
      <c r="D49" s="6" t="str">
        <f t="shared" si="2"/>
        <v>Kathrin Walker</v>
      </c>
      <c r="E49" s="10" t="s">
        <v>2</v>
      </c>
      <c r="F49" s="6">
        <f t="shared" si="0"/>
        <v>1</v>
      </c>
      <c r="G49" s="11">
        <v>1</v>
      </c>
      <c r="H49" s="9">
        <f t="shared" si="1"/>
        <v>1</v>
      </c>
    </row>
    <row r="50" spans="1:8" x14ac:dyDescent="0.2">
      <c r="A50" s="7" t="s">
        <v>54</v>
      </c>
      <c r="B50" s="7">
        <v>2010</v>
      </c>
      <c r="C50" s="7"/>
      <c r="D50" s="6" t="str">
        <f t="shared" si="2"/>
        <v>Kathrin Walker</v>
      </c>
      <c r="E50" s="10" t="s">
        <v>2</v>
      </c>
      <c r="F50" s="6">
        <f t="shared" si="0"/>
        <v>1</v>
      </c>
      <c r="G50" s="11">
        <v>3</v>
      </c>
      <c r="H50" s="9">
        <f t="shared" si="1"/>
        <v>3</v>
      </c>
    </row>
    <row r="51" spans="1:8" x14ac:dyDescent="0.2">
      <c r="A51" s="6" t="s">
        <v>55</v>
      </c>
      <c r="B51" s="7">
        <v>2012</v>
      </c>
      <c r="C51" s="7"/>
      <c r="D51" s="6" t="str">
        <f t="shared" si="2"/>
        <v>Kathrin Walker</v>
      </c>
      <c r="E51" s="10" t="s">
        <v>2</v>
      </c>
      <c r="F51" s="6">
        <f t="shared" si="0"/>
        <v>1</v>
      </c>
      <c r="G51" s="11">
        <v>5</v>
      </c>
      <c r="H51" s="9">
        <f t="shared" si="1"/>
        <v>5</v>
      </c>
    </row>
    <row r="52" spans="1:8" x14ac:dyDescent="0.2">
      <c r="A52" s="6" t="s">
        <v>56</v>
      </c>
      <c r="B52" s="7">
        <v>1973</v>
      </c>
      <c r="C52" s="7"/>
      <c r="D52" s="6" t="str">
        <f t="shared" si="2"/>
        <v>Kathrin Walker</v>
      </c>
      <c r="E52" s="10" t="s">
        <v>3</v>
      </c>
      <c r="F52" s="6">
        <f t="shared" si="0"/>
        <v>0</v>
      </c>
      <c r="G52" s="11"/>
      <c r="H52" s="9">
        <f t="shared" si="1"/>
        <v>0</v>
      </c>
    </row>
    <row r="53" spans="1:8" x14ac:dyDescent="0.2">
      <c r="A53" s="6" t="s">
        <v>57</v>
      </c>
      <c r="B53" s="7">
        <v>1972</v>
      </c>
      <c r="C53" s="7"/>
      <c r="D53" s="6" t="str">
        <f t="shared" si="2"/>
        <v>Kathrin Walker</v>
      </c>
      <c r="E53" s="10" t="s">
        <v>3</v>
      </c>
      <c r="F53" s="6">
        <f t="shared" si="0"/>
        <v>0</v>
      </c>
      <c r="G53" s="11"/>
      <c r="H53" s="9">
        <f t="shared" si="1"/>
        <v>0</v>
      </c>
    </row>
    <row r="54" spans="1:8" x14ac:dyDescent="0.2">
      <c r="A54" s="7" t="s">
        <v>58</v>
      </c>
      <c r="B54" s="7">
        <v>1994</v>
      </c>
      <c r="C54" s="7"/>
      <c r="D54" s="6" t="str">
        <f t="shared" si="2"/>
        <v>Kathrin Walker</v>
      </c>
      <c r="E54" s="10" t="s">
        <v>2</v>
      </c>
      <c r="F54" s="6">
        <f t="shared" si="0"/>
        <v>1</v>
      </c>
      <c r="G54" s="11">
        <v>5</v>
      </c>
      <c r="H54" s="9">
        <f t="shared" si="1"/>
        <v>5</v>
      </c>
    </row>
    <row r="55" spans="1:8" x14ac:dyDescent="0.2">
      <c r="A55" s="6" t="s">
        <v>59</v>
      </c>
      <c r="B55" s="7">
        <v>1999</v>
      </c>
      <c r="C55" s="7"/>
      <c r="D55" s="6" t="str">
        <f t="shared" si="2"/>
        <v>Kathrin Walker</v>
      </c>
      <c r="E55" s="10" t="s">
        <v>2</v>
      </c>
      <c r="F55" s="6">
        <f t="shared" si="0"/>
        <v>1</v>
      </c>
      <c r="G55" s="11">
        <v>1</v>
      </c>
      <c r="H55" s="9">
        <f t="shared" si="1"/>
        <v>1</v>
      </c>
    </row>
    <row r="56" spans="1:8" x14ac:dyDescent="0.2">
      <c r="A56" s="6" t="s">
        <v>60</v>
      </c>
      <c r="B56" s="7">
        <v>1980</v>
      </c>
      <c r="C56" s="7"/>
      <c r="D56" s="6" t="str">
        <f t="shared" si="2"/>
        <v>Kathrin Walker</v>
      </c>
      <c r="E56" s="10" t="s">
        <v>3</v>
      </c>
      <c r="F56" s="6">
        <f t="shared" si="0"/>
        <v>0</v>
      </c>
      <c r="G56" s="11"/>
      <c r="H56" s="9">
        <f t="shared" si="1"/>
        <v>0</v>
      </c>
    </row>
    <row r="57" spans="1:8" x14ac:dyDescent="0.2">
      <c r="A57" s="6" t="s">
        <v>61</v>
      </c>
      <c r="B57" s="7">
        <v>1984</v>
      </c>
      <c r="C57" s="7"/>
      <c r="D57" s="6" t="str">
        <f t="shared" si="2"/>
        <v>Kathrin Walker</v>
      </c>
      <c r="E57" s="10" t="s">
        <v>3</v>
      </c>
      <c r="F57" s="6">
        <f t="shared" si="0"/>
        <v>0</v>
      </c>
      <c r="G57" s="11"/>
      <c r="H57" s="9">
        <f t="shared" si="1"/>
        <v>0</v>
      </c>
    </row>
    <row r="58" spans="1:8" x14ac:dyDescent="0.2">
      <c r="A58" s="6" t="s">
        <v>62</v>
      </c>
      <c r="B58" s="7">
        <v>1986</v>
      </c>
      <c r="C58" s="7"/>
      <c r="D58" s="6" t="str">
        <f t="shared" si="2"/>
        <v>Kathrin Walker</v>
      </c>
      <c r="E58" s="10" t="s">
        <v>2</v>
      </c>
      <c r="F58" s="6">
        <f t="shared" si="0"/>
        <v>1</v>
      </c>
      <c r="G58" s="11">
        <v>1</v>
      </c>
      <c r="H58" s="9">
        <f t="shared" si="1"/>
        <v>1</v>
      </c>
    </row>
    <row r="59" spans="1:8" x14ac:dyDescent="0.2">
      <c r="A59" s="6" t="s">
        <v>63</v>
      </c>
      <c r="B59" s="7">
        <v>1995</v>
      </c>
      <c r="C59" s="7"/>
      <c r="D59" s="6" t="str">
        <f t="shared" si="2"/>
        <v>Kathrin Walker</v>
      </c>
      <c r="E59" s="10" t="s">
        <v>2</v>
      </c>
      <c r="F59" s="6">
        <f t="shared" si="0"/>
        <v>1</v>
      </c>
      <c r="G59" s="11">
        <v>5</v>
      </c>
      <c r="H59" s="9">
        <f t="shared" si="1"/>
        <v>5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D3" xr:uid="{3B12295E-0107-484B-A657-DBFF6A89B97F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D8B3302C-6409-C24E-8A7E-8EB446C81AE6}">
      <formula1>0</formula1>
      <formula2>5</formula2>
    </dataValidation>
    <dataValidation type="list" allowBlank="1" showInputMessage="1" showErrorMessage="1" promptTitle="Have you seen the film?" sqref="E3:E59" xr:uid="{00B839DD-5AC8-DE40-9330-E4613F515293}">
      <formula1>$J$1:$J$2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full set</vt:lpstr>
      <vt:lpstr>wolf</vt:lpstr>
      <vt:lpstr>michi</vt:lpstr>
      <vt:lpstr>Tanja</vt:lpstr>
      <vt:lpstr>Dmitry</vt:lpstr>
      <vt:lpstr>olka_dorn</vt:lpstr>
      <vt:lpstr>11ea-aaef</vt:lpstr>
      <vt:lpstr>Manuel</vt:lpstr>
      <vt:lpstr>Stefan Gallistl</vt:lpstr>
      <vt:lpstr>Manuel Gapp</vt:lpstr>
      <vt:lpstr>Edwin gruber</vt:lpstr>
      <vt:lpstr>Kanyildiz Muhammedmehdi</vt:lpstr>
      <vt:lpstr>Carlos Rodriguez</vt:lpstr>
      <vt:lpstr>Manuel Plech</vt:lpstr>
      <vt:lpstr>Matthias Rosskopf</vt:lpstr>
      <vt:lpstr>Marvin Sonntag</vt:lpstr>
      <vt:lpstr>Michael S.</vt:lpstr>
      <vt:lpstr>Carla Columna</vt:lpstr>
      <vt:lpstr>Ale</vt:lpstr>
      <vt:lpstr>Roman Bambersky</vt:lpstr>
      <vt:lpstr>Christoph Burger</vt:lpstr>
      <vt:lpstr>Michael Stoeckmayr</vt:lpstr>
      <vt:lpstr>Kathrin Walker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 Rogner</dc:creator>
  <cp:lastModifiedBy>Wolf Rogner</cp:lastModifiedBy>
  <dcterms:created xsi:type="dcterms:W3CDTF">2019-11-17T11:40:20Z</dcterms:created>
  <dcterms:modified xsi:type="dcterms:W3CDTF">2019-12-07T14:57:34Z</dcterms:modified>
</cp:coreProperties>
</file>